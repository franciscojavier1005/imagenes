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LEEME" sheetId="1" state="visible" r:id="rId1"/>
    <sheet name="Ronda" sheetId="2" state="visible" r:id="rId2"/>
    <sheet name="Docentes" sheetId="3" state="visible" r:id="rId3"/>
    <sheet name="Horario" sheetId="4" state="visible" r:id="rId4"/>
    <sheet name="Matriz_Grupos" sheetId="5" state="visible" r:id="rId5"/>
    <sheet name="Direccion_Grupo" sheetId="6" state="visible" r:id="rId6"/>
    <sheet name="Motivos" sheetId="7" state="visible" r:id="rId7"/>
    <sheet name="Novedades" sheetId="8" state="visible" r:id="rId8"/>
    <sheet name="Bandeja_WhatsApp" sheetId="9" state="visible" r:id="rId9"/>
    <sheet name="Notas_Ronda" sheetId="10" state="visible" r:id="rId10"/>
    <sheet name="Alternancias" sheetId="11" state="visible" r:id="rId11"/>
    <sheet name="Semana_Alternancia" sheetId="12" state="visible" r:id="rId12"/>
    <sheet name="Reuniones" sheetId="13" state="visible" r:id="rId13"/>
    <sheet name="Asistencia_Reunion" sheetId="14" state="visible" r:id="rId14"/>
    <sheet name="Incumplimientos" sheetId="15" state="visible" r:id="rId15"/>
    <sheet name="Usuarios" sheetId="16" state="visible" r:id="rId16"/>
    <sheet name="Soportes" sheetId="17" state="visible" r:id="rId17"/>
    <sheet name="Parametros" sheetId="18" state="visible" r:id="rId18"/>
    <sheet name="Registro_Ronda" sheetId="19" state="visible" r:id="rId19"/>
    <sheet name="Directivos" sheetId="20" state="visible" r:id="rId20"/>
    <sheet name="Listas" sheetId="21" state="visible" r:id="rId21"/>
    <sheet name="Franjas" sheetId="22" state="visible" r:id="rId22"/>
    <sheet name="Grupos" sheetId="23" state="visible" r:id="rId23"/>
  </sheets>
  <definedNames>
    <definedName name="_xlnm._FilterDatabase" localSheetId="2" hidden="1">'Docentes'!$A$1:$N$58</definedName>
    <definedName name="_xlnm._FilterDatabase" localSheetId="3" hidden="1">'Horario'!$A$1:$V$1550</definedName>
    <definedName name="_xlnm._FilterDatabase" localSheetId="4" hidden="1">'Matriz_Grupos'!$A$1:$AL$41</definedName>
    <definedName name="_xlnm._FilterDatabase" localSheetId="5" hidden="1">'Direccion_Grupo'!$A$1:$G$34</definedName>
    <definedName name="_xlnm._FilterDatabase" localSheetId="6" hidden="1">'Motivos'!$A$1:$F$37</definedName>
    <definedName name="_xlnm._FilterDatabase" localSheetId="7" hidden="1">'Novedades'!$A$1:$T$1</definedName>
    <definedName name="_xlnm._FilterDatabase" localSheetId="8" hidden="1">'Bandeja_WhatsApp'!$A$1:$P$1</definedName>
    <definedName name="_xlnm._FilterDatabase" localSheetId="9" hidden="1">'Notas_Ronda'!$A$1:$J$1</definedName>
    <definedName name="_xlnm._FilterDatabase" localSheetId="10" hidden="1">'Alternancias'!$A$1:$D$6</definedName>
    <definedName name="_xlnm._FilterDatabase" localSheetId="11" hidden="1">'Semana_Alternancia'!$A$1:$F$1</definedName>
    <definedName name="_xlnm._FilterDatabase" localSheetId="12" hidden="1">'Reuniones'!$A$1:$J$1</definedName>
    <definedName name="_xlnm._FilterDatabase" localSheetId="13" hidden="1">'Asistencia_Reunion'!$A$1:$H$1</definedName>
    <definedName name="_xlnm._FilterDatabase" localSheetId="14" hidden="1">'Incumplimientos'!$A$1:$P$1</definedName>
    <definedName name="_xlnm._FilterDatabase" localSheetId="15" hidden="1">'Usuarios'!$A$1:$I$1</definedName>
    <definedName name="_xlnm._FilterDatabase" localSheetId="16" hidden="1">'Soportes'!$A$1:$P$1</definedName>
    <definedName name="_xlnm._FilterDatabase" localSheetId="17" hidden="1">'Parametros'!$A$1:$B$4</definedName>
    <definedName name="_xlnm._FilterDatabase" localSheetId="18" hidden="1">'Registro_Ronda'!$A$1:$O$1</definedName>
    <definedName name="_xlnm._FilterDatabase" localSheetId="19" hidden="1">'Directivos'!$A$1:$C$5</definedName>
    <definedName name="_xlnm._FilterDatabase" localSheetId="20" hidden="1">'Listas'!$A$1:$B$29</definedName>
    <definedName name="_xlnm._FilterDatabase" localSheetId="21" hidden="1">'Franjas'!$A$1:$G$9</definedName>
    <definedName name="_xlnm._FilterDatabase" localSheetId="22" hidden="1">'Grupos'!$A$1:$E$36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2A5C"/>
      <sz val="28"/>
    </font>
    <font>
      <b val="1"/>
      <color rgb="00FFFFFF"/>
    </font>
    <font>
      <b val="1"/>
      <color rgb="001F4E78"/>
      <sz val="15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bgColor rgb="00F8CBAD"/>
        </patternFill>
      </fill>
    </dxf>
    <dxf>
      <fill>
        <patternFill patternType="solid">
          <bgColor rgb="00FFE699"/>
        </patternFill>
      </fill>
    </dxf>
    <dxf>
      <fill>
        <patternFill patternType="solid">
          <b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 ht="48" customHeight="1">
      <c r="A1" s="1" t="inlineStr">
        <is>
          <t>ICET 2026 - Control de asistencia docente</t>
        </is>
      </c>
    </row>
    <row r="2">
      <c r="A2" t="inlineStr">
        <is>
          <t>Autor: Francisco Javier Cortés Cabezas · Coordinador académico · Especialista en Informática y Telemática · Magíster en Educación · Doctorando en Desarrollo de la Educación · I.E. ICET, San Andrés de Tumaco (Nariño, Colombia) · © 2026</t>
        </is>
      </c>
    </row>
    <row r="3">
      <c r="A3" t="inlineStr"/>
    </row>
    <row r="4">
      <c r="A4" t="inlineStr">
        <is>
          <t>RONDA (hoja principal): al abrirla muestra, sin filtros, quién debe estar en cada grupo en la sesión actual.</t>
        </is>
      </c>
    </row>
    <row r="5">
      <c r="A5" t="inlineStr">
        <is>
          <t xml:space="preserve">  - Día y sesión se calculan con la hora del dispositivo. En Google Sheets: Archivo &gt; Configuración &gt; zona horaria (GMT-05:00 Bogotá).</t>
        </is>
      </c>
    </row>
    <row r="6">
      <c r="A6" t="inlineStr">
        <is>
          <t xml:space="preserve">  - Para consultar otro momento escriba el día y/o la sesión en las celdas amarillas; bórrelas para volver a 'ahora'.</t>
        </is>
      </c>
    </row>
    <row r="7">
      <c r="A7" t="inlineStr">
        <is>
          <t xml:space="preserve">  - Marque Estado y Motivo con las listas desplegables. En Excel NO se guardan los registros: para guardar use la aplicación web (Apps Script).</t>
        </is>
      </c>
    </row>
    <row r="8">
      <c r="A8" t="inlineStr"/>
    </row>
    <row r="9">
      <c r="A9" t="inlineStr">
        <is>
          <t>Hojas:</t>
        </is>
      </c>
    </row>
    <row r="10">
      <c r="A10" t="inlineStr">
        <is>
          <t xml:space="preserve">  Docentes       Lista oficial (57). Preescolar y primaria con su grupo (PDF Dirección de Grupo).</t>
        </is>
      </c>
    </row>
    <row r="11">
      <c r="A11" t="inlineStr">
        <is>
          <t xml:space="preserve">  Horario        Una fila por docente / día / sesión de 45 min (secundaria: PDF 02-02-2026; primaria: áreas múltiples).</t>
        </is>
      </c>
    </row>
    <row r="12">
      <c r="A12" t="inlineStr">
        <is>
          <t xml:space="preserve">  Direccion_Grupo Dinamizadores de cada grupo (PDF Dirección de Grupo 2026). En bachillerato la dirección es dual: ambos responsables.</t>
        </is>
      </c>
    </row>
    <row r="13">
      <c r="A13" t="inlineStr">
        <is>
          <t xml:space="preserve">  Matriz_Grupos  Para cada día y sesión, quién atiende a cada grupo (consulta rápida o para imprimir).</t>
        </is>
      </c>
    </row>
    <row r="14">
      <c r="A14" t="inlineStr">
        <is>
          <t xml:space="preserve">  Motivos        Catálogo de justificaciones por categoría (salud, permiso, evento externo, calamidad doméstica, etc.).</t>
        </is>
      </c>
    </row>
    <row r="15">
      <c r="A15" t="inlineStr">
        <is>
          <t xml:space="preserve">  Novedades      Mismo esquema de su formulario 'ASISTENCIA DOCENTE ICET (respuestas)' + 3 columnas nuevas.</t>
        </is>
      </c>
    </row>
    <row r="16">
      <c r="A16" t="inlineStr">
        <is>
          <t xml:space="preserve">  Bandeja_WhatsApp Novedades propuestas desde el chat de WhatsApp: revise, marque SI en confirmar y use el menú para importarlas.</t>
        </is>
      </c>
    </row>
    <row r="17">
      <c r="A17" t="inlineStr">
        <is>
          <t xml:space="preserve">  Usuarios       Cuentas de docentes (correo): se registran una vez y un directivo las aprueba.</t>
        </is>
      </c>
    </row>
    <row r="18">
      <c r="A18" t="inlineStr">
        <is>
          <t xml:space="preserve">  Soportes       Soportes de ausencias cargados por los docentes (archivos en una carpeta privada de Drive).</t>
        </is>
      </c>
    </row>
    <row r="19">
      <c r="A19" t="inlineStr">
        <is>
          <t xml:space="preserve">  Alternancias   Parejas de docentes que alternan cada semana (ética/religión): en la ronda aparecen los dos nombres y usted elige quién dicta.</t>
        </is>
      </c>
    </row>
    <row r="20">
      <c r="A20" t="inlineStr">
        <is>
          <t xml:space="preserve">  Semana_Alternancia Quién dicta cada pareja en cada semana (lo define un directivo una vez y vale lunes a viernes).</t>
        </is>
      </c>
    </row>
    <row r="21">
      <c r="A21" t="inlineStr">
        <is>
          <t xml:space="preserve">  Reuniones      Reuniones y jornadas sin estudiantes (se registran en ?p=reunion); Asistencia_Reunion guarda la asistencia de cada persona.</t>
        </is>
      </c>
    </row>
    <row r="22">
      <c r="A22" t="inlineStr">
        <is>
          <t xml:space="preserve">  Incumplimientos Reportes con rigor de docentes que no atienden al grupo o despiden a los estudiantes sin autorización (solo se agrega; seguimiento por estados).</t>
        </is>
      </c>
    </row>
    <row r="23">
      <c r="A23" t="inlineStr">
        <is>
          <t xml:space="preserve">  Notas_Ronda    Observaciones (voz o texto) al terminar la ronda; sus propuestas van a la bandeja y requieren su confirmación.</t>
        </is>
      </c>
    </row>
    <row r="24">
      <c r="A24" t="inlineStr">
        <is>
          <t xml:space="preserve">  Parametros     soportes_desde (las ausencias anteriores no exigen soporte) y la carpeta de soportes.</t>
        </is>
      </c>
    </row>
    <row r="25">
      <c r="A25" t="inlineStr">
        <is>
          <t xml:space="preserve">  Registro_Ronda Cada marca de la ronda (presente, no asistió, tarde...).</t>
        </is>
      </c>
    </row>
    <row r="26">
      <c r="A26" t="inlineStr">
        <is>
          <t xml:space="preserve">  Directivos     Quiénes registran. Correos TEMPORALES (@example.com), reemplazar por los reales.</t>
        </is>
      </c>
    </row>
    <row r="27">
      <c r="A27" t="inlineStr"/>
    </row>
    <row r="28">
      <c r="A28" t="inlineStr">
        <is>
          <t>Énfasis: estudiantes de un curso dispersos entre un equipo de docentes. Parejas alternan por semana; Sociales/Inglés y Ética/Religión alternan sus áreas cada semana.</t>
        </is>
      </c>
    </row>
    <row r="29">
      <c r="A29" t="inlineStr">
        <is>
          <t>Datos personales de docentes: acceso solo para directivos (Ley 1581 de 2012).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0" customWidth="1" min="3" max="3"/>
    <col width="38" customWidth="1" min="4" max="4"/>
    <col width="18" customWidth="1" min="5" max="5"/>
    <col width="55" customWidth="1" min="6" max="6"/>
    <col width="18" customWidth="1" min="7" max="7"/>
    <col width="34" customWidth="1" min="8" max="8"/>
    <col width="30" customWidth="1" min="9" max="9"/>
    <col hidden="1" width="13" customWidth="1" min="11" max="11"/>
    <col hidden="1" width="13" customWidth="1" min="12" max="12"/>
  </cols>
  <sheetData>
    <row r="1">
      <c r="A1" s="2" t="inlineStr">
        <is>
          <t>RONDA DE ASISTENCIA DOCENTE - ICET 2026</t>
        </is>
      </c>
      <c r="K1" t="inlineStr">
        <is>
          <t>minuto</t>
        </is>
      </c>
      <c r="L1">
        <f>HOUR(NOW())*60+MINUTE(NOW())</f>
        <v/>
      </c>
    </row>
    <row r="2">
      <c r="K2" t="inlineStr">
        <is>
          <t>sesión auto</t>
        </is>
      </c>
      <c r="L2">
        <f>IF(L1&gt;=MAX(Franjas!$G$2:$G$9),"FUERA DE JORNADA",IFERROR(IF(L1&lt;INDEX(Franjas!$G$2:$G$9,MATCH(L1,Franjas!$F$2:$F$9,1)),MATCH(L1,Franjas!$F$2:$F$9,1),"DESCANSO"),"FUERA DE JORNADA"))</f>
        <v/>
      </c>
    </row>
    <row r="3">
      <c r="A3" s="3" t="inlineStr">
        <is>
          <t>Día</t>
        </is>
      </c>
      <c r="B3" s="4">
        <f>IF(D3&lt;&gt;"",D3,L3)</f>
        <v/>
      </c>
      <c r="D3" s="5" t="n"/>
      <c r="E3" t="inlineStr">
        <is>
          <t>← Día manual (opcional)</t>
        </is>
      </c>
      <c r="K3" t="inlineStr">
        <is>
          <t>día auto</t>
        </is>
      </c>
      <c r="L3">
        <f>IFERROR(CHOOSE(WEEKDAY(NOW(),2),"LUNES","MARTES","MIERCOLES","JUEVES","VIERNES"),"FIN DE SEMANA")</f>
        <v/>
      </c>
    </row>
    <row r="4">
      <c r="A4" s="3" t="inlineStr">
        <is>
          <t>Sesión</t>
        </is>
      </c>
      <c r="B4" s="4">
        <f>IF(D4&lt;&gt;"",D4,L2)</f>
        <v/>
      </c>
      <c r="D4" s="5" t="n"/>
      <c r="E4" t="inlineStr">
        <is>
          <t>← Sesión manual 1-8 (opcional)</t>
        </is>
      </c>
      <c r="K4" t="inlineStr">
        <is>
          <t>clave</t>
        </is>
      </c>
      <c r="L4">
        <f>B3&amp;"|"&amp;B4</f>
        <v/>
      </c>
    </row>
    <row r="5">
      <c r="A5" s="3" t="inlineStr">
        <is>
          <t>Franja</t>
        </is>
      </c>
      <c r="B5" s="4">
        <f>IFERROR(INDEX(Franjas!$D$2:$D$9,B4)&amp;" - "&amp;INDEX(Franjas!$E$2:$E$9,B4),"Sin clase en este momento")</f>
        <v/>
      </c>
    </row>
    <row r="6">
      <c r="A6" s="3" t="inlineStr">
        <is>
          <t>Docentes esperados</t>
        </is>
      </c>
      <c r="B6" s="4">
        <f>COUNTIF(Horario!$S$2:$S$1500,L4)</f>
        <v/>
      </c>
    </row>
    <row r="7">
      <c r="A7" s="3" t="inlineStr">
        <is>
          <t>Hora del dispositivo</t>
        </is>
      </c>
      <c r="B7" s="4">
        <f>TEXT(NOW(),"HH:mm")</f>
        <v/>
      </c>
    </row>
    <row r="9">
      <c r="A9" s="6" t="inlineStr">
        <is>
          <t>#</t>
        </is>
      </c>
      <c r="B9" s="6" t="inlineStr">
        <is>
          <t>Grupo</t>
        </is>
      </c>
      <c r="C9" s="6" t="inlineStr">
        <is>
          <t>Dirección de grupo</t>
        </is>
      </c>
      <c r="D9" s="6" t="inlineStr">
        <is>
          <t>Docente</t>
        </is>
      </c>
      <c r="E9" s="6" t="inlineStr">
        <is>
          <t>Área</t>
        </is>
      </c>
      <c r="F9" s="6" t="inlineStr">
        <is>
          <t>Nota (alternancia / equipo)</t>
        </is>
      </c>
      <c r="G9" s="6" t="inlineStr">
        <is>
          <t>Estado</t>
        </is>
      </c>
      <c r="H9" s="6" t="inlineStr">
        <is>
          <t>Motivo</t>
        </is>
      </c>
      <c r="I9" s="6" t="inlineStr">
        <is>
          <t>Observaciones</t>
        </is>
      </c>
    </row>
    <row r="10">
      <c r="A10" t="n">
        <v>1</v>
      </c>
      <c r="B10">
        <f>IF($K10="","",INDEX(Horario!$Q$2:$Q$1500,$K10))</f>
        <v/>
      </c>
      <c r="C10">
        <f>IF($K10="","",INDEX(Horario!$V$2:$V$1500,$K10))</f>
        <v/>
      </c>
      <c r="D10">
        <f>IF($K10="","",INDEX(Horario!$B$2:$B$1500,$K10))</f>
        <v/>
      </c>
      <c r="E10">
        <f>IF($K10="","",IF(INDEX(Horario!$K$2:$K$1500,$K10)="","(énfasis)",INDEX(Horario!$K$2:$K$1500,$K10)))</f>
        <v/>
      </c>
      <c r="F10">
        <f>IF($K10="","",INDEX(Horario!$R$2:$R$1500,$K10))</f>
        <v/>
      </c>
      <c r="K10">
        <f>IFERROR(MATCH($L$4&amp;"|"&amp;A10,Horario!$U$2:$U$1500,0),"")</f>
        <v/>
      </c>
    </row>
    <row r="11">
      <c r="A11" t="n">
        <v>2</v>
      </c>
      <c r="B11">
        <f>IF($K11="","",INDEX(Horario!$Q$2:$Q$1500,$K11))</f>
        <v/>
      </c>
      <c r="C11">
        <f>IF($K11="","",INDEX(Horario!$V$2:$V$1500,$K11))</f>
        <v/>
      </c>
      <c r="D11">
        <f>IF($K11="","",INDEX(Horario!$B$2:$B$1500,$K11))</f>
        <v/>
      </c>
      <c r="E11">
        <f>IF($K11="","",IF(INDEX(Horario!$K$2:$K$1500,$K11)="","(énfasis)",INDEX(Horario!$K$2:$K$1500,$K11)))</f>
        <v/>
      </c>
      <c r="F11">
        <f>IF($K11="","",INDEX(Horario!$R$2:$R$1500,$K11))</f>
        <v/>
      </c>
      <c r="K11">
        <f>IFERROR(MATCH($L$4&amp;"|"&amp;A11,Horario!$U$2:$U$1500,0),"")</f>
        <v/>
      </c>
    </row>
    <row r="12">
      <c r="A12" t="n">
        <v>3</v>
      </c>
      <c r="B12">
        <f>IF($K12="","",INDEX(Horario!$Q$2:$Q$1500,$K12))</f>
        <v/>
      </c>
      <c r="C12">
        <f>IF($K12="","",INDEX(Horario!$V$2:$V$1500,$K12))</f>
        <v/>
      </c>
      <c r="D12">
        <f>IF($K12="","",INDEX(Horario!$B$2:$B$1500,$K12))</f>
        <v/>
      </c>
      <c r="E12">
        <f>IF($K12="","",IF(INDEX(Horario!$K$2:$K$1500,$K12)="","(énfasis)",INDEX(Horario!$K$2:$K$1500,$K12)))</f>
        <v/>
      </c>
      <c r="F12">
        <f>IF($K12="","",INDEX(Horario!$R$2:$R$1500,$K12))</f>
        <v/>
      </c>
      <c r="K12">
        <f>IFERROR(MATCH($L$4&amp;"|"&amp;A12,Horario!$U$2:$U$1500,0),"")</f>
        <v/>
      </c>
    </row>
    <row r="13">
      <c r="A13" t="n">
        <v>4</v>
      </c>
      <c r="B13">
        <f>IF($K13="","",INDEX(Horario!$Q$2:$Q$1500,$K13))</f>
        <v/>
      </c>
      <c r="C13">
        <f>IF($K13="","",INDEX(Horario!$V$2:$V$1500,$K13))</f>
        <v/>
      </c>
      <c r="D13">
        <f>IF($K13="","",INDEX(Horario!$B$2:$B$1500,$K13))</f>
        <v/>
      </c>
      <c r="E13">
        <f>IF($K13="","",IF(INDEX(Horario!$K$2:$K$1500,$K13)="","(énfasis)",INDEX(Horario!$K$2:$K$1500,$K13)))</f>
        <v/>
      </c>
      <c r="F13">
        <f>IF($K13="","",INDEX(Horario!$R$2:$R$1500,$K13))</f>
        <v/>
      </c>
      <c r="K13">
        <f>IFERROR(MATCH($L$4&amp;"|"&amp;A13,Horario!$U$2:$U$1500,0),"")</f>
        <v/>
      </c>
    </row>
    <row r="14">
      <c r="A14" t="n">
        <v>5</v>
      </c>
      <c r="B14">
        <f>IF($K14="","",INDEX(Horario!$Q$2:$Q$1500,$K14))</f>
        <v/>
      </c>
      <c r="C14">
        <f>IF($K14="","",INDEX(Horario!$V$2:$V$1500,$K14))</f>
        <v/>
      </c>
      <c r="D14">
        <f>IF($K14="","",INDEX(Horario!$B$2:$B$1500,$K14))</f>
        <v/>
      </c>
      <c r="E14">
        <f>IF($K14="","",IF(INDEX(Horario!$K$2:$K$1500,$K14)="","(énfasis)",INDEX(Horario!$K$2:$K$1500,$K14)))</f>
        <v/>
      </c>
      <c r="F14">
        <f>IF($K14="","",INDEX(Horario!$R$2:$R$1500,$K14))</f>
        <v/>
      </c>
      <c r="K14">
        <f>IFERROR(MATCH($L$4&amp;"|"&amp;A14,Horario!$U$2:$U$1500,0),"")</f>
        <v/>
      </c>
    </row>
    <row r="15">
      <c r="A15" t="n">
        <v>6</v>
      </c>
      <c r="B15">
        <f>IF($K15="","",INDEX(Horario!$Q$2:$Q$1500,$K15))</f>
        <v/>
      </c>
      <c r="C15">
        <f>IF($K15="","",INDEX(Horario!$V$2:$V$1500,$K15))</f>
        <v/>
      </c>
      <c r="D15">
        <f>IF($K15="","",INDEX(Horario!$B$2:$B$1500,$K15))</f>
        <v/>
      </c>
      <c r="E15">
        <f>IF($K15="","",IF(INDEX(Horario!$K$2:$K$1500,$K15)="","(énfasis)",INDEX(Horario!$K$2:$K$1500,$K15)))</f>
        <v/>
      </c>
      <c r="F15">
        <f>IF($K15="","",INDEX(Horario!$R$2:$R$1500,$K15))</f>
        <v/>
      </c>
      <c r="K15">
        <f>IFERROR(MATCH($L$4&amp;"|"&amp;A15,Horario!$U$2:$U$1500,0),"")</f>
        <v/>
      </c>
    </row>
    <row r="16">
      <c r="A16" t="n">
        <v>7</v>
      </c>
      <c r="B16">
        <f>IF($K16="","",INDEX(Horario!$Q$2:$Q$1500,$K16))</f>
        <v/>
      </c>
      <c r="C16">
        <f>IF($K16="","",INDEX(Horario!$V$2:$V$1500,$K16))</f>
        <v/>
      </c>
      <c r="D16">
        <f>IF($K16="","",INDEX(Horario!$B$2:$B$1500,$K16))</f>
        <v/>
      </c>
      <c r="E16">
        <f>IF($K16="","",IF(INDEX(Horario!$K$2:$K$1500,$K16)="","(énfasis)",INDEX(Horario!$K$2:$K$1500,$K16)))</f>
        <v/>
      </c>
      <c r="F16">
        <f>IF($K16="","",INDEX(Horario!$R$2:$R$1500,$K16))</f>
        <v/>
      </c>
      <c r="K16">
        <f>IFERROR(MATCH($L$4&amp;"|"&amp;A16,Horario!$U$2:$U$1500,0),"")</f>
        <v/>
      </c>
    </row>
    <row r="17">
      <c r="A17" t="n">
        <v>8</v>
      </c>
      <c r="B17">
        <f>IF($K17="","",INDEX(Horario!$Q$2:$Q$1500,$K17))</f>
        <v/>
      </c>
      <c r="C17">
        <f>IF($K17="","",INDEX(Horario!$V$2:$V$1500,$K17))</f>
        <v/>
      </c>
      <c r="D17">
        <f>IF($K17="","",INDEX(Horario!$B$2:$B$1500,$K17))</f>
        <v/>
      </c>
      <c r="E17">
        <f>IF($K17="","",IF(INDEX(Horario!$K$2:$K$1500,$K17)="","(énfasis)",INDEX(Horario!$K$2:$K$1500,$K17)))</f>
        <v/>
      </c>
      <c r="F17">
        <f>IF($K17="","",INDEX(Horario!$R$2:$R$1500,$K17))</f>
        <v/>
      </c>
      <c r="K17">
        <f>IFERROR(MATCH($L$4&amp;"|"&amp;A17,Horario!$U$2:$U$1500,0),"")</f>
        <v/>
      </c>
    </row>
    <row r="18">
      <c r="A18" t="n">
        <v>9</v>
      </c>
      <c r="B18">
        <f>IF($K18="","",INDEX(Horario!$Q$2:$Q$1500,$K18))</f>
        <v/>
      </c>
      <c r="C18">
        <f>IF($K18="","",INDEX(Horario!$V$2:$V$1500,$K18))</f>
        <v/>
      </c>
      <c r="D18">
        <f>IF($K18="","",INDEX(Horario!$B$2:$B$1500,$K18))</f>
        <v/>
      </c>
      <c r="E18">
        <f>IF($K18="","",IF(INDEX(Horario!$K$2:$K$1500,$K18)="","(énfasis)",INDEX(Horario!$K$2:$K$1500,$K18)))</f>
        <v/>
      </c>
      <c r="F18">
        <f>IF($K18="","",INDEX(Horario!$R$2:$R$1500,$K18))</f>
        <v/>
      </c>
      <c r="K18">
        <f>IFERROR(MATCH($L$4&amp;"|"&amp;A18,Horario!$U$2:$U$1500,0),"")</f>
        <v/>
      </c>
    </row>
    <row r="19">
      <c r="A19" t="n">
        <v>10</v>
      </c>
      <c r="B19">
        <f>IF($K19="","",INDEX(Horario!$Q$2:$Q$1500,$K19))</f>
        <v/>
      </c>
      <c r="C19">
        <f>IF($K19="","",INDEX(Horario!$V$2:$V$1500,$K19))</f>
        <v/>
      </c>
      <c r="D19">
        <f>IF($K19="","",INDEX(Horario!$B$2:$B$1500,$K19))</f>
        <v/>
      </c>
      <c r="E19">
        <f>IF($K19="","",IF(INDEX(Horario!$K$2:$K$1500,$K19)="","(énfasis)",INDEX(Horario!$K$2:$K$1500,$K19)))</f>
        <v/>
      </c>
      <c r="F19">
        <f>IF($K19="","",INDEX(Horario!$R$2:$R$1500,$K19))</f>
        <v/>
      </c>
      <c r="K19">
        <f>IFERROR(MATCH($L$4&amp;"|"&amp;A19,Horario!$U$2:$U$1500,0),"")</f>
        <v/>
      </c>
    </row>
    <row r="20">
      <c r="A20" t="n">
        <v>11</v>
      </c>
      <c r="B20">
        <f>IF($K20="","",INDEX(Horario!$Q$2:$Q$1500,$K20))</f>
        <v/>
      </c>
      <c r="C20">
        <f>IF($K20="","",INDEX(Horario!$V$2:$V$1500,$K20))</f>
        <v/>
      </c>
      <c r="D20">
        <f>IF($K20="","",INDEX(Horario!$B$2:$B$1500,$K20))</f>
        <v/>
      </c>
      <c r="E20">
        <f>IF($K20="","",IF(INDEX(Horario!$K$2:$K$1500,$K20)="","(énfasis)",INDEX(Horario!$K$2:$K$1500,$K20)))</f>
        <v/>
      </c>
      <c r="F20">
        <f>IF($K20="","",INDEX(Horario!$R$2:$R$1500,$K20))</f>
        <v/>
      </c>
      <c r="K20">
        <f>IFERROR(MATCH($L$4&amp;"|"&amp;A20,Horario!$U$2:$U$1500,0),"")</f>
        <v/>
      </c>
    </row>
    <row r="21">
      <c r="A21" t="n">
        <v>12</v>
      </c>
      <c r="B21">
        <f>IF($K21="","",INDEX(Horario!$Q$2:$Q$1500,$K21))</f>
        <v/>
      </c>
      <c r="C21">
        <f>IF($K21="","",INDEX(Horario!$V$2:$V$1500,$K21))</f>
        <v/>
      </c>
      <c r="D21">
        <f>IF($K21="","",INDEX(Horario!$B$2:$B$1500,$K21))</f>
        <v/>
      </c>
      <c r="E21">
        <f>IF($K21="","",IF(INDEX(Horario!$K$2:$K$1500,$K21)="","(énfasis)",INDEX(Horario!$K$2:$K$1500,$K21)))</f>
        <v/>
      </c>
      <c r="F21">
        <f>IF($K21="","",INDEX(Horario!$R$2:$R$1500,$K21))</f>
        <v/>
      </c>
      <c r="K21">
        <f>IFERROR(MATCH($L$4&amp;"|"&amp;A21,Horario!$U$2:$U$1500,0),"")</f>
        <v/>
      </c>
    </row>
    <row r="22">
      <c r="A22" t="n">
        <v>13</v>
      </c>
      <c r="B22">
        <f>IF($K22="","",INDEX(Horario!$Q$2:$Q$1500,$K22))</f>
        <v/>
      </c>
      <c r="C22">
        <f>IF($K22="","",INDEX(Horario!$V$2:$V$1500,$K22))</f>
        <v/>
      </c>
      <c r="D22">
        <f>IF($K22="","",INDEX(Horario!$B$2:$B$1500,$K22))</f>
        <v/>
      </c>
      <c r="E22">
        <f>IF($K22="","",IF(INDEX(Horario!$K$2:$K$1500,$K22)="","(énfasis)",INDEX(Horario!$K$2:$K$1500,$K22)))</f>
        <v/>
      </c>
      <c r="F22">
        <f>IF($K22="","",INDEX(Horario!$R$2:$R$1500,$K22))</f>
        <v/>
      </c>
      <c r="K22">
        <f>IFERROR(MATCH($L$4&amp;"|"&amp;A22,Horario!$U$2:$U$1500,0),"")</f>
        <v/>
      </c>
    </row>
    <row r="23">
      <c r="A23" t="n">
        <v>14</v>
      </c>
      <c r="B23">
        <f>IF($K23="","",INDEX(Horario!$Q$2:$Q$1500,$K23))</f>
        <v/>
      </c>
      <c r="C23">
        <f>IF($K23="","",INDEX(Horario!$V$2:$V$1500,$K23))</f>
        <v/>
      </c>
      <c r="D23">
        <f>IF($K23="","",INDEX(Horario!$B$2:$B$1500,$K23))</f>
        <v/>
      </c>
      <c r="E23">
        <f>IF($K23="","",IF(INDEX(Horario!$K$2:$K$1500,$K23)="","(énfasis)",INDEX(Horario!$K$2:$K$1500,$K23)))</f>
        <v/>
      </c>
      <c r="F23">
        <f>IF($K23="","",INDEX(Horario!$R$2:$R$1500,$K23))</f>
        <v/>
      </c>
      <c r="K23">
        <f>IFERROR(MATCH($L$4&amp;"|"&amp;A23,Horario!$U$2:$U$1500,0),"")</f>
        <v/>
      </c>
    </row>
    <row r="24">
      <c r="A24" t="n">
        <v>15</v>
      </c>
      <c r="B24">
        <f>IF($K24="","",INDEX(Horario!$Q$2:$Q$1500,$K24))</f>
        <v/>
      </c>
      <c r="C24">
        <f>IF($K24="","",INDEX(Horario!$V$2:$V$1500,$K24))</f>
        <v/>
      </c>
      <c r="D24">
        <f>IF($K24="","",INDEX(Horario!$B$2:$B$1500,$K24))</f>
        <v/>
      </c>
      <c r="E24">
        <f>IF($K24="","",IF(INDEX(Horario!$K$2:$K$1500,$K24)="","(énfasis)",INDEX(Horario!$K$2:$K$1500,$K24)))</f>
        <v/>
      </c>
      <c r="F24">
        <f>IF($K24="","",INDEX(Horario!$R$2:$R$1500,$K24))</f>
        <v/>
      </c>
      <c r="K24">
        <f>IFERROR(MATCH($L$4&amp;"|"&amp;A24,Horario!$U$2:$U$1500,0),"")</f>
        <v/>
      </c>
    </row>
    <row r="25">
      <c r="A25" t="n">
        <v>16</v>
      </c>
      <c r="B25">
        <f>IF($K25="","",INDEX(Horario!$Q$2:$Q$1500,$K25))</f>
        <v/>
      </c>
      <c r="C25">
        <f>IF($K25="","",INDEX(Horario!$V$2:$V$1500,$K25))</f>
        <v/>
      </c>
      <c r="D25">
        <f>IF($K25="","",INDEX(Horario!$B$2:$B$1500,$K25))</f>
        <v/>
      </c>
      <c r="E25">
        <f>IF($K25="","",IF(INDEX(Horario!$K$2:$K$1500,$K25)="","(énfasis)",INDEX(Horario!$K$2:$K$1500,$K25)))</f>
        <v/>
      </c>
      <c r="F25">
        <f>IF($K25="","",INDEX(Horario!$R$2:$R$1500,$K25))</f>
        <v/>
      </c>
      <c r="K25">
        <f>IFERROR(MATCH($L$4&amp;"|"&amp;A25,Horario!$U$2:$U$1500,0),"")</f>
        <v/>
      </c>
    </row>
    <row r="26">
      <c r="A26" t="n">
        <v>17</v>
      </c>
      <c r="B26">
        <f>IF($K26="","",INDEX(Horario!$Q$2:$Q$1500,$K26))</f>
        <v/>
      </c>
      <c r="C26">
        <f>IF($K26="","",INDEX(Horario!$V$2:$V$1500,$K26))</f>
        <v/>
      </c>
      <c r="D26">
        <f>IF($K26="","",INDEX(Horario!$B$2:$B$1500,$K26))</f>
        <v/>
      </c>
      <c r="E26">
        <f>IF($K26="","",IF(INDEX(Horario!$K$2:$K$1500,$K26)="","(énfasis)",INDEX(Horario!$K$2:$K$1500,$K26)))</f>
        <v/>
      </c>
      <c r="F26">
        <f>IF($K26="","",INDEX(Horario!$R$2:$R$1500,$K26))</f>
        <v/>
      </c>
      <c r="K26">
        <f>IFERROR(MATCH($L$4&amp;"|"&amp;A26,Horario!$U$2:$U$1500,0),"")</f>
        <v/>
      </c>
    </row>
    <row r="27">
      <c r="A27" t="n">
        <v>18</v>
      </c>
      <c r="B27">
        <f>IF($K27="","",INDEX(Horario!$Q$2:$Q$1500,$K27))</f>
        <v/>
      </c>
      <c r="C27">
        <f>IF($K27="","",INDEX(Horario!$V$2:$V$1500,$K27))</f>
        <v/>
      </c>
      <c r="D27">
        <f>IF($K27="","",INDEX(Horario!$B$2:$B$1500,$K27))</f>
        <v/>
      </c>
      <c r="E27">
        <f>IF($K27="","",IF(INDEX(Horario!$K$2:$K$1500,$K27)="","(énfasis)",INDEX(Horario!$K$2:$K$1500,$K27)))</f>
        <v/>
      </c>
      <c r="F27">
        <f>IF($K27="","",INDEX(Horario!$R$2:$R$1500,$K27))</f>
        <v/>
      </c>
      <c r="K27">
        <f>IFERROR(MATCH($L$4&amp;"|"&amp;A27,Horario!$U$2:$U$1500,0),"")</f>
        <v/>
      </c>
    </row>
    <row r="28">
      <c r="A28" t="n">
        <v>19</v>
      </c>
      <c r="B28">
        <f>IF($K28="","",INDEX(Horario!$Q$2:$Q$1500,$K28))</f>
        <v/>
      </c>
      <c r="C28">
        <f>IF($K28="","",INDEX(Horario!$V$2:$V$1500,$K28))</f>
        <v/>
      </c>
      <c r="D28">
        <f>IF($K28="","",INDEX(Horario!$B$2:$B$1500,$K28))</f>
        <v/>
      </c>
      <c r="E28">
        <f>IF($K28="","",IF(INDEX(Horario!$K$2:$K$1500,$K28)="","(énfasis)",INDEX(Horario!$K$2:$K$1500,$K28)))</f>
        <v/>
      </c>
      <c r="F28">
        <f>IF($K28="","",INDEX(Horario!$R$2:$R$1500,$K28))</f>
        <v/>
      </c>
      <c r="K28">
        <f>IFERROR(MATCH($L$4&amp;"|"&amp;A28,Horario!$U$2:$U$1500,0),"")</f>
        <v/>
      </c>
    </row>
    <row r="29">
      <c r="A29" t="n">
        <v>20</v>
      </c>
      <c r="B29">
        <f>IF($K29="","",INDEX(Horario!$Q$2:$Q$1500,$K29))</f>
        <v/>
      </c>
      <c r="C29">
        <f>IF($K29="","",INDEX(Horario!$V$2:$V$1500,$K29))</f>
        <v/>
      </c>
      <c r="D29">
        <f>IF($K29="","",INDEX(Horario!$B$2:$B$1500,$K29))</f>
        <v/>
      </c>
      <c r="E29">
        <f>IF($K29="","",IF(INDEX(Horario!$K$2:$K$1500,$K29)="","(énfasis)",INDEX(Horario!$K$2:$K$1500,$K29)))</f>
        <v/>
      </c>
      <c r="F29">
        <f>IF($K29="","",INDEX(Horario!$R$2:$R$1500,$K29))</f>
        <v/>
      </c>
      <c r="K29">
        <f>IFERROR(MATCH($L$4&amp;"|"&amp;A29,Horario!$U$2:$U$1500,0),"")</f>
        <v/>
      </c>
    </row>
    <row r="30">
      <c r="A30" t="n">
        <v>21</v>
      </c>
      <c r="B30">
        <f>IF($K30="","",INDEX(Horario!$Q$2:$Q$1500,$K30))</f>
        <v/>
      </c>
      <c r="C30">
        <f>IF($K30="","",INDEX(Horario!$V$2:$V$1500,$K30))</f>
        <v/>
      </c>
      <c r="D30">
        <f>IF($K30="","",INDEX(Horario!$B$2:$B$1500,$K30))</f>
        <v/>
      </c>
      <c r="E30">
        <f>IF($K30="","",IF(INDEX(Horario!$K$2:$K$1500,$K30)="","(énfasis)",INDEX(Horario!$K$2:$K$1500,$K30)))</f>
        <v/>
      </c>
      <c r="F30">
        <f>IF($K30="","",INDEX(Horario!$R$2:$R$1500,$K30))</f>
        <v/>
      </c>
      <c r="K30">
        <f>IFERROR(MATCH($L$4&amp;"|"&amp;A30,Horario!$U$2:$U$1500,0),"")</f>
        <v/>
      </c>
    </row>
    <row r="31">
      <c r="A31" t="n">
        <v>22</v>
      </c>
      <c r="B31">
        <f>IF($K31="","",INDEX(Horario!$Q$2:$Q$1500,$K31))</f>
        <v/>
      </c>
      <c r="C31">
        <f>IF($K31="","",INDEX(Horario!$V$2:$V$1500,$K31))</f>
        <v/>
      </c>
      <c r="D31">
        <f>IF($K31="","",INDEX(Horario!$B$2:$B$1500,$K31))</f>
        <v/>
      </c>
      <c r="E31">
        <f>IF($K31="","",IF(INDEX(Horario!$K$2:$K$1500,$K31)="","(énfasis)",INDEX(Horario!$K$2:$K$1500,$K31)))</f>
        <v/>
      </c>
      <c r="F31">
        <f>IF($K31="","",INDEX(Horario!$R$2:$R$1500,$K31))</f>
        <v/>
      </c>
      <c r="K31">
        <f>IFERROR(MATCH($L$4&amp;"|"&amp;A31,Horario!$U$2:$U$1500,0),"")</f>
        <v/>
      </c>
    </row>
    <row r="32">
      <c r="A32" t="n">
        <v>23</v>
      </c>
      <c r="B32">
        <f>IF($K32="","",INDEX(Horario!$Q$2:$Q$1500,$K32))</f>
        <v/>
      </c>
      <c r="C32">
        <f>IF($K32="","",INDEX(Horario!$V$2:$V$1500,$K32))</f>
        <v/>
      </c>
      <c r="D32">
        <f>IF($K32="","",INDEX(Horario!$B$2:$B$1500,$K32))</f>
        <v/>
      </c>
      <c r="E32">
        <f>IF($K32="","",IF(INDEX(Horario!$K$2:$K$1500,$K32)="","(énfasis)",INDEX(Horario!$K$2:$K$1500,$K32)))</f>
        <v/>
      </c>
      <c r="F32">
        <f>IF($K32="","",INDEX(Horario!$R$2:$R$1500,$K32))</f>
        <v/>
      </c>
      <c r="K32">
        <f>IFERROR(MATCH($L$4&amp;"|"&amp;A32,Horario!$U$2:$U$1500,0),"")</f>
        <v/>
      </c>
    </row>
    <row r="33">
      <c r="A33" t="n">
        <v>24</v>
      </c>
      <c r="B33">
        <f>IF($K33="","",INDEX(Horario!$Q$2:$Q$1500,$K33))</f>
        <v/>
      </c>
      <c r="C33">
        <f>IF($K33="","",INDEX(Horario!$V$2:$V$1500,$K33))</f>
        <v/>
      </c>
      <c r="D33">
        <f>IF($K33="","",INDEX(Horario!$B$2:$B$1500,$K33))</f>
        <v/>
      </c>
      <c r="E33">
        <f>IF($K33="","",IF(INDEX(Horario!$K$2:$K$1500,$K33)="","(énfasis)",INDEX(Horario!$K$2:$K$1500,$K33)))</f>
        <v/>
      </c>
      <c r="F33">
        <f>IF($K33="","",INDEX(Horario!$R$2:$R$1500,$K33))</f>
        <v/>
      </c>
      <c r="K33">
        <f>IFERROR(MATCH($L$4&amp;"|"&amp;A33,Horario!$U$2:$U$1500,0),"")</f>
        <v/>
      </c>
    </row>
    <row r="34">
      <c r="A34" t="n">
        <v>25</v>
      </c>
      <c r="B34">
        <f>IF($K34="","",INDEX(Horario!$Q$2:$Q$1500,$K34))</f>
        <v/>
      </c>
      <c r="C34">
        <f>IF($K34="","",INDEX(Horario!$V$2:$V$1500,$K34))</f>
        <v/>
      </c>
      <c r="D34">
        <f>IF($K34="","",INDEX(Horario!$B$2:$B$1500,$K34))</f>
        <v/>
      </c>
      <c r="E34">
        <f>IF($K34="","",IF(INDEX(Horario!$K$2:$K$1500,$K34)="","(énfasis)",INDEX(Horario!$K$2:$K$1500,$K34)))</f>
        <v/>
      </c>
      <c r="F34">
        <f>IF($K34="","",INDEX(Horario!$R$2:$R$1500,$K34))</f>
        <v/>
      </c>
      <c r="K34">
        <f>IFERROR(MATCH($L$4&amp;"|"&amp;A34,Horario!$U$2:$U$1500,0),"")</f>
        <v/>
      </c>
    </row>
    <row r="35">
      <c r="A35" t="n">
        <v>26</v>
      </c>
      <c r="B35">
        <f>IF($K35="","",INDEX(Horario!$Q$2:$Q$1500,$K35))</f>
        <v/>
      </c>
      <c r="C35">
        <f>IF($K35="","",INDEX(Horario!$V$2:$V$1500,$K35))</f>
        <v/>
      </c>
      <c r="D35">
        <f>IF($K35="","",INDEX(Horario!$B$2:$B$1500,$K35))</f>
        <v/>
      </c>
      <c r="E35">
        <f>IF($K35="","",IF(INDEX(Horario!$K$2:$K$1500,$K35)="","(énfasis)",INDEX(Horario!$K$2:$K$1500,$K35)))</f>
        <v/>
      </c>
      <c r="F35">
        <f>IF($K35="","",INDEX(Horario!$R$2:$R$1500,$K35))</f>
        <v/>
      </c>
      <c r="K35">
        <f>IFERROR(MATCH($L$4&amp;"|"&amp;A35,Horario!$U$2:$U$1500,0),"")</f>
        <v/>
      </c>
    </row>
    <row r="36">
      <c r="A36" t="n">
        <v>27</v>
      </c>
      <c r="B36">
        <f>IF($K36="","",INDEX(Horario!$Q$2:$Q$1500,$K36))</f>
        <v/>
      </c>
      <c r="C36">
        <f>IF($K36="","",INDEX(Horario!$V$2:$V$1500,$K36))</f>
        <v/>
      </c>
      <c r="D36">
        <f>IF($K36="","",INDEX(Horario!$B$2:$B$1500,$K36))</f>
        <v/>
      </c>
      <c r="E36">
        <f>IF($K36="","",IF(INDEX(Horario!$K$2:$K$1500,$K36)="","(énfasis)",INDEX(Horario!$K$2:$K$1500,$K36)))</f>
        <v/>
      </c>
      <c r="F36">
        <f>IF($K36="","",INDEX(Horario!$R$2:$R$1500,$K36))</f>
        <v/>
      </c>
      <c r="K36">
        <f>IFERROR(MATCH($L$4&amp;"|"&amp;A36,Horario!$U$2:$U$1500,0),"")</f>
        <v/>
      </c>
    </row>
    <row r="37">
      <c r="A37" t="n">
        <v>28</v>
      </c>
      <c r="B37">
        <f>IF($K37="","",INDEX(Horario!$Q$2:$Q$1500,$K37))</f>
        <v/>
      </c>
      <c r="C37">
        <f>IF($K37="","",INDEX(Horario!$V$2:$V$1500,$K37))</f>
        <v/>
      </c>
      <c r="D37">
        <f>IF($K37="","",INDEX(Horario!$B$2:$B$1500,$K37))</f>
        <v/>
      </c>
      <c r="E37">
        <f>IF($K37="","",IF(INDEX(Horario!$K$2:$K$1500,$K37)="","(énfasis)",INDEX(Horario!$K$2:$K$1500,$K37)))</f>
        <v/>
      </c>
      <c r="F37">
        <f>IF($K37="","",INDEX(Horario!$R$2:$R$1500,$K37))</f>
        <v/>
      </c>
      <c r="K37">
        <f>IFERROR(MATCH($L$4&amp;"|"&amp;A37,Horario!$U$2:$U$1500,0),"")</f>
        <v/>
      </c>
    </row>
    <row r="38">
      <c r="A38" t="n">
        <v>29</v>
      </c>
      <c r="B38">
        <f>IF($K38="","",INDEX(Horario!$Q$2:$Q$1500,$K38))</f>
        <v/>
      </c>
      <c r="C38">
        <f>IF($K38="","",INDEX(Horario!$V$2:$V$1500,$K38))</f>
        <v/>
      </c>
      <c r="D38">
        <f>IF($K38="","",INDEX(Horario!$B$2:$B$1500,$K38))</f>
        <v/>
      </c>
      <c r="E38">
        <f>IF($K38="","",IF(INDEX(Horario!$K$2:$K$1500,$K38)="","(énfasis)",INDEX(Horario!$K$2:$K$1500,$K38)))</f>
        <v/>
      </c>
      <c r="F38">
        <f>IF($K38="","",INDEX(Horario!$R$2:$R$1500,$K38))</f>
        <v/>
      </c>
      <c r="K38">
        <f>IFERROR(MATCH($L$4&amp;"|"&amp;A38,Horario!$U$2:$U$1500,0),"")</f>
        <v/>
      </c>
    </row>
    <row r="39">
      <c r="A39" t="n">
        <v>30</v>
      </c>
      <c r="B39">
        <f>IF($K39="","",INDEX(Horario!$Q$2:$Q$1500,$K39))</f>
        <v/>
      </c>
      <c r="C39">
        <f>IF($K39="","",INDEX(Horario!$V$2:$V$1500,$K39))</f>
        <v/>
      </c>
      <c r="D39">
        <f>IF($K39="","",INDEX(Horario!$B$2:$B$1500,$K39))</f>
        <v/>
      </c>
      <c r="E39">
        <f>IF($K39="","",IF(INDEX(Horario!$K$2:$K$1500,$K39)="","(énfasis)",INDEX(Horario!$K$2:$K$1500,$K39)))</f>
        <v/>
      </c>
      <c r="F39">
        <f>IF($K39="","",INDEX(Horario!$R$2:$R$1500,$K39))</f>
        <v/>
      </c>
      <c r="K39">
        <f>IFERROR(MATCH($L$4&amp;"|"&amp;A39,Horario!$U$2:$U$1500,0),"")</f>
        <v/>
      </c>
    </row>
    <row r="40">
      <c r="A40" t="n">
        <v>31</v>
      </c>
      <c r="B40">
        <f>IF($K40="","",INDEX(Horario!$Q$2:$Q$1500,$K40))</f>
        <v/>
      </c>
      <c r="C40">
        <f>IF($K40="","",INDEX(Horario!$V$2:$V$1500,$K40))</f>
        <v/>
      </c>
      <c r="D40">
        <f>IF($K40="","",INDEX(Horario!$B$2:$B$1500,$K40))</f>
        <v/>
      </c>
      <c r="E40">
        <f>IF($K40="","",IF(INDEX(Horario!$K$2:$K$1500,$K40)="","(énfasis)",INDEX(Horario!$K$2:$K$1500,$K40)))</f>
        <v/>
      </c>
      <c r="F40">
        <f>IF($K40="","",INDEX(Horario!$R$2:$R$1500,$K40))</f>
        <v/>
      </c>
      <c r="K40">
        <f>IFERROR(MATCH($L$4&amp;"|"&amp;A40,Horario!$U$2:$U$1500,0),"")</f>
        <v/>
      </c>
    </row>
    <row r="41">
      <c r="A41" t="n">
        <v>32</v>
      </c>
      <c r="B41">
        <f>IF($K41="","",INDEX(Horario!$Q$2:$Q$1500,$K41))</f>
        <v/>
      </c>
      <c r="C41">
        <f>IF($K41="","",INDEX(Horario!$V$2:$V$1500,$K41))</f>
        <v/>
      </c>
      <c r="D41">
        <f>IF($K41="","",INDEX(Horario!$B$2:$B$1500,$K41))</f>
        <v/>
      </c>
      <c r="E41">
        <f>IF($K41="","",IF(INDEX(Horario!$K$2:$K$1500,$K41)="","(énfasis)",INDEX(Horario!$K$2:$K$1500,$K41)))</f>
        <v/>
      </c>
      <c r="F41">
        <f>IF($K41="","",INDEX(Horario!$R$2:$R$1500,$K41))</f>
        <v/>
      </c>
      <c r="K41">
        <f>IFERROR(MATCH($L$4&amp;"|"&amp;A41,Horario!$U$2:$U$1500,0),"")</f>
        <v/>
      </c>
    </row>
    <row r="42">
      <c r="A42" t="n">
        <v>33</v>
      </c>
      <c r="B42">
        <f>IF($K42="","",INDEX(Horario!$Q$2:$Q$1500,$K42))</f>
        <v/>
      </c>
      <c r="C42">
        <f>IF($K42="","",INDEX(Horario!$V$2:$V$1500,$K42))</f>
        <v/>
      </c>
      <c r="D42">
        <f>IF($K42="","",INDEX(Horario!$B$2:$B$1500,$K42))</f>
        <v/>
      </c>
      <c r="E42">
        <f>IF($K42="","",IF(INDEX(Horario!$K$2:$K$1500,$K42)="","(énfasis)",INDEX(Horario!$K$2:$K$1500,$K42)))</f>
        <v/>
      </c>
      <c r="F42">
        <f>IF($K42="","",INDEX(Horario!$R$2:$R$1500,$K42))</f>
        <v/>
      </c>
      <c r="K42">
        <f>IFERROR(MATCH($L$4&amp;"|"&amp;A42,Horario!$U$2:$U$1500,0),"")</f>
        <v/>
      </c>
    </row>
    <row r="43">
      <c r="A43" t="n">
        <v>34</v>
      </c>
      <c r="B43">
        <f>IF($K43="","",INDEX(Horario!$Q$2:$Q$1500,$K43))</f>
        <v/>
      </c>
      <c r="C43">
        <f>IF($K43="","",INDEX(Horario!$V$2:$V$1500,$K43))</f>
        <v/>
      </c>
      <c r="D43">
        <f>IF($K43="","",INDEX(Horario!$B$2:$B$1500,$K43))</f>
        <v/>
      </c>
      <c r="E43">
        <f>IF($K43="","",IF(INDEX(Horario!$K$2:$K$1500,$K43)="","(énfasis)",INDEX(Horario!$K$2:$K$1500,$K43)))</f>
        <v/>
      </c>
      <c r="F43">
        <f>IF($K43="","",INDEX(Horario!$R$2:$R$1500,$K43))</f>
        <v/>
      </c>
      <c r="K43">
        <f>IFERROR(MATCH($L$4&amp;"|"&amp;A43,Horario!$U$2:$U$1500,0),"")</f>
        <v/>
      </c>
    </row>
    <row r="44">
      <c r="A44" t="n">
        <v>35</v>
      </c>
      <c r="B44">
        <f>IF($K44="","",INDEX(Horario!$Q$2:$Q$1500,$K44))</f>
        <v/>
      </c>
      <c r="C44">
        <f>IF($K44="","",INDEX(Horario!$V$2:$V$1500,$K44))</f>
        <v/>
      </c>
      <c r="D44">
        <f>IF($K44="","",INDEX(Horario!$B$2:$B$1500,$K44))</f>
        <v/>
      </c>
      <c r="E44">
        <f>IF($K44="","",IF(INDEX(Horario!$K$2:$K$1500,$K44)="","(énfasis)",INDEX(Horario!$K$2:$K$1500,$K44)))</f>
        <v/>
      </c>
      <c r="F44">
        <f>IF($K44="","",INDEX(Horario!$R$2:$R$1500,$K44))</f>
        <v/>
      </c>
      <c r="K44">
        <f>IFERROR(MATCH($L$4&amp;"|"&amp;A44,Horario!$U$2:$U$1500,0),"")</f>
        <v/>
      </c>
    </row>
    <row r="45">
      <c r="A45" t="n">
        <v>36</v>
      </c>
      <c r="B45">
        <f>IF($K45="","",INDEX(Horario!$Q$2:$Q$1500,$K45))</f>
        <v/>
      </c>
      <c r="C45">
        <f>IF($K45="","",INDEX(Horario!$V$2:$V$1500,$K45))</f>
        <v/>
      </c>
      <c r="D45">
        <f>IF($K45="","",INDEX(Horario!$B$2:$B$1500,$K45))</f>
        <v/>
      </c>
      <c r="E45">
        <f>IF($K45="","",IF(INDEX(Horario!$K$2:$K$1500,$K45)="","(énfasis)",INDEX(Horario!$K$2:$K$1500,$K45)))</f>
        <v/>
      </c>
      <c r="F45">
        <f>IF($K45="","",INDEX(Horario!$R$2:$R$1500,$K45))</f>
        <v/>
      </c>
      <c r="K45">
        <f>IFERROR(MATCH($L$4&amp;"|"&amp;A45,Horario!$U$2:$U$1500,0),"")</f>
        <v/>
      </c>
    </row>
    <row r="46">
      <c r="A46" t="n">
        <v>37</v>
      </c>
      <c r="B46">
        <f>IF($K46="","",INDEX(Horario!$Q$2:$Q$1500,$K46))</f>
        <v/>
      </c>
      <c r="C46">
        <f>IF($K46="","",INDEX(Horario!$V$2:$V$1500,$K46))</f>
        <v/>
      </c>
      <c r="D46">
        <f>IF($K46="","",INDEX(Horario!$B$2:$B$1500,$K46))</f>
        <v/>
      </c>
      <c r="E46">
        <f>IF($K46="","",IF(INDEX(Horario!$K$2:$K$1500,$K46)="","(énfasis)",INDEX(Horario!$K$2:$K$1500,$K46)))</f>
        <v/>
      </c>
      <c r="F46">
        <f>IF($K46="","",INDEX(Horario!$R$2:$R$1500,$K46))</f>
        <v/>
      </c>
      <c r="K46">
        <f>IFERROR(MATCH($L$4&amp;"|"&amp;A46,Horario!$U$2:$U$1500,0),"")</f>
        <v/>
      </c>
    </row>
    <row r="47">
      <c r="A47" t="n">
        <v>38</v>
      </c>
      <c r="B47">
        <f>IF($K47="","",INDEX(Horario!$Q$2:$Q$1500,$K47))</f>
        <v/>
      </c>
      <c r="C47">
        <f>IF($K47="","",INDEX(Horario!$V$2:$V$1500,$K47))</f>
        <v/>
      </c>
      <c r="D47">
        <f>IF($K47="","",INDEX(Horario!$B$2:$B$1500,$K47))</f>
        <v/>
      </c>
      <c r="E47">
        <f>IF($K47="","",IF(INDEX(Horario!$K$2:$K$1500,$K47)="","(énfasis)",INDEX(Horario!$K$2:$K$1500,$K47)))</f>
        <v/>
      </c>
      <c r="F47">
        <f>IF($K47="","",INDEX(Horario!$R$2:$R$1500,$K47))</f>
        <v/>
      </c>
      <c r="K47">
        <f>IFERROR(MATCH($L$4&amp;"|"&amp;A47,Horario!$U$2:$U$1500,0),"")</f>
        <v/>
      </c>
    </row>
    <row r="48">
      <c r="A48" t="n">
        <v>39</v>
      </c>
      <c r="B48">
        <f>IF($K48="","",INDEX(Horario!$Q$2:$Q$1500,$K48))</f>
        <v/>
      </c>
      <c r="C48">
        <f>IF($K48="","",INDEX(Horario!$V$2:$V$1500,$K48))</f>
        <v/>
      </c>
      <c r="D48">
        <f>IF($K48="","",INDEX(Horario!$B$2:$B$1500,$K48))</f>
        <v/>
      </c>
      <c r="E48">
        <f>IF($K48="","",IF(INDEX(Horario!$K$2:$K$1500,$K48)="","(énfasis)",INDEX(Horario!$K$2:$K$1500,$K48)))</f>
        <v/>
      </c>
      <c r="F48">
        <f>IF($K48="","",INDEX(Horario!$R$2:$R$1500,$K48))</f>
        <v/>
      </c>
      <c r="K48">
        <f>IFERROR(MATCH($L$4&amp;"|"&amp;A48,Horario!$U$2:$U$1500,0),"")</f>
        <v/>
      </c>
    </row>
    <row r="49">
      <c r="A49" t="n">
        <v>40</v>
      </c>
      <c r="B49">
        <f>IF($K49="","",INDEX(Horario!$Q$2:$Q$1500,$K49))</f>
        <v/>
      </c>
      <c r="C49">
        <f>IF($K49="","",INDEX(Horario!$V$2:$V$1500,$K49))</f>
        <v/>
      </c>
      <c r="D49">
        <f>IF($K49="","",INDEX(Horario!$B$2:$B$1500,$K49))</f>
        <v/>
      </c>
      <c r="E49">
        <f>IF($K49="","",IF(INDEX(Horario!$K$2:$K$1500,$K49)="","(énfasis)",INDEX(Horario!$K$2:$K$1500,$K49)))</f>
        <v/>
      </c>
      <c r="F49">
        <f>IF($K49="","",INDEX(Horario!$R$2:$R$1500,$K49))</f>
        <v/>
      </c>
      <c r="K49">
        <f>IFERROR(MATCH($L$4&amp;"|"&amp;A49,Horario!$U$2:$U$1500,0),"")</f>
        <v/>
      </c>
    </row>
    <row r="50">
      <c r="A50" t="n">
        <v>41</v>
      </c>
      <c r="B50">
        <f>IF($K50="","",INDEX(Horario!$Q$2:$Q$1500,$K50))</f>
        <v/>
      </c>
      <c r="C50">
        <f>IF($K50="","",INDEX(Horario!$V$2:$V$1500,$K50))</f>
        <v/>
      </c>
      <c r="D50">
        <f>IF($K50="","",INDEX(Horario!$B$2:$B$1500,$K50))</f>
        <v/>
      </c>
      <c r="E50">
        <f>IF($K50="","",IF(INDEX(Horario!$K$2:$K$1500,$K50)="","(énfasis)",INDEX(Horario!$K$2:$K$1500,$K50)))</f>
        <v/>
      </c>
      <c r="F50">
        <f>IF($K50="","",INDEX(Horario!$R$2:$R$1500,$K50))</f>
        <v/>
      </c>
      <c r="K50">
        <f>IFERROR(MATCH($L$4&amp;"|"&amp;A50,Horario!$U$2:$U$1500,0),"")</f>
        <v/>
      </c>
    </row>
    <row r="51">
      <c r="A51" t="n">
        <v>42</v>
      </c>
      <c r="B51">
        <f>IF($K51="","",INDEX(Horario!$Q$2:$Q$1500,$K51))</f>
        <v/>
      </c>
      <c r="C51">
        <f>IF($K51="","",INDEX(Horario!$V$2:$V$1500,$K51))</f>
        <v/>
      </c>
      <c r="D51">
        <f>IF($K51="","",INDEX(Horario!$B$2:$B$1500,$K51))</f>
        <v/>
      </c>
      <c r="E51">
        <f>IF($K51="","",IF(INDEX(Horario!$K$2:$K$1500,$K51)="","(énfasis)",INDEX(Horario!$K$2:$K$1500,$K51)))</f>
        <v/>
      </c>
      <c r="F51">
        <f>IF($K51="","",INDEX(Horario!$R$2:$R$1500,$K51))</f>
        <v/>
      </c>
      <c r="K51">
        <f>IFERROR(MATCH($L$4&amp;"|"&amp;A51,Horario!$U$2:$U$1500,0),"")</f>
        <v/>
      </c>
    </row>
    <row r="52">
      <c r="A52" t="n">
        <v>43</v>
      </c>
      <c r="B52">
        <f>IF($K52="","",INDEX(Horario!$Q$2:$Q$1500,$K52))</f>
        <v/>
      </c>
      <c r="C52">
        <f>IF($K52="","",INDEX(Horario!$V$2:$V$1500,$K52))</f>
        <v/>
      </c>
      <c r="D52">
        <f>IF($K52="","",INDEX(Horario!$B$2:$B$1500,$K52))</f>
        <v/>
      </c>
      <c r="E52">
        <f>IF($K52="","",IF(INDEX(Horario!$K$2:$K$1500,$K52)="","(énfasis)",INDEX(Horario!$K$2:$K$1500,$K52)))</f>
        <v/>
      </c>
      <c r="F52">
        <f>IF($K52="","",INDEX(Horario!$R$2:$R$1500,$K52))</f>
        <v/>
      </c>
      <c r="K52">
        <f>IFERROR(MATCH($L$4&amp;"|"&amp;A52,Horario!$U$2:$U$1500,0),"")</f>
        <v/>
      </c>
    </row>
    <row r="53">
      <c r="A53" t="n">
        <v>44</v>
      </c>
      <c r="B53">
        <f>IF($K53="","",INDEX(Horario!$Q$2:$Q$1500,$K53))</f>
        <v/>
      </c>
      <c r="C53">
        <f>IF($K53="","",INDEX(Horario!$V$2:$V$1500,$K53))</f>
        <v/>
      </c>
      <c r="D53">
        <f>IF($K53="","",INDEX(Horario!$B$2:$B$1500,$K53))</f>
        <v/>
      </c>
      <c r="E53">
        <f>IF($K53="","",IF(INDEX(Horario!$K$2:$K$1500,$K53)="","(énfasis)",INDEX(Horario!$K$2:$K$1500,$K53)))</f>
        <v/>
      </c>
      <c r="F53">
        <f>IF($K53="","",INDEX(Horario!$R$2:$R$1500,$K53))</f>
        <v/>
      </c>
      <c r="K53">
        <f>IFERROR(MATCH($L$4&amp;"|"&amp;A53,Horario!$U$2:$U$1500,0),"")</f>
        <v/>
      </c>
    </row>
    <row r="54">
      <c r="A54" t="n">
        <v>45</v>
      </c>
      <c r="B54">
        <f>IF($K54="","",INDEX(Horario!$Q$2:$Q$1500,$K54))</f>
        <v/>
      </c>
      <c r="C54">
        <f>IF($K54="","",INDEX(Horario!$V$2:$V$1500,$K54))</f>
        <v/>
      </c>
      <c r="D54">
        <f>IF($K54="","",INDEX(Horario!$B$2:$B$1500,$K54))</f>
        <v/>
      </c>
      <c r="E54">
        <f>IF($K54="","",IF(INDEX(Horario!$K$2:$K$1500,$K54)="","(énfasis)",INDEX(Horario!$K$2:$K$1500,$K54)))</f>
        <v/>
      </c>
      <c r="F54">
        <f>IF($K54="","",INDEX(Horario!$R$2:$R$1500,$K54))</f>
        <v/>
      </c>
      <c r="K54">
        <f>IFERROR(MATCH($L$4&amp;"|"&amp;A54,Horario!$U$2:$U$1500,0),"")</f>
        <v/>
      </c>
    </row>
    <row r="55">
      <c r="A55" t="n">
        <v>46</v>
      </c>
      <c r="B55">
        <f>IF($K55="","",INDEX(Horario!$Q$2:$Q$1500,$K55))</f>
        <v/>
      </c>
      <c r="C55">
        <f>IF($K55="","",INDEX(Horario!$V$2:$V$1500,$K55))</f>
        <v/>
      </c>
      <c r="D55">
        <f>IF($K55="","",INDEX(Horario!$B$2:$B$1500,$K55))</f>
        <v/>
      </c>
      <c r="E55">
        <f>IF($K55="","",IF(INDEX(Horario!$K$2:$K$1500,$K55)="","(énfasis)",INDEX(Horario!$K$2:$K$1500,$K55)))</f>
        <v/>
      </c>
      <c r="F55">
        <f>IF($K55="","",INDEX(Horario!$R$2:$R$1500,$K55))</f>
        <v/>
      </c>
      <c r="K55">
        <f>IFERROR(MATCH($L$4&amp;"|"&amp;A55,Horario!$U$2:$U$1500,0),"")</f>
        <v/>
      </c>
    </row>
    <row r="56">
      <c r="A56" t="n">
        <v>47</v>
      </c>
      <c r="B56">
        <f>IF($K56="","",INDEX(Horario!$Q$2:$Q$1500,$K56))</f>
        <v/>
      </c>
      <c r="C56">
        <f>IF($K56="","",INDEX(Horario!$V$2:$V$1500,$K56))</f>
        <v/>
      </c>
      <c r="D56">
        <f>IF($K56="","",INDEX(Horario!$B$2:$B$1500,$K56))</f>
        <v/>
      </c>
      <c r="E56">
        <f>IF($K56="","",IF(INDEX(Horario!$K$2:$K$1500,$K56)="","(énfasis)",INDEX(Horario!$K$2:$K$1500,$K56)))</f>
        <v/>
      </c>
      <c r="F56">
        <f>IF($K56="","",INDEX(Horario!$R$2:$R$1500,$K56))</f>
        <v/>
      </c>
      <c r="K56">
        <f>IFERROR(MATCH($L$4&amp;"|"&amp;A56,Horario!$U$2:$U$1500,0),"")</f>
        <v/>
      </c>
    </row>
    <row r="57">
      <c r="A57" t="n">
        <v>48</v>
      </c>
      <c r="B57">
        <f>IF($K57="","",INDEX(Horario!$Q$2:$Q$1500,$K57))</f>
        <v/>
      </c>
      <c r="C57">
        <f>IF($K57="","",INDEX(Horario!$V$2:$V$1500,$K57))</f>
        <v/>
      </c>
      <c r="D57">
        <f>IF($K57="","",INDEX(Horario!$B$2:$B$1500,$K57))</f>
        <v/>
      </c>
      <c r="E57">
        <f>IF($K57="","",IF(INDEX(Horario!$K$2:$K$1500,$K57)="","(énfasis)",INDEX(Horario!$K$2:$K$1500,$K57)))</f>
        <v/>
      </c>
      <c r="F57">
        <f>IF($K57="","",INDEX(Horario!$R$2:$R$1500,$K57))</f>
        <v/>
      </c>
      <c r="K57">
        <f>IFERROR(MATCH($L$4&amp;"|"&amp;A57,Horario!$U$2:$U$1500,0),"")</f>
        <v/>
      </c>
    </row>
    <row r="58">
      <c r="A58" t="n">
        <v>49</v>
      </c>
      <c r="B58">
        <f>IF($K58="","",INDEX(Horario!$Q$2:$Q$1500,$K58))</f>
        <v/>
      </c>
      <c r="C58">
        <f>IF($K58="","",INDEX(Horario!$V$2:$V$1500,$K58))</f>
        <v/>
      </c>
      <c r="D58">
        <f>IF($K58="","",INDEX(Horario!$B$2:$B$1500,$K58))</f>
        <v/>
      </c>
      <c r="E58">
        <f>IF($K58="","",IF(INDEX(Horario!$K$2:$K$1500,$K58)="","(énfasis)",INDEX(Horario!$K$2:$K$1500,$K58)))</f>
        <v/>
      </c>
      <c r="F58">
        <f>IF($K58="","",INDEX(Horario!$R$2:$R$1500,$K58))</f>
        <v/>
      </c>
      <c r="K58">
        <f>IFERROR(MATCH($L$4&amp;"|"&amp;A58,Horario!$U$2:$U$1500,0),"")</f>
        <v/>
      </c>
    </row>
    <row r="59">
      <c r="A59" t="n">
        <v>50</v>
      </c>
      <c r="B59">
        <f>IF($K59="","",INDEX(Horario!$Q$2:$Q$1500,$K59))</f>
        <v/>
      </c>
      <c r="C59">
        <f>IF($K59="","",INDEX(Horario!$V$2:$V$1500,$K59))</f>
        <v/>
      </c>
      <c r="D59">
        <f>IF($K59="","",INDEX(Horario!$B$2:$B$1500,$K59))</f>
        <v/>
      </c>
      <c r="E59">
        <f>IF($K59="","",IF(INDEX(Horario!$K$2:$K$1500,$K59)="","(énfasis)",INDEX(Horario!$K$2:$K$1500,$K59)))</f>
        <v/>
      </c>
      <c r="F59">
        <f>IF($K59="","",INDEX(Horario!$R$2:$R$1500,$K59))</f>
        <v/>
      </c>
      <c r="K59">
        <f>IFERROR(MATCH($L$4&amp;"|"&amp;A59,Horario!$U$2:$U$1500,0),"")</f>
        <v/>
      </c>
    </row>
    <row r="60">
      <c r="A60" t="n">
        <v>51</v>
      </c>
      <c r="B60">
        <f>IF($K60="","",INDEX(Horario!$Q$2:$Q$1500,$K60))</f>
        <v/>
      </c>
      <c r="C60">
        <f>IF($K60="","",INDEX(Horario!$V$2:$V$1500,$K60))</f>
        <v/>
      </c>
      <c r="D60">
        <f>IF($K60="","",INDEX(Horario!$B$2:$B$1500,$K60))</f>
        <v/>
      </c>
      <c r="E60">
        <f>IF($K60="","",IF(INDEX(Horario!$K$2:$K$1500,$K60)="","(énfasis)",INDEX(Horario!$K$2:$K$1500,$K60)))</f>
        <v/>
      </c>
      <c r="F60">
        <f>IF($K60="","",INDEX(Horario!$R$2:$R$1500,$K60))</f>
        <v/>
      </c>
      <c r="K60">
        <f>IFERROR(MATCH($L$4&amp;"|"&amp;A60,Horario!$U$2:$U$1500,0),"")</f>
        <v/>
      </c>
    </row>
    <row r="61">
      <c r="A61" t="n">
        <v>52</v>
      </c>
      <c r="B61">
        <f>IF($K61="","",INDEX(Horario!$Q$2:$Q$1500,$K61))</f>
        <v/>
      </c>
      <c r="C61">
        <f>IF($K61="","",INDEX(Horario!$V$2:$V$1500,$K61))</f>
        <v/>
      </c>
      <c r="D61">
        <f>IF($K61="","",INDEX(Horario!$B$2:$B$1500,$K61))</f>
        <v/>
      </c>
      <c r="E61">
        <f>IF($K61="","",IF(INDEX(Horario!$K$2:$K$1500,$K61)="","(énfasis)",INDEX(Horario!$K$2:$K$1500,$K61)))</f>
        <v/>
      </c>
      <c r="F61">
        <f>IF($K61="","",INDEX(Horario!$R$2:$R$1500,$K61))</f>
        <v/>
      </c>
      <c r="K61">
        <f>IFERROR(MATCH($L$4&amp;"|"&amp;A61,Horario!$U$2:$U$1500,0),"")</f>
        <v/>
      </c>
    </row>
    <row r="62">
      <c r="A62" t="n">
        <v>53</v>
      </c>
      <c r="B62">
        <f>IF($K62="","",INDEX(Horario!$Q$2:$Q$1500,$K62))</f>
        <v/>
      </c>
      <c r="C62">
        <f>IF($K62="","",INDEX(Horario!$V$2:$V$1500,$K62))</f>
        <v/>
      </c>
      <c r="D62">
        <f>IF($K62="","",INDEX(Horario!$B$2:$B$1500,$K62))</f>
        <v/>
      </c>
      <c r="E62">
        <f>IF($K62="","",IF(INDEX(Horario!$K$2:$K$1500,$K62)="","(énfasis)",INDEX(Horario!$K$2:$K$1500,$K62)))</f>
        <v/>
      </c>
      <c r="F62">
        <f>IF($K62="","",INDEX(Horario!$R$2:$R$1500,$K62))</f>
        <v/>
      </c>
      <c r="K62">
        <f>IFERROR(MATCH($L$4&amp;"|"&amp;A62,Horario!$U$2:$U$1500,0),"")</f>
        <v/>
      </c>
    </row>
    <row r="63">
      <c r="A63" t="n">
        <v>54</v>
      </c>
      <c r="B63">
        <f>IF($K63="","",INDEX(Horario!$Q$2:$Q$1500,$K63))</f>
        <v/>
      </c>
      <c r="C63">
        <f>IF($K63="","",INDEX(Horario!$V$2:$V$1500,$K63))</f>
        <v/>
      </c>
      <c r="D63">
        <f>IF($K63="","",INDEX(Horario!$B$2:$B$1500,$K63))</f>
        <v/>
      </c>
      <c r="E63">
        <f>IF($K63="","",IF(INDEX(Horario!$K$2:$K$1500,$K63)="","(énfasis)",INDEX(Horario!$K$2:$K$1500,$K63)))</f>
        <v/>
      </c>
      <c r="F63">
        <f>IF($K63="","",INDEX(Horario!$R$2:$R$1500,$K63))</f>
        <v/>
      </c>
      <c r="K63">
        <f>IFERROR(MATCH($L$4&amp;"|"&amp;A63,Horario!$U$2:$U$1500,0),"")</f>
        <v/>
      </c>
    </row>
    <row r="64">
      <c r="A64" t="n">
        <v>55</v>
      </c>
      <c r="B64">
        <f>IF($K64="","",INDEX(Horario!$Q$2:$Q$1500,$K64))</f>
        <v/>
      </c>
      <c r="C64">
        <f>IF($K64="","",INDEX(Horario!$V$2:$V$1500,$K64))</f>
        <v/>
      </c>
      <c r="D64">
        <f>IF($K64="","",INDEX(Horario!$B$2:$B$1500,$K64))</f>
        <v/>
      </c>
      <c r="E64">
        <f>IF($K64="","",IF(INDEX(Horario!$K$2:$K$1500,$K64)="","(énfasis)",INDEX(Horario!$K$2:$K$1500,$K64)))</f>
        <v/>
      </c>
      <c r="F64">
        <f>IF($K64="","",INDEX(Horario!$R$2:$R$1500,$K64))</f>
        <v/>
      </c>
      <c r="K64">
        <f>IFERROR(MATCH($L$4&amp;"|"&amp;A64,Horario!$U$2:$U$1500,0),"")</f>
        <v/>
      </c>
    </row>
    <row r="65">
      <c r="A65" t="n">
        <v>56</v>
      </c>
      <c r="B65">
        <f>IF($K65="","",INDEX(Horario!$Q$2:$Q$1500,$K65))</f>
        <v/>
      </c>
      <c r="C65">
        <f>IF($K65="","",INDEX(Horario!$V$2:$V$1500,$K65))</f>
        <v/>
      </c>
      <c r="D65">
        <f>IF($K65="","",INDEX(Horario!$B$2:$B$1500,$K65))</f>
        <v/>
      </c>
      <c r="E65">
        <f>IF($K65="","",IF(INDEX(Horario!$K$2:$K$1500,$K65)="","(énfasis)",INDEX(Horario!$K$2:$K$1500,$K65)))</f>
        <v/>
      </c>
      <c r="F65">
        <f>IF($K65="","",INDEX(Horario!$R$2:$R$1500,$K65))</f>
        <v/>
      </c>
      <c r="K65">
        <f>IFERROR(MATCH($L$4&amp;"|"&amp;A65,Horario!$U$2:$U$1500,0),"")</f>
        <v/>
      </c>
    </row>
    <row r="66">
      <c r="A66" t="n">
        <v>57</v>
      </c>
      <c r="B66">
        <f>IF($K66="","",INDEX(Horario!$Q$2:$Q$1500,$K66))</f>
        <v/>
      </c>
      <c r="C66">
        <f>IF($K66="","",INDEX(Horario!$V$2:$V$1500,$K66))</f>
        <v/>
      </c>
      <c r="D66">
        <f>IF($K66="","",INDEX(Horario!$B$2:$B$1500,$K66))</f>
        <v/>
      </c>
      <c r="E66">
        <f>IF($K66="","",IF(INDEX(Horario!$K$2:$K$1500,$K66)="","(énfasis)",INDEX(Horario!$K$2:$K$1500,$K66)))</f>
        <v/>
      </c>
      <c r="F66">
        <f>IF($K66="","",INDEX(Horario!$R$2:$R$1500,$K66))</f>
        <v/>
      </c>
      <c r="K66">
        <f>IFERROR(MATCH($L$4&amp;"|"&amp;A66,Horario!$U$2:$U$1500,0),"")</f>
        <v/>
      </c>
    </row>
    <row r="67">
      <c r="A67" t="n">
        <v>58</v>
      </c>
      <c r="B67">
        <f>IF($K67="","",INDEX(Horario!$Q$2:$Q$1500,$K67))</f>
        <v/>
      </c>
      <c r="C67">
        <f>IF($K67="","",INDEX(Horario!$V$2:$V$1500,$K67))</f>
        <v/>
      </c>
      <c r="D67">
        <f>IF($K67="","",INDEX(Horario!$B$2:$B$1500,$K67))</f>
        <v/>
      </c>
      <c r="E67">
        <f>IF($K67="","",IF(INDEX(Horario!$K$2:$K$1500,$K67)="","(énfasis)",INDEX(Horario!$K$2:$K$1500,$K67)))</f>
        <v/>
      </c>
      <c r="F67">
        <f>IF($K67="","",INDEX(Horario!$R$2:$R$1500,$K67))</f>
        <v/>
      </c>
      <c r="K67">
        <f>IFERROR(MATCH($L$4&amp;"|"&amp;A67,Horario!$U$2:$U$1500,0),"")</f>
        <v/>
      </c>
    </row>
    <row r="68">
      <c r="A68" t="n">
        <v>59</v>
      </c>
      <c r="B68">
        <f>IF($K68="","",INDEX(Horario!$Q$2:$Q$1500,$K68))</f>
        <v/>
      </c>
      <c r="C68">
        <f>IF($K68="","",INDEX(Horario!$V$2:$V$1500,$K68))</f>
        <v/>
      </c>
      <c r="D68">
        <f>IF($K68="","",INDEX(Horario!$B$2:$B$1500,$K68))</f>
        <v/>
      </c>
      <c r="E68">
        <f>IF($K68="","",IF(INDEX(Horario!$K$2:$K$1500,$K68)="","(énfasis)",INDEX(Horario!$K$2:$K$1500,$K68)))</f>
        <v/>
      </c>
      <c r="F68">
        <f>IF($K68="","",INDEX(Horario!$R$2:$R$1500,$K68))</f>
        <v/>
      </c>
      <c r="K68">
        <f>IFERROR(MATCH($L$4&amp;"|"&amp;A68,Horario!$U$2:$U$1500,0),"")</f>
        <v/>
      </c>
    </row>
    <row r="69">
      <c r="A69" t="n">
        <v>60</v>
      </c>
      <c r="B69">
        <f>IF($K69="","",INDEX(Horario!$Q$2:$Q$1500,$K69))</f>
        <v/>
      </c>
      <c r="C69">
        <f>IF($K69="","",INDEX(Horario!$V$2:$V$1500,$K69))</f>
        <v/>
      </c>
      <c r="D69">
        <f>IF($K69="","",INDEX(Horario!$B$2:$B$1500,$K69))</f>
        <v/>
      </c>
      <c r="E69">
        <f>IF($K69="","",IF(INDEX(Horario!$K$2:$K$1500,$K69)="","(énfasis)",INDEX(Horario!$K$2:$K$1500,$K69)))</f>
        <v/>
      </c>
      <c r="F69">
        <f>IF($K69="","",INDEX(Horario!$R$2:$R$1500,$K69))</f>
        <v/>
      </c>
      <c r="K69">
        <f>IFERROR(MATCH($L$4&amp;"|"&amp;A69,Horario!$U$2:$U$1500,0),"")</f>
        <v/>
      </c>
    </row>
    <row r="70">
      <c r="A70" t="n">
        <v>61</v>
      </c>
      <c r="B70">
        <f>IF($K70="","",INDEX(Horario!$Q$2:$Q$1500,$K70))</f>
        <v/>
      </c>
      <c r="C70">
        <f>IF($K70="","",INDEX(Horario!$V$2:$V$1500,$K70))</f>
        <v/>
      </c>
      <c r="D70">
        <f>IF($K70="","",INDEX(Horario!$B$2:$B$1500,$K70))</f>
        <v/>
      </c>
      <c r="E70">
        <f>IF($K70="","",IF(INDEX(Horario!$K$2:$K$1500,$K70)="","(énfasis)",INDEX(Horario!$K$2:$K$1500,$K70)))</f>
        <v/>
      </c>
      <c r="F70">
        <f>IF($K70="","",INDEX(Horario!$R$2:$R$1500,$K70))</f>
        <v/>
      </c>
      <c r="K70">
        <f>IFERROR(MATCH($L$4&amp;"|"&amp;A70,Horario!$U$2:$U$1500,0),"")</f>
        <v/>
      </c>
    </row>
    <row r="71">
      <c r="A71" t="n">
        <v>62</v>
      </c>
      <c r="B71">
        <f>IF($K71="","",INDEX(Horario!$Q$2:$Q$1500,$K71))</f>
        <v/>
      </c>
      <c r="C71">
        <f>IF($K71="","",INDEX(Horario!$V$2:$V$1500,$K71))</f>
        <v/>
      </c>
      <c r="D71">
        <f>IF($K71="","",INDEX(Horario!$B$2:$B$1500,$K71))</f>
        <v/>
      </c>
      <c r="E71">
        <f>IF($K71="","",IF(INDEX(Horario!$K$2:$K$1500,$K71)="","(énfasis)",INDEX(Horario!$K$2:$K$1500,$K71)))</f>
        <v/>
      </c>
      <c r="F71">
        <f>IF($K71="","",INDEX(Horario!$R$2:$R$1500,$K71))</f>
        <v/>
      </c>
      <c r="K71">
        <f>IFERROR(MATCH($L$4&amp;"|"&amp;A71,Horario!$U$2:$U$1500,0),"")</f>
        <v/>
      </c>
    </row>
    <row r="72">
      <c r="A72" t="n">
        <v>63</v>
      </c>
      <c r="B72">
        <f>IF($K72="","",INDEX(Horario!$Q$2:$Q$1500,$K72))</f>
        <v/>
      </c>
      <c r="C72">
        <f>IF($K72="","",INDEX(Horario!$V$2:$V$1500,$K72))</f>
        <v/>
      </c>
      <c r="D72">
        <f>IF($K72="","",INDEX(Horario!$B$2:$B$1500,$K72))</f>
        <v/>
      </c>
      <c r="E72">
        <f>IF($K72="","",IF(INDEX(Horario!$K$2:$K$1500,$K72)="","(énfasis)",INDEX(Horario!$K$2:$K$1500,$K72)))</f>
        <v/>
      </c>
      <c r="F72">
        <f>IF($K72="","",INDEX(Horario!$R$2:$R$1500,$K72))</f>
        <v/>
      </c>
      <c r="K72">
        <f>IFERROR(MATCH($L$4&amp;"|"&amp;A72,Horario!$U$2:$U$1500,0),"")</f>
        <v/>
      </c>
    </row>
    <row r="73">
      <c r="A73" t="n">
        <v>64</v>
      </c>
      <c r="B73">
        <f>IF($K73="","",INDEX(Horario!$Q$2:$Q$1500,$K73))</f>
        <v/>
      </c>
      <c r="C73">
        <f>IF($K73="","",INDEX(Horario!$V$2:$V$1500,$K73))</f>
        <v/>
      </c>
      <c r="D73">
        <f>IF($K73="","",INDEX(Horario!$B$2:$B$1500,$K73))</f>
        <v/>
      </c>
      <c r="E73">
        <f>IF($K73="","",IF(INDEX(Horario!$K$2:$K$1500,$K73)="","(énfasis)",INDEX(Horario!$K$2:$K$1500,$K73)))</f>
        <v/>
      </c>
      <c r="F73">
        <f>IF($K73="","",INDEX(Horario!$R$2:$R$1500,$K73))</f>
        <v/>
      </c>
      <c r="K73">
        <f>IFERROR(MATCH($L$4&amp;"|"&amp;A73,Horario!$U$2:$U$1500,0),"")</f>
        <v/>
      </c>
    </row>
    <row r="74">
      <c r="A74" t="n">
        <v>65</v>
      </c>
      <c r="B74">
        <f>IF($K74="","",INDEX(Horario!$Q$2:$Q$1500,$K74))</f>
        <v/>
      </c>
      <c r="C74">
        <f>IF($K74="","",INDEX(Horario!$V$2:$V$1500,$K74))</f>
        <v/>
      </c>
      <c r="D74">
        <f>IF($K74="","",INDEX(Horario!$B$2:$B$1500,$K74))</f>
        <v/>
      </c>
      <c r="E74">
        <f>IF($K74="","",IF(INDEX(Horario!$K$2:$K$1500,$K74)="","(énfasis)",INDEX(Horario!$K$2:$K$1500,$K74)))</f>
        <v/>
      </c>
      <c r="F74">
        <f>IF($K74="","",INDEX(Horario!$R$2:$R$1500,$K74))</f>
        <v/>
      </c>
      <c r="K74">
        <f>IFERROR(MATCH($L$4&amp;"|"&amp;A74,Horario!$U$2:$U$1500,0),"")</f>
        <v/>
      </c>
    </row>
    <row r="75">
      <c r="A75" t="n">
        <v>66</v>
      </c>
      <c r="B75">
        <f>IF($K75="","",INDEX(Horario!$Q$2:$Q$1500,$K75))</f>
        <v/>
      </c>
      <c r="C75">
        <f>IF($K75="","",INDEX(Horario!$V$2:$V$1500,$K75))</f>
        <v/>
      </c>
      <c r="D75">
        <f>IF($K75="","",INDEX(Horario!$B$2:$B$1500,$K75))</f>
        <v/>
      </c>
      <c r="E75">
        <f>IF($K75="","",IF(INDEX(Horario!$K$2:$K$1500,$K75)="","(énfasis)",INDEX(Horario!$K$2:$K$1500,$K75)))</f>
        <v/>
      </c>
      <c r="F75">
        <f>IF($K75="","",INDEX(Horario!$R$2:$R$1500,$K75))</f>
        <v/>
      </c>
      <c r="K75">
        <f>IFERROR(MATCH($L$4&amp;"|"&amp;A75,Horario!$U$2:$U$1500,0),"")</f>
        <v/>
      </c>
    </row>
    <row r="76">
      <c r="A76" t="n">
        <v>67</v>
      </c>
      <c r="B76">
        <f>IF($K76="","",INDEX(Horario!$Q$2:$Q$1500,$K76))</f>
        <v/>
      </c>
      <c r="C76">
        <f>IF($K76="","",INDEX(Horario!$V$2:$V$1500,$K76))</f>
        <v/>
      </c>
      <c r="D76">
        <f>IF($K76="","",INDEX(Horario!$B$2:$B$1500,$K76))</f>
        <v/>
      </c>
      <c r="E76">
        <f>IF($K76="","",IF(INDEX(Horario!$K$2:$K$1500,$K76)="","(énfasis)",INDEX(Horario!$K$2:$K$1500,$K76)))</f>
        <v/>
      </c>
      <c r="F76">
        <f>IF($K76="","",INDEX(Horario!$R$2:$R$1500,$K76))</f>
        <v/>
      </c>
      <c r="K76">
        <f>IFERROR(MATCH($L$4&amp;"|"&amp;A76,Horario!$U$2:$U$1500,0),"")</f>
        <v/>
      </c>
    </row>
    <row r="77">
      <c r="A77" t="n">
        <v>68</v>
      </c>
      <c r="B77">
        <f>IF($K77="","",INDEX(Horario!$Q$2:$Q$1500,$K77))</f>
        <v/>
      </c>
      <c r="C77">
        <f>IF($K77="","",INDEX(Horario!$V$2:$V$1500,$K77))</f>
        <v/>
      </c>
      <c r="D77">
        <f>IF($K77="","",INDEX(Horario!$B$2:$B$1500,$K77))</f>
        <v/>
      </c>
      <c r="E77">
        <f>IF($K77="","",IF(INDEX(Horario!$K$2:$K$1500,$K77)="","(énfasis)",INDEX(Horario!$K$2:$K$1500,$K77)))</f>
        <v/>
      </c>
      <c r="F77">
        <f>IF($K77="","",INDEX(Horario!$R$2:$R$1500,$K77))</f>
        <v/>
      </c>
      <c r="K77">
        <f>IFERROR(MATCH($L$4&amp;"|"&amp;A77,Horario!$U$2:$U$1500,0),"")</f>
        <v/>
      </c>
    </row>
    <row r="78">
      <c r="A78" t="n">
        <v>69</v>
      </c>
      <c r="B78">
        <f>IF($K78="","",INDEX(Horario!$Q$2:$Q$1500,$K78))</f>
        <v/>
      </c>
      <c r="C78">
        <f>IF($K78="","",INDEX(Horario!$V$2:$V$1500,$K78))</f>
        <v/>
      </c>
      <c r="D78">
        <f>IF($K78="","",INDEX(Horario!$B$2:$B$1500,$K78))</f>
        <v/>
      </c>
      <c r="E78">
        <f>IF($K78="","",IF(INDEX(Horario!$K$2:$K$1500,$K78)="","(énfasis)",INDEX(Horario!$K$2:$K$1500,$K78)))</f>
        <v/>
      </c>
      <c r="F78">
        <f>IF($K78="","",INDEX(Horario!$R$2:$R$1500,$K78))</f>
        <v/>
      </c>
      <c r="K78">
        <f>IFERROR(MATCH($L$4&amp;"|"&amp;A78,Horario!$U$2:$U$1500,0),"")</f>
        <v/>
      </c>
    </row>
    <row r="79">
      <c r="A79" t="n">
        <v>70</v>
      </c>
      <c r="B79">
        <f>IF($K79="","",INDEX(Horario!$Q$2:$Q$1500,$K79))</f>
        <v/>
      </c>
      <c r="C79">
        <f>IF($K79="","",INDEX(Horario!$V$2:$V$1500,$K79))</f>
        <v/>
      </c>
      <c r="D79">
        <f>IF($K79="","",INDEX(Horario!$B$2:$B$1500,$K79))</f>
        <v/>
      </c>
      <c r="E79">
        <f>IF($K79="","",IF(INDEX(Horario!$K$2:$K$1500,$K79)="","(énfasis)",INDEX(Horario!$K$2:$K$1500,$K79)))</f>
        <v/>
      </c>
      <c r="F79">
        <f>IF($K79="","",INDEX(Horario!$R$2:$R$1500,$K79))</f>
        <v/>
      </c>
      <c r="K79">
        <f>IFERROR(MATCH($L$4&amp;"|"&amp;A79,Horario!$U$2:$U$1500,0),"")</f>
        <v/>
      </c>
    </row>
  </sheetData>
  <conditionalFormatting sqref="A10:I79">
    <cfRule type="expression" priority="1" dxfId="0">
      <formula>$G10="No asistió"</formula>
    </cfRule>
    <cfRule type="expression" priority="2" dxfId="1">
      <formula>LEFT($G10,7)="Llegada"</formula>
    </cfRule>
    <cfRule type="expression" priority="3" dxfId="2">
      <formula>$G10="Presente"</formula>
    </cfRule>
  </conditionalFormatting>
  <dataValidations count="4">
    <dataValidation sqref="D3" showDropDown="0" showInputMessage="0" showErrorMessage="0" allowBlank="1" type="list">
      <formula1>"LUNES,MARTES,MIERCOLES,JUEVES,VIERNES"</formula1>
    </dataValidation>
    <dataValidation sqref="D4" showDropDown="0" showInputMessage="0" showErrorMessage="0" allowBlank="1" type="list">
      <formula1>"1,2,3,4,5,6,7,8"</formula1>
    </dataValidation>
    <dataValidation sqref="G10:G79" showDropDown="0" showInputMessage="0" showErrorMessage="0" allowBlank="1" type="list">
      <formula1>=Listas!$B$2:$B$7</formula1>
    </dataValidation>
    <dataValidation sqref="H10:H79" showDropDown="0" showInputMessage="0" showErrorMessage="0" allowBlank="1" type="list">
      <formula1>=Motivos!$B$2:$B$40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2" customWidth="1" min="3" max="3"/>
    <col width="19" customWidth="1" min="4" max="4"/>
    <col width="36" customWidth="1" min="5" max="5"/>
    <col width="14" customWidth="1" min="6" max="6"/>
    <col width="15" customWidth="1" min="7" max="7"/>
    <col width="17" customWidth="1" min="8" max="8"/>
    <col width="9" customWidth="1" min="9" max="9"/>
    <col width="9" customWidth="1" min="10" max="10"/>
    <col width="15" customWidth="1" min="11" max="11"/>
    <col width="45" customWidth="1" min="12" max="12"/>
    <col width="36" customWidth="1" min="13" max="13"/>
    <col width="13" customWidth="1" min="14" max="14"/>
  </cols>
  <sheetData>
    <row r="1">
      <c r="A1" s="6" t="inlineStr">
        <is>
          <t>codigo</t>
        </is>
      </c>
      <c r="B1" s="6" t="inlineStr">
        <is>
          <t>n</t>
        </is>
      </c>
      <c r="C1" s="6" t="inlineStr">
        <is>
          <t>apellidos</t>
        </is>
      </c>
      <c r="D1" s="6" t="inlineStr">
        <is>
          <t>nombres</t>
        </is>
      </c>
      <c r="E1" s="6" t="inlineStr">
        <is>
          <t>nombre_completo</t>
        </is>
      </c>
      <c r="F1" s="6" t="inlineStr">
        <is>
          <t>nivel</t>
        </is>
      </c>
      <c r="G1" s="6" t="inlineStr">
        <is>
          <t>grupo_titular</t>
        </is>
      </c>
      <c r="H1" s="6" t="inlineStr">
        <is>
          <t>direccion_grupo</t>
        </is>
      </c>
      <c r="I1" s="6" t="inlineStr">
        <is>
          <t>areas</t>
        </is>
      </c>
      <c r="J1" s="6" t="inlineStr">
        <is>
          <t>correo</t>
        </is>
      </c>
      <c r="K1" s="6" t="inlineStr">
        <is>
          <t>tiene_horario</t>
        </is>
      </c>
      <c r="L1" s="6" t="inlineStr">
        <is>
          <t>nota</t>
        </is>
      </c>
    </row>
    <row r="2">
      <c r="A2" t="inlineStr">
        <is>
          <t>D001</t>
        </is>
      </c>
      <c r="B2" t="inlineStr">
        <is>
          <t>1</t>
        </is>
      </c>
      <c r="C2" t="inlineStr">
        <is>
          <t>Aguirre Riascos</t>
        </is>
      </c>
      <c r="D2" t="inlineStr">
        <is>
          <t>Jorge Andrés</t>
        </is>
      </c>
      <c r="E2" t="inlineStr">
        <is>
          <t>Aguirre Riascos Jorge Andrés</t>
        </is>
      </c>
      <c r="F2" t="inlineStr">
        <is>
          <t>SECUNDARIA</t>
        </is>
      </c>
      <c r="G2" t="inlineStr"/>
      <c r="H2" t="inlineStr">
        <is>
          <t>7°-3</t>
        </is>
      </c>
      <c r="I2" t="inlineStr">
        <is>
          <t>TEI</t>
        </is>
      </c>
      <c r="J2" t="inlineStr"/>
      <c r="K2" t="inlineStr">
        <is>
          <t>SI</t>
        </is>
      </c>
      <c r="L2" t="inlineStr"/>
    </row>
    <row r="3">
      <c r="A3" t="inlineStr">
        <is>
          <t>D002</t>
        </is>
      </c>
      <c r="B3" t="inlineStr">
        <is>
          <t>2</t>
        </is>
      </c>
      <c r="C3" t="inlineStr">
        <is>
          <t>Angulo Lucero</t>
        </is>
      </c>
      <c r="D3" t="inlineStr">
        <is>
          <t>Andrés Mauricio</t>
        </is>
      </c>
      <c r="E3" t="inlineStr">
        <is>
          <t>Angulo Lucero Andrés Mauricio</t>
        </is>
      </c>
      <c r="F3" t="inlineStr">
        <is>
          <t>SECUNDARIA</t>
        </is>
      </c>
      <c r="G3" t="inlineStr"/>
      <c r="H3" t="inlineStr">
        <is>
          <t>11°-1</t>
        </is>
      </c>
      <c r="I3" t="inlineStr">
        <is>
          <t>TEI</t>
        </is>
      </c>
      <c r="J3" t="inlineStr"/>
      <c r="K3" t="inlineStr">
        <is>
          <t>SI</t>
        </is>
      </c>
      <c r="L3" t="inlineStr"/>
    </row>
    <row r="4">
      <c r="A4" t="inlineStr">
        <is>
          <t>D003</t>
        </is>
      </c>
      <c r="B4" t="inlineStr">
        <is>
          <t>3</t>
        </is>
      </c>
      <c r="C4" t="inlineStr">
        <is>
          <t>Arboleda Ortiz</t>
        </is>
      </c>
      <c r="D4" t="inlineStr">
        <is>
          <t>Luz América</t>
        </is>
      </c>
      <c r="E4" t="inlineStr">
        <is>
          <t>Arboleda Ortiz Luz América</t>
        </is>
      </c>
      <c r="F4" t="inlineStr">
        <is>
          <t>SECUNDARIA</t>
        </is>
      </c>
      <c r="G4" t="inlineStr"/>
      <c r="H4" t="inlineStr">
        <is>
          <t>11°-2</t>
        </is>
      </c>
      <c r="I4" t="inlineStr">
        <is>
          <t>ART</t>
        </is>
      </c>
      <c r="J4" t="inlineStr"/>
      <c r="K4" t="inlineStr">
        <is>
          <t>SI</t>
        </is>
      </c>
      <c r="L4" t="inlineStr"/>
    </row>
    <row r="5">
      <c r="A5" t="inlineStr">
        <is>
          <t>D004</t>
        </is>
      </c>
      <c r="B5" t="inlineStr">
        <is>
          <t>4</t>
        </is>
      </c>
      <c r="C5" t="inlineStr">
        <is>
          <t>Arizala Castro</t>
        </is>
      </c>
      <c r="D5" t="inlineStr">
        <is>
          <t>Roberto Carlos</t>
        </is>
      </c>
      <c r="E5" t="inlineStr">
        <is>
          <t>Arizala Castro Roberto Carlos</t>
        </is>
      </c>
      <c r="F5" t="inlineStr">
        <is>
          <t>SECUNDARIA</t>
        </is>
      </c>
      <c r="G5" t="inlineStr"/>
      <c r="H5" t="inlineStr">
        <is>
          <t>7°-4</t>
        </is>
      </c>
      <c r="I5" t="inlineStr">
        <is>
          <t>CNA/ERD</t>
        </is>
      </c>
      <c r="J5" t="inlineStr"/>
      <c r="K5" t="inlineStr">
        <is>
          <t>SI</t>
        </is>
      </c>
      <c r="L5" t="inlineStr">
        <is>
          <t>Desde el cambio del rector atiende todo el horario (Educación Física y Ciencias Naturales) que tenía Terán</t>
        </is>
      </c>
      <c r="M5" t="inlineStr">
        <is>
          <t xml:space="preserve"> hoy Armero (Docente 2)</t>
        </is>
      </c>
    </row>
    <row r="6">
      <c r="A6" t="inlineStr">
        <is>
          <t>D005</t>
        </is>
      </c>
      <c r="B6" t="inlineStr">
        <is>
          <t>5</t>
        </is>
      </c>
      <c r="C6" t="inlineStr">
        <is>
          <t>Bastidas Valencia</t>
        </is>
      </c>
      <c r="D6" t="inlineStr">
        <is>
          <t>Zeneida Judith</t>
        </is>
      </c>
      <c r="E6" t="inlineStr">
        <is>
          <t>Bastidas Valencia Zeneida Judith</t>
        </is>
      </c>
      <c r="F6" t="inlineStr">
        <is>
          <t>SECUNDARIA</t>
        </is>
      </c>
      <c r="G6" t="inlineStr"/>
      <c r="H6" t="inlineStr">
        <is>
          <t>9°-2</t>
        </is>
      </c>
      <c r="I6" t="inlineStr">
        <is>
          <t>MAT</t>
        </is>
      </c>
      <c r="J6" t="inlineStr"/>
      <c r="K6" t="inlineStr">
        <is>
          <t>SI</t>
        </is>
      </c>
      <c r="L6" t="inlineStr"/>
    </row>
    <row r="7">
      <c r="A7" t="inlineStr">
        <is>
          <t>D006</t>
        </is>
      </c>
      <c r="B7" t="inlineStr">
        <is>
          <t>6</t>
        </is>
      </c>
      <c r="C7" t="inlineStr">
        <is>
          <t>Betancourth Ocampo</t>
        </is>
      </c>
      <c r="D7" t="inlineStr">
        <is>
          <t>Yohana Patricia</t>
        </is>
      </c>
      <c r="E7" t="inlineStr">
        <is>
          <t>Betancourth Ocampo Yohana Patricia</t>
        </is>
      </c>
      <c r="F7" t="inlineStr">
        <is>
          <t>SECUNDARIA</t>
        </is>
      </c>
      <c r="G7" t="inlineStr"/>
      <c r="H7" t="inlineStr">
        <is>
          <t>10°-2</t>
        </is>
      </c>
      <c r="I7" t="inlineStr">
        <is>
          <t>CSI</t>
        </is>
      </c>
      <c r="J7" t="inlineStr"/>
      <c r="K7" t="inlineStr">
        <is>
          <t>SI</t>
        </is>
      </c>
      <c r="L7" t="inlineStr"/>
    </row>
    <row r="8">
      <c r="A8" t="inlineStr">
        <is>
          <t>D007</t>
        </is>
      </c>
      <c r="B8" t="inlineStr">
        <is>
          <t>7</t>
        </is>
      </c>
      <c r="C8" t="inlineStr">
        <is>
          <t>Casanova Casanova</t>
        </is>
      </c>
      <c r="D8" t="inlineStr">
        <is>
          <t>Johana Andrea</t>
        </is>
      </c>
      <c r="E8" t="inlineStr">
        <is>
          <t>Casanova Casanova Johana Andrea</t>
        </is>
      </c>
      <c r="F8" t="inlineStr">
        <is>
          <t>ORIENTACIÓN</t>
        </is>
      </c>
      <c r="G8" t="inlineStr"/>
      <c r="H8" t="inlineStr"/>
      <c r="I8" t="inlineStr"/>
      <c r="J8" t="inlineStr"/>
      <c r="K8" t="inlineStr">
        <is>
          <t>SI</t>
        </is>
      </c>
      <c r="L8" t="inlineStr">
        <is>
          <t>Docente orientadora: sin grupos, trabaja con todos los niveles</t>
        </is>
      </c>
    </row>
    <row r="9">
      <c r="A9" t="inlineStr">
        <is>
          <t>D008</t>
        </is>
      </c>
      <c r="B9" t="inlineStr">
        <is>
          <t>8</t>
        </is>
      </c>
      <c r="C9" t="inlineStr">
        <is>
          <t>Casanova Quiñones</t>
        </is>
      </c>
      <c r="D9" t="inlineStr">
        <is>
          <t>Yoli del Carmen</t>
        </is>
      </c>
      <c r="E9" t="inlineStr">
        <is>
          <t>Casanova Quiñones Yoli del Carmen</t>
        </is>
      </c>
      <c r="F9" t="inlineStr">
        <is>
          <t>SECUNDARIA</t>
        </is>
      </c>
      <c r="G9" t="inlineStr"/>
      <c r="H9" t="inlineStr">
        <is>
          <t>8°-2</t>
        </is>
      </c>
      <c r="I9" t="inlineStr">
        <is>
          <t>ETR</t>
        </is>
      </c>
      <c r="J9" t="inlineStr"/>
      <c r="K9" t="inlineStr">
        <is>
          <t>SI</t>
        </is>
      </c>
      <c r="L9" t="inlineStr"/>
    </row>
    <row r="10">
      <c r="A10" t="inlineStr">
        <is>
          <t>D009</t>
        </is>
      </c>
      <c r="B10" t="inlineStr">
        <is>
          <t>9</t>
        </is>
      </c>
      <c r="C10" t="inlineStr">
        <is>
          <t>Castillo Angulo</t>
        </is>
      </c>
      <c r="D10" t="inlineStr">
        <is>
          <t>Martha Cecilia</t>
        </is>
      </c>
      <c r="E10" t="inlineStr">
        <is>
          <t>Castillo Angulo Martha Cecilia</t>
        </is>
      </c>
      <c r="F10" t="inlineStr">
        <is>
          <t>SECUNDARIA</t>
        </is>
      </c>
      <c r="G10" t="inlineStr"/>
      <c r="H10" t="inlineStr">
        <is>
          <t>7°-3</t>
        </is>
      </c>
      <c r="I10" t="inlineStr">
        <is>
          <t>ETR</t>
        </is>
      </c>
      <c r="J10" t="inlineStr"/>
      <c r="K10" t="inlineStr">
        <is>
          <t>SI</t>
        </is>
      </c>
      <c r="L10" t="inlineStr"/>
    </row>
    <row r="11">
      <c r="A11" t="inlineStr">
        <is>
          <t>D010</t>
        </is>
      </c>
      <c r="B11" t="inlineStr">
        <is>
          <t>10</t>
        </is>
      </c>
      <c r="C11" t="inlineStr">
        <is>
          <t>Castillo Cuero</t>
        </is>
      </c>
      <c r="D11" t="inlineStr">
        <is>
          <t>Daira Eneida</t>
        </is>
      </c>
      <c r="E11" t="inlineStr">
        <is>
          <t>Castillo Cuero Daira Eneida</t>
        </is>
      </c>
      <c r="F11" t="inlineStr">
        <is>
          <t>SECUNDARIA</t>
        </is>
      </c>
      <c r="G11" t="inlineStr"/>
      <c r="H11" t="inlineStr">
        <is>
          <t>7°-1</t>
        </is>
      </c>
      <c r="I11" t="inlineStr">
        <is>
          <t>CAS</t>
        </is>
      </c>
      <c r="J11" t="inlineStr"/>
      <c r="K11" t="inlineStr">
        <is>
          <t>SI</t>
        </is>
      </c>
      <c r="L11" t="inlineStr"/>
    </row>
    <row r="12">
      <c r="A12" t="inlineStr">
        <is>
          <t>D011</t>
        </is>
      </c>
      <c r="B12" t="inlineStr">
        <is>
          <t>11</t>
        </is>
      </c>
      <c r="C12" t="inlineStr">
        <is>
          <t>Centeno Zúñiga</t>
        </is>
      </c>
      <c r="D12" t="inlineStr">
        <is>
          <t>Claudia Patricia</t>
        </is>
      </c>
      <c r="E12" t="inlineStr">
        <is>
          <t>Centeno Zúñiga Claudia Patricia</t>
        </is>
      </c>
      <c r="F12" t="inlineStr">
        <is>
          <t>PRIMARIA</t>
        </is>
      </c>
      <c r="G12" t="inlineStr">
        <is>
          <t>0502</t>
        </is>
      </c>
      <c r="H12" t="inlineStr">
        <is>
          <t>5°-2</t>
        </is>
      </c>
      <c r="I12" t="inlineStr"/>
      <c r="J12" t="inlineStr"/>
      <c r="K12" t="inlineStr">
        <is>
          <t>SI</t>
        </is>
      </c>
      <c r="L12" t="inlineStr">
        <is>
          <t>Grupo según DIRECCIÓN DE GRUPO 2026</t>
        </is>
      </c>
    </row>
    <row r="13">
      <c r="A13" t="inlineStr">
        <is>
          <t>D012</t>
        </is>
      </c>
      <c r="B13" t="inlineStr">
        <is>
          <t>12</t>
        </is>
      </c>
      <c r="C13" t="inlineStr">
        <is>
          <t>Chillambo Quiñones</t>
        </is>
      </c>
      <c r="D13" t="inlineStr">
        <is>
          <t>María Rocío</t>
        </is>
      </c>
      <c r="E13" t="inlineStr">
        <is>
          <t>Chillambo Quiñones María Rocío</t>
        </is>
      </c>
      <c r="F13" t="inlineStr">
        <is>
          <t>SECUNDARIA</t>
        </is>
      </c>
      <c r="G13" t="inlineStr"/>
      <c r="H13" t="inlineStr">
        <is>
          <t>8°-2</t>
        </is>
      </c>
      <c r="I13" t="inlineStr">
        <is>
          <t>CNA</t>
        </is>
      </c>
      <c r="J13" t="inlineStr"/>
      <c r="K13" t="inlineStr">
        <is>
          <t>SI</t>
        </is>
      </c>
      <c r="L13" t="inlineStr"/>
    </row>
    <row r="14">
      <c r="A14" t="inlineStr">
        <is>
          <t>D013</t>
        </is>
      </c>
      <c r="B14" t="inlineStr">
        <is>
          <t>13</t>
        </is>
      </c>
      <c r="C14" t="inlineStr">
        <is>
          <t>Cortés Salazar</t>
        </is>
      </c>
      <c r="D14" t="inlineStr">
        <is>
          <t>María Ebelice</t>
        </is>
      </c>
      <c r="E14" t="inlineStr">
        <is>
          <t>Cortés Salazar María Ebelice</t>
        </is>
      </c>
      <c r="F14" t="inlineStr">
        <is>
          <t>PRIMARIA</t>
        </is>
      </c>
      <c r="G14" t="inlineStr">
        <is>
          <t>0201</t>
        </is>
      </c>
      <c r="H14" t="inlineStr">
        <is>
          <t>2°-1</t>
        </is>
      </c>
      <c r="I14" t="inlineStr"/>
      <c r="J14" t="inlineStr"/>
      <c r="K14" t="inlineStr">
        <is>
          <t>SI</t>
        </is>
      </c>
      <c r="L14" t="inlineStr">
        <is>
          <t>Grupo según DIRECCIÓN DE GRUPO 2026</t>
        </is>
      </c>
    </row>
    <row r="15">
      <c r="A15" t="inlineStr">
        <is>
          <t>D014</t>
        </is>
      </c>
      <c r="B15" t="inlineStr">
        <is>
          <t>14</t>
        </is>
      </c>
      <c r="C15" t="inlineStr">
        <is>
          <t>Cuéllar Gallo</t>
        </is>
      </c>
      <c r="D15" t="inlineStr">
        <is>
          <t>Nemesia</t>
        </is>
      </c>
      <c r="E15" t="inlineStr">
        <is>
          <t>Cuéllar Gallo Nemesia</t>
        </is>
      </c>
      <c r="F15" t="inlineStr">
        <is>
          <t>PRIMARIA</t>
        </is>
      </c>
      <c r="G15" t="inlineStr">
        <is>
          <t>0501</t>
        </is>
      </c>
      <c r="H15" t="inlineStr">
        <is>
          <t>5°-1</t>
        </is>
      </c>
      <c r="I15" t="inlineStr"/>
      <c r="J15" t="inlineStr"/>
      <c r="K15" t="inlineStr">
        <is>
          <t>SI</t>
        </is>
      </c>
      <c r="L15" t="inlineStr">
        <is>
          <t>Grupo según DIRECCIÓN DE GRUPO 2026</t>
        </is>
      </c>
    </row>
    <row r="16">
      <c r="A16" t="inlineStr">
        <is>
          <t>D015</t>
        </is>
      </c>
      <c r="B16" t="inlineStr">
        <is>
          <t>15</t>
        </is>
      </c>
      <c r="C16" t="inlineStr">
        <is>
          <t>Cuero Bamba</t>
        </is>
      </c>
      <c r="D16" t="inlineStr">
        <is>
          <t>Berte Levi</t>
        </is>
      </c>
      <c r="E16" t="inlineStr">
        <is>
          <t>Cuero Bamba Berte Levi</t>
        </is>
      </c>
      <c r="F16" t="inlineStr">
        <is>
          <t>SECUNDARIA</t>
        </is>
      </c>
      <c r="G16" t="inlineStr"/>
      <c r="H16" t="inlineStr">
        <is>
          <t>CS 2-2</t>
        </is>
      </c>
      <c r="I16" t="inlineStr">
        <is>
          <t>ERD</t>
        </is>
      </c>
      <c r="J16" t="inlineStr"/>
      <c r="K16" t="inlineStr">
        <is>
          <t>SI</t>
        </is>
      </c>
      <c r="L16" t="inlineStr"/>
    </row>
    <row r="17">
      <c r="A17" t="inlineStr">
        <is>
          <t>D016</t>
        </is>
      </c>
      <c r="B17" t="inlineStr">
        <is>
          <t>16</t>
        </is>
      </c>
      <c r="C17" t="inlineStr">
        <is>
          <t>Cuero Rincón</t>
        </is>
      </c>
      <c r="D17" t="inlineStr">
        <is>
          <t>Hernando Jesús</t>
        </is>
      </c>
      <c r="E17" t="inlineStr">
        <is>
          <t>Cuero Rincón Hernando Jesús</t>
        </is>
      </c>
      <c r="F17" t="inlineStr">
        <is>
          <t>SECUNDARIA</t>
        </is>
      </c>
      <c r="G17" t="inlineStr"/>
      <c r="H17" t="inlineStr">
        <is>
          <t>CS 1-1</t>
        </is>
      </c>
      <c r="I17" t="inlineStr">
        <is>
          <t>CAS/TEI</t>
        </is>
      </c>
      <c r="J17" t="inlineStr"/>
      <c r="K17" t="inlineStr">
        <is>
          <t>SI</t>
        </is>
      </c>
      <c r="L17" t="inlineStr"/>
    </row>
    <row r="18">
      <c r="A18" t="inlineStr">
        <is>
          <t>D017</t>
        </is>
      </c>
      <c r="B18" t="inlineStr">
        <is>
          <t>17</t>
        </is>
      </c>
      <c r="C18" t="inlineStr">
        <is>
          <t>Escobar Cortés</t>
        </is>
      </c>
      <c r="D18" t="inlineStr">
        <is>
          <t>Liliana</t>
        </is>
      </c>
      <c r="E18" t="inlineStr">
        <is>
          <t>Escobar Cortés Liliana</t>
        </is>
      </c>
      <c r="F18" t="inlineStr">
        <is>
          <t>PRIMARIA</t>
        </is>
      </c>
      <c r="G18" t="inlineStr">
        <is>
          <t>0504</t>
        </is>
      </c>
      <c r="H18" t="inlineStr">
        <is>
          <t>5°-4</t>
        </is>
      </c>
      <c r="I18" t="inlineStr"/>
      <c r="J18" t="inlineStr"/>
      <c r="K18" t="inlineStr">
        <is>
          <t>SI</t>
        </is>
      </c>
      <c r="L18" t="inlineStr">
        <is>
          <t>Grupo según DIRECCIÓN DE GRUPO 2026</t>
        </is>
      </c>
    </row>
    <row r="19">
      <c r="A19" t="inlineStr">
        <is>
          <t>D018</t>
        </is>
      </c>
      <c r="B19" t="inlineStr">
        <is>
          <t>18</t>
        </is>
      </c>
      <c r="C19" t="inlineStr">
        <is>
          <t>Estacio Estupiñán</t>
        </is>
      </c>
      <c r="D19" t="inlineStr">
        <is>
          <t>Rosario</t>
        </is>
      </c>
      <c r="E19" t="inlineStr">
        <is>
          <t>Estacio Estupiñán Rosario</t>
        </is>
      </c>
      <c r="F19" t="inlineStr">
        <is>
          <t>SECUNDARIA</t>
        </is>
      </c>
      <c r="G19" t="inlineStr"/>
      <c r="H19" t="inlineStr">
        <is>
          <t>9°-1</t>
        </is>
      </c>
      <c r="I19" t="inlineStr">
        <is>
          <t>ETR</t>
        </is>
      </c>
      <c r="J19" t="inlineStr"/>
      <c r="K19" t="inlineStr">
        <is>
          <t>SI</t>
        </is>
      </c>
      <c r="L19" t="inlineStr"/>
    </row>
    <row r="20">
      <c r="A20" t="inlineStr">
        <is>
          <t>D019</t>
        </is>
      </c>
      <c r="B20" t="inlineStr">
        <is>
          <t>19</t>
        </is>
      </c>
      <c r="C20" t="inlineStr">
        <is>
          <t>Fernández Vélez</t>
        </is>
      </c>
      <c r="D20" t="inlineStr">
        <is>
          <t>Alfredo Enrique</t>
        </is>
      </c>
      <c r="E20" t="inlineStr">
        <is>
          <t>Fernández Vélez Alfredo Enrique</t>
        </is>
      </c>
      <c r="F20" t="inlineStr">
        <is>
          <t>SECUNDARIA</t>
        </is>
      </c>
      <c r="G20" t="inlineStr"/>
      <c r="H20" t="inlineStr">
        <is>
          <t>8°-1</t>
        </is>
      </c>
      <c r="I20" t="inlineStr">
        <is>
          <t>TEI</t>
        </is>
      </c>
      <c r="J20" t="inlineStr"/>
      <c r="K20" t="inlineStr">
        <is>
          <t>SI</t>
        </is>
      </c>
      <c r="L20" t="inlineStr"/>
    </row>
    <row r="21">
      <c r="A21" t="inlineStr">
        <is>
          <t>D020</t>
        </is>
      </c>
      <c r="B21" t="inlineStr">
        <is>
          <t>20</t>
        </is>
      </c>
      <c r="C21" t="inlineStr">
        <is>
          <t>García Gobea</t>
        </is>
      </c>
      <c r="D21" t="inlineStr">
        <is>
          <t>Saydi Magali</t>
        </is>
      </c>
      <c r="E21" t="inlineStr">
        <is>
          <t>García Gobea Saydi Magali</t>
        </is>
      </c>
      <c r="F21" t="inlineStr">
        <is>
          <t>SECUNDARIA</t>
        </is>
      </c>
      <c r="G21" t="inlineStr"/>
      <c r="H21" t="inlineStr">
        <is>
          <t>CS 1-1</t>
        </is>
      </c>
      <c r="I21" t="inlineStr">
        <is>
          <t>CSI</t>
        </is>
      </c>
      <c r="J21" t="inlineStr"/>
      <c r="K21" t="inlineStr">
        <is>
          <t>SI</t>
        </is>
      </c>
      <c r="L21" t="inlineStr"/>
    </row>
    <row r="22">
      <c r="A22" t="inlineStr">
        <is>
          <t>D021</t>
        </is>
      </c>
      <c r="B22" t="inlineStr">
        <is>
          <t>21</t>
        </is>
      </c>
      <c r="C22" t="inlineStr">
        <is>
          <t>Garzón Quiñones</t>
        </is>
      </c>
      <c r="D22" t="inlineStr">
        <is>
          <t>Sixta Janina</t>
        </is>
      </c>
      <c r="E22" t="inlineStr">
        <is>
          <t>Garzón Quiñones Sixta Janina</t>
        </is>
      </c>
      <c r="F22" t="inlineStr">
        <is>
          <t>PRIMARIA</t>
        </is>
      </c>
      <c r="G22" t="inlineStr">
        <is>
          <t>0202</t>
        </is>
      </c>
      <c r="H22" t="inlineStr">
        <is>
          <t>2°-2</t>
        </is>
      </c>
      <c r="I22" t="inlineStr"/>
      <c r="J22" t="inlineStr"/>
      <c r="K22" t="inlineStr">
        <is>
          <t>SI</t>
        </is>
      </c>
      <c r="L22" t="inlineStr">
        <is>
          <t>Grupo según DIRECCIÓN DE GRUPO 2026</t>
        </is>
      </c>
    </row>
    <row r="23">
      <c r="A23" t="inlineStr">
        <is>
          <t>D022</t>
        </is>
      </c>
      <c r="B23" t="inlineStr">
        <is>
          <t>22</t>
        </is>
      </c>
      <c r="C23" t="inlineStr">
        <is>
          <t>González Castillo</t>
        </is>
      </c>
      <c r="D23" t="inlineStr">
        <is>
          <t>Jólmer Jimy</t>
        </is>
      </c>
      <c r="E23" t="inlineStr">
        <is>
          <t>González Castillo Jólmer Jimy</t>
        </is>
      </c>
      <c r="F23" t="inlineStr">
        <is>
          <t>SECUNDARIA</t>
        </is>
      </c>
      <c r="G23" t="inlineStr"/>
      <c r="H23" t="inlineStr">
        <is>
          <t>9°-1</t>
        </is>
      </c>
      <c r="I23" t="inlineStr">
        <is>
          <t>ERD</t>
        </is>
      </c>
      <c r="J23" t="inlineStr"/>
      <c r="K23" t="inlineStr">
        <is>
          <t>SI</t>
        </is>
      </c>
      <c r="L23" t="inlineStr"/>
    </row>
    <row r="24">
      <c r="A24" t="inlineStr">
        <is>
          <t>D023</t>
        </is>
      </c>
      <c r="B24" t="inlineStr">
        <is>
          <t>23</t>
        </is>
      </c>
      <c r="C24" t="inlineStr">
        <is>
          <t>Landázuri Quiñones</t>
        </is>
      </c>
      <c r="D24" t="inlineStr">
        <is>
          <t>María Elia</t>
        </is>
      </c>
      <c r="E24" t="inlineStr">
        <is>
          <t>Landázuri Quiñones María Elia</t>
        </is>
      </c>
      <c r="F24" t="inlineStr">
        <is>
          <t>PRIMARIA</t>
        </is>
      </c>
      <c r="G24" t="inlineStr">
        <is>
          <t>0101</t>
        </is>
      </c>
      <c r="H24" t="inlineStr">
        <is>
          <t>1°-1</t>
        </is>
      </c>
      <c r="I24" t="inlineStr"/>
      <c r="J24" t="inlineStr"/>
      <c r="K24" t="inlineStr">
        <is>
          <t>SI</t>
        </is>
      </c>
      <c r="L24" t="inlineStr">
        <is>
          <t>Grupo según DIRECCIÓN DE GRUPO 2026</t>
        </is>
      </c>
    </row>
    <row r="25">
      <c r="A25" t="inlineStr">
        <is>
          <t>D024</t>
        </is>
      </c>
      <c r="B25" t="inlineStr">
        <is>
          <t>24</t>
        </is>
      </c>
      <c r="C25" t="inlineStr">
        <is>
          <t>Landázuri Gallón</t>
        </is>
      </c>
      <c r="D25" t="inlineStr">
        <is>
          <t>Teresa</t>
        </is>
      </c>
      <c r="E25" t="inlineStr">
        <is>
          <t>Landázuri Gallón Teresa</t>
        </is>
      </c>
      <c r="F25" t="inlineStr">
        <is>
          <t>PRIMARIA</t>
        </is>
      </c>
      <c r="G25" t="inlineStr">
        <is>
          <t>0302</t>
        </is>
      </c>
      <c r="H25" t="inlineStr">
        <is>
          <t>3°-2</t>
        </is>
      </c>
      <c r="I25" t="inlineStr"/>
      <c r="J25" t="inlineStr"/>
      <c r="K25" t="inlineStr">
        <is>
          <t>SI</t>
        </is>
      </c>
      <c r="L25" t="inlineStr">
        <is>
          <t>Grupo según DIRECCIÓN DE GRUPO 2026</t>
        </is>
      </c>
    </row>
    <row r="26">
      <c r="A26" t="inlineStr">
        <is>
          <t>D025</t>
        </is>
      </c>
      <c r="B26" t="inlineStr">
        <is>
          <t>25</t>
        </is>
      </c>
      <c r="C26" t="inlineStr">
        <is>
          <t>Lemos Guancha</t>
        </is>
      </c>
      <c r="D26" t="inlineStr">
        <is>
          <t>Miriam</t>
        </is>
      </c>
      <c r="E26" t="inlineStr">
        <is>
          <t>Lemos Guancha Miriam</t>
        </is>
      </c>
      <c r="F26" t="inlineStr">
        <is>
          <t>SECUNDARIA</t>
        </is>
      </c>
      <c r="G26" t="inlineStr"/>
      <c r="H26" t="inlineStr"/>
      <c r="I26" t="inlineStr">
        <is>
          <t>CNA</t>
        </is>
      </c>
      <c r="J26" t="inlineStr"/>
      <c r="K26" t="inlineStr">
        <is>
          <t>SI</t>
        </is>
      </c>
      <c r="L26" t="inlineStr"/>
    </row>
    <row r="27">
      <c r="A27" t="inlineStr">
        <is>
          <t>D026</t>
        </is>
      </c>
      <c r="B27" t="inlineStr">
        <is>
          <t>26</t>
        </is>
      </c>
      <c r="C27" t="inlineStr">
        <is>
          <t>Lozano Torres</t>
        </is>
      </c>
      <c r="D27" t="inlineStr">
        <is>
          <t>Amanda Inés</t>
        </is>
      </c>
      <c r="E27" t="inlineStr">
        <is>
          <t>Lozano Torres Amanda Inés</t>
        </is>
      </c>
      <c r="F27" t="inlineStr">
        <is>
          <t>SECUNDARIA</t>
        </is>
      </c>
      <c r="G27" t="inlineStr"/>
      <c r="H27" t="inlineStr">
        <is>
          <t>6°-2</t>
        </is>
      </c>
      <c r="I27" t="inlineStr">
        <is>
          <t>ETR</t>
        </is>
      </c>
      <c r="J27" t="inlineStr"/>
      <c r="K27" t="inlineStr">
        <is>
          <t>SI</t>
        </is>
      </c>
      <c r="L27" t="inlineStr"/>
    </row>
    <row r="28">
      <c r="A28" t="inlineStr">
        <is>
          <t>D027</t>
        </is>
      </c>
      <c r="B28" t="inlineStr">
        <is>
          <t>27</t>
        </is>
      </c>
      <c r="C28" t="inlineStr">
        <is>
          <t>Martínez Álvarez</t>
        </is>
      </c>
      <c r="D28" t="inlineStr">
        <is>
          <t>Andrea Ascención</t>
        </is>
      </c>
      <c r="E28" t="inlineStr">
        <is>
          <t>Martínez Álvarez Andrea Ascención</t>
        </is>
      </c>
      <c r="F28" t="inlineStr">
        <is>
          <t>PREESCOLAR</t>
        </is>
      </c>
      <c r="G28" t="inlineStr">
        <is>
          <t>0002</t>
        </is>
      </c>
      <c r="H28" t="inlineStr">
        <is>
          <t>0°-2</t>
        </is>
      </c>
      <c r="I28" t="inlineStr"/>
      <c r="J28" t="inlineStr"/>
      <c r="K28" t="inlineStr">
        <is>
          <t>SI</t>
        </is>
      </c>
      <c r="L28" t="inlineStr">
        <is>
          <t>Grupo según DIRECCIÓN DE GRUPO 2026</t>
        </is>
      </c>
    </row>
    <row r="29">
      <c r="A29" t="inlineStr">
        <is>
          <t>D028</t>
        </is>
      </c>
      <c r="B29" t="inlineStr">
        <is>
          <t>28</t>
        </is>
      </c>
      <c r="C29" t="inlineStr">
        <is>
          <t>Meza Banguera</t>
        </is>
      </c>
      <c r="D29" t="inlineStr">
        <is>
          <t>Gladys Alicia</t>
        </is>
      </c>
      <c r="E29" t="inlineStr">
        <is>
          <t>Meza Banguera Gladys Alicia</t>
        </is>
      </c>
      <c r="F29" t="inlineStr">
        <is>
          <t>SECUNDARIA</t>
        </is>
      </c>
      <c r="G29" t="inlineStr"/>
      <c r="H29" t="inlineStr">
        <is>
          <t>10°-1</t>
        </is>
      </c>
      <c r="I29" t="inlineStr">
        <is>
          <t>CAS</t>
        </is>
      </c>
      <c r="J29" t="inlineStr"/>
      <c r="K29" t="inlineStr">
        <is>
          <t>SI</t>
        </is>
      </c>
      <c r="L29" t="inlineStr"/>
    </row>
    <row r="30">
      <c r="A30" t="inlineStr">
        <is>
          <t>D029</t>
        </is>
      </c>
      <c r="B30" t="inlineStr">
        <is>
          <t>29</t>
        </is>
      </c>
      <c r="C30" t="inlineStr">
        <is>
          <t>Mindineros Satizábal</t>
        </is>
      </c>
      <c r="D30" t="inlineStr">
        <is>
          <t>John Jáver</t>
        </is>
      </c>
      <c r="E30" t="inlineStr">
        <is>
          <t>Mindineros Satizábal John Jáver</t>
        </is>
      </c>
      <c r="F30" t="inlineStr">
        <is>
          <t>SECUNDARIA</t>
        </is>
      </c>
      <c r="G30" t="inlineStr"/>
      <c r="H30" t="inlineStr">
        <is>
          <t>10°-1</t>
        </is>
      </c>
      <c r="I30" t="inlineStr">
        <is>
          <t>TEI</t>
        </is>
      </c>
      <c r="J30" t="inlineStr"/>
      <c r="K30" t="inlineStr">
        <is>
          <t>SI</t>
        </is>
      </c>
      <c r="L30" t="inlineStr"/>
    </row>
    <row r="31">
      <c r="A31" t="inlineStr">
        <is>
          <t>D030</t>
        </is>
      </c>
      <c r="B31" t="inlineStr">
        <is>
          <t>30</t>
        </is>
      </c>
      <c r="C31" t="inlineStr">
        <is>
          <t>Montaño Anchico</t>
        </is>
      </c>
      <c r="D31" t="inlineStr">
        <is>
          <t>Favio Héctor</t>
        </is>
      </c>
      <c r="E31" t="inlineStr">
        <is>
          <t>Montaño Anchico Favio Héctor</t>
        </is>
      </c>
      <c r="F31" t="inlineStr">
        <is>
          <t>SECUNDARIA</t>
        </is>
      </c>
      <c r="G31" t="inlineStr"/>
      <c r="H31" t="inlineStr">
        <is>
          <t>6°-1</t>
        </is>
      </c>
      <c r="I31" t="inlineStr">
        <is>
          <t>CAS</t>
        </is>
      </c>
      <c r="J31" t="inlineStr"/>
      <c r="K31" t="inlineStr">
        <is>
          <t>SI</t>
        </is>
      </c>
      <c r="L31" t="inlineStr"/>
    </row>
    <row r="32">
      <c r="A32" t="inlineStr">
        <is>
          <t>D031</t>
        </is>
      </c>
      <c r="B32" t="inlineStr">
        <is>
          <t>31</t>
        </is>
      </c>
      <c r="C32" t="inlineStr">
        <is>
          <t>Montaño Arizala</t>
        </is>
      </c>
      <c r="D32" t="inlineStr">
        <is>
          <t>Leidis Claudina</t>
        </is>
      </c>
      <c r="E32" t="inlineStr">
        <is>
          <t>Montaño Arizala Leidis Claudina</t>
        </is>
      </c>
      <c r="F32" t="inlineStr">
        <is>
          <t>SECUNDARIA</t>
        </is>
      </c>
      <c r="G32" t="inlineStr"/>
      <c r="H32" t="inlineStr">
        <is>
          <t>11°-2</t>
        </is>
      </c>
      <c r="I32" t="inlineStr">
        <is>
          <t>ETR</t>
        </is>
      </c>
      <c r="J32" t="inlineStr"/>
      <c r="K32" t="inlineStr">
        <is>
          <t>SI</t>
        </is>
      </c>
      <c r="L32" t="inlineStr"/>
    </row>
    <row r="33">
      <c r="A33" t="inlineStr">
        <is>
          <t>D032</t>
        </is>
      </c>
      <c r="B33" t="inlineStr">
        <is>
          <t>32</t>
        </is>
      </c>
      <c r="C33" t="inlineStr">
        <is>
          <t>Narváez Sánchez</t>
        </is>
      </c>
      <c r="D33" t="inlineStr">
        <is>
          <t>Dora Alejandra</t>
        </is>
      </c>
      <c r="E33" t="inlineStr">
        <is>
          <t>Narváez Sánchez Dora Alejandra</t>
        </is>
      </c>
      <c r="F33" t="inlineStr">
        <is>
          <t>PRIMARIA</t>
        </is>
      </c>
      <c r="G33" t="inlineStr">
        <is>
          <t>0503</t>
        </is>
      </c>
      <c r="H33" t="inlineStr">
        <is>
          <t>5°-3</t>
        </is>
      </c>
      <c r="I33" t="inlineStr"/>
      <c r="J33" t="inlineStr"/>
      <c r="K33" t="inlineStr">
        <is>
          <t>SI</t>
        </is>
      </c>
      <c r="L33" t="inlineStr">
        <is>
          <t>Grupo según DIRECCIÓN DE GRUPO 2026</t>
        </is>
      </c>
    </row>
    <row r="34">
      <c r="A34" t="inlineStr">
        <is>
          <t>D033</t>
        </is>
      </c>
      <c r="B34" t="inlineStr">
        <is>
          <t>33</t>
        </is>
      </c>
      <c r="C34" t="inlineStr">
        <is>
          <t>Núñez Perlaza</t>
        </is>
      </c>
      <c r="D34" t="inlineStr">
        <is>
          <t>Elcy</t>
        </is>
      </c>
      <c r="E34" t="inlineStr">
        <is>
          <t>Núñez Perlaza Elcy</t>
        </is>
      </c>
      <c r="F34" t="inlineStr">
        <is>
          <t>PRIMARIA</t>
        </is>
      </c>
      <c r="G34" t="inlineStr">
        <is>
          <t>0402</t>
        </is>
      </c>
      <c r="H34" t="inlineStr">
        <is>
          <t>4°-2</t>
        </is>
      </c>
      <c r="I34" t="inlineStr"/>
      <c r="J34" t="inlineStr"/>
      <c r="K34" t="inlineStr">
        <is>
          <t>SI</t>
        </is>
      </c>
      <c r="L34" t="inlineStr">
        <is>
          <t>Grupo según DIRECCIÓN DE GRUPO 2026</t>
        </is>
      </c>
    </row>
    <row r="35">
      <c r="A35" t="inlineStr">
        <is>
          <t>D034</t>
        </is>
      </c>
      <c r="B35" t="inlineStr">
        <is>
          <t>34</t>
        </is>
      </c>
      <c r="C35" t="inlineStr">
        <is>
          <t>Ordóñez Tenorio</t>
        </is>
      </c>
      <c r="D35" t="inlineStr">
        <is>
          <t>Jaime Marcial</t>
        </is>
      </c>
      <c r="E35" t="inlineStr">
        <is>
          <t>Ordóñez Tenorio Jaime Marcial</t>
        </is>
      </c>
      <c r="F35" t="inlineStr">
        <is>
          <t>SECUNDARIA</t>
        </is>
      </c>
      <c r="G35" t="inlineStr"/>
      <c r="H35" t="inlineStr">
        <is>
          <t>7°-1</t>
        </is>
      </c>
      <c r="I35" t="inlineStr">
        <is>
          <t>CNA</t>
        </is>
      </c>
      <c r="J35" t="inlineStr"/>
      <c r="K35" t="inlineStr">
        <is>
          <t>SI</t>
        </is>
      </c>
      <c r="L35" t="inlineStr"/>
    </row>
    <row r="36">
      <c r="A36" t="inlineStr">
        <is>
          <t>D035</t>
        </is>
      </c>
      <c r="B36" t="inlineStr">
        <is>
          <t>35</t>
        </is>
      </c>
      <c r="C36" t="inlineStr">
        <is>
          <t>Ortiz Araujo</t>
        </is>
      </c>
      <c r="D36" t="inlineStr">
        <is>
          <t>Adiela Carlota</t>
        </is>
      </c>
      <c r="E36" t="inlineStr">
        <is>
          <t>Ortiz Araujo Adiela Carlota</t>
        </is>
      </c>
      <c r="F36" t="inlineStr">
        <is>
          <t>SECUNDARIA</t>
        </is>
      </c>
      <c r="G36" t="inlineStr"/>
      <c r="H36" t="inlineStr">
        <is>
          <t>CS 2-1</t>
        </is>
      </c>
      <c r="I36" t="inlineStr">
        <is>
          <t>CSI</t>
        </is>
      </c>
      <c r="J36" t="inlineStr"/>
      <c r="K36" t="inlineStr">
        <is>
          <t>SI</t>
        </is>
      </c>
      <c r="L36" t="inlineStr"/>
    </row>
    <row r="37">
      <c r="A37" t="inlineStr">
        <is>
          <t>D036</t>
        </is>
      </c>
      <c r="B37" t="inlineStr">
        <is>
          <t>36</t>
        </is>
      </c>
      <c r="C37" t="inlineStr">
        <is>
          <t>Ponce Moncayo</t>
        </is>
      </c>
      <c r="D37" t="inlineStr">
        <is>
          <t>Ángela Paola</t>
        </is>
      </c>
      <c r="E37" t="inlineStr">
        <is>
          <t>Ponce Moncayo Ángela Paola</t>
        </is>
      </c>
      <c r="F37" t="inlineStr">
        <is>
          <t>ORIENTACIÓN</t>
        </is>
      </c>
      <c r="G37" t="inlineStr"/>
      <c r="H37" t="inlineStr"/>
      <c r="I37" t="inlineStr"/>
      <c r="J37" t="inlineStr"/>
      <c r="K37" t="inlineStr">
        <is>
          <t>SI</t>
        </is>
      </c>
      <c r="L37" t="inlineStr">
        <is>
          <t>Docente orientadora: sin grupos, trabaja con todos los niveles</t>
        </is>
      </c>
    </row>
    <row r="38">
      <c r="A38" t="inlineStr">
        <is>
          <t>D037</t>
        </is>
      </c>
      <c r="B38" t="inlineStr">
        <is>
          <t>37</t>
        </is>
      </c>
      <c r="C38" t="inlineStr">
        <is>
          <t>Prado Quiñones</t>
        </is>
      </c>
      <c r="D38" t="inlineStr">
        <is>
          <t>Genís Maribel</t>
        </is>
      </c>
      <c r="E38" t="inlineStr">
        <is>
          <t>Prado Quiñones Genís Maribel</t>
        </is>
      </c>
      <c r="F38" t="inlineStr">
        <is>
          <t>SECUNDARIA</t>
        </is>
      </c>
      <c r="G38" t="inlineStr"/>
      <c r="H38" t="inlineStr">
        <is>
          <t>7°-2</t>
        </is>
      </c>
      <c r="I38" t="inlineStr">
        <is>
          <t>ART/CNA</t>
        </is>
      </c>
      <c r="J38" t="inlineStr"/>
      <c r="K38" t="inlineStr">
        <is>
          <t>SI</t>
        </is>
      </c>
      <c r="L38" t="inlineStr">
        <is>
          <t>Reemplazo de la docente Luz María Cortés Tenorio. Desde el cambio del rector atiende el horario que tenía Puches (Docente 1)</t>
        </is>
      </c>
    </row>
    <row r="39">
      <c r="A39" t="inlineStr">
        <is>
          <t>D038</t>
        </is>
      </c>
      <c r="B39" t="inlineStr">
        <is>
          <t>38</t>
        </is>
      </c>
      <c r="C39" t="inlineStr">
        <is>
          <t>Preciado Torres</t>
        </is>
      </c>
      <c r="D39" t="inlineStr">
        <is>
          <t>Oleisa</t>
        </is>
      </c>
      <c r="E39" t="inlineStr">
        <is>
          <t>Preciado Torres Oleisa</t>
        </is>
      </c>
      <c r="F39" t="inlineStr">
        <is>
          <t>SECUNDARIA</t>
        </is>
      </c>
      <c r="G39" t="inlineStr"/>
      <c r="H39" t="inlineStr">
        <is>
          <t>CS 2-1</t>
        </is>
      </c>
      <c r="I39" t="inlineStr">
        <is>
          <t>MAT</t>
        </is>
      </c>
      <c r="J39" t="inlineStr"/>
      <c r="K39" t="inlineStr">
        <is>
          <t>SI</t>
        </is>
      </c>
      <c r="L39" t="inlineStr"/>
    </row>
    <row r="40">
      <c r="A40" t="inlineStr">
        <is>
          <t>D039</t>
        </is>
      </c>
      <c r="B40" t="inlineStr">
        <is>
          <t>39</t>
        </is>
      </c>
      <c r="C40" t="inlineStr">
        <is>
          <t>Puches</t>
        </is>
      </c>
      <c r="D40" t="inlineStr">
        <is>
          <t>Ana Milena</t>
        </is>
      </c>
      <c r="E40" t="inlineStr">
        <is>
          <t>Puches Ana Milena</t>
        </is>
      </c>
      <c r="F40" t="inlineStr">
        <is>
          <t>SECUNDARIA</t>
        </is>
      </c>
      <c r="G40" t="inlineStr"/>
      <c r="H40" t="inlineStr">
        <is>
          <t>CS 1-2</t>
        </is>
      </c>
      <c r="I40" t="inlineStr">
        <is>
          <t>ART</t>
        </is>
      </c>
      <c r="J40" t="inlineStr"/>
      <c r="K40" t="inlineStr">
        <is>
          <t>SI</t>
        </is>
      </c>
      <c r="L40" t="inlineStr">
        <is>
          <t>Desde el cambio del rector atiende el horario que tenía Prado Maribel (Docente 2 de Arte)</t>
        </is>
      </c>
    </row>
    <row r="41">
      <c r="A41" t="inlineStr">
        <is>
          <t>D040</t>
        </is>
      </c>
      <c r="B41" t="inlineStr">
        <is>
          <t>40</t>
        </is>
      </c>
      <c r="C41" t="inlineStr">
        <is>
          <t>Pulgarín Ortiz</t>
        </is>
      </c>
      <c r="D41" t="inlineStr">
        <is>
          <t>César Marino</t>
        </is>
      </c>
      <c r="E41" t="inlineStr">
        <is>
          <t>Pulgarín Ortiz César Marino</t>
        </is>
      </c>
      <c r="F41" t="inlineStr">
        <is>
          <t>SECUNDARIA</t>
        </is>
      </c>
      <c r="G41" t="inlineStr"/>
      <c r="H41" t="inlineStr"/>
      <c r="I41" t="inlineStr">
        <is>
          <t>CSI</t>
        </is>
      </c>
      <c r="J41" t="inlineStr"/>
      <c r="K41" t="inlineStr">
        <is>
          <t>SI</t>
        </is>
      </c>
      <c r="L41" t="inlineStr"/>
    </row>
    <row r="42">
      <c r="A42" t="inlineStr">
        <is>
          <t>D041</t>
        </is>
      </c>
      <c r="B42" t="inlineStr">
        <is>
          <t>41</t>
        </is>
      </c>
      <c r="C42" t="inlineStr">
        <is>
          <t>Quintero Ramírez</t>
        </is>
      </c>
      <c r="D42" t="inlineStr">
        <is>
          <t>María del Carmen</t>
        </is>
      </c>
      <c r="E42" t="inlineStr">
        <is>
          <t>Quintero Ramírez María del Carmen</t>
        </is>
      </c>
      <c r="F42" t="inlineStr">
        <is>
          <t>SECUNDARIA</t>
        </is>
      </c>
      <c r="G42" t="inlineStr"/>
      <c r="H42" t="inlineStr">
        <is>
          <t>7°-2</t>
        </is>
      </c>
      <c r="I42" t="inlineStr">
        <is>
          <t>CSI</t>
        </is>
      </c>
      <c r="J42" t="inlineStr"/>
      <c r="K42" t="inlineStr">
        <is>
          <t>SI</t>
        </is>
      </c>
      <c r="L42" t="inlineStr"/>
    </row>
    <row r="43">
      <c r="A43" t="inlineStr">
        <is>
          <t>D042</t>
        </is>
      </c>
      <c r="B43" t="inlineStr">
        <is>
          <t>42</t>
        </is>
      </c>
      <c r="C43" t="inlineStr">
        <is>
          <t>Quiñones Cabezas</t>
        </is>
      </c>
      <c r="D43" t="inlineStr">
        <is>
          <t>Marcos Vidal</t>
        </is>
      </c>
      <c r="E43" t="inlineStr">
        <is>
          <t>Quiñones Cabezas Marcos Vidal</t>
        </is>
      </c>
      <c r="F43" t="inlineStr">
        <is>
          <t>SECUNDARIA</t>
        </is>
      </c>
      <c r="G43" t="inlineStr"/>
      <c r="H43" t="inlineStr">
        <is>
          <t>6°-1</t>
        </is>
      </c>
      <c r="I43" t="inlineStr">
        <is>
          <t>MAT/TEI</t>
        </is>
      </c>
      <c r="J43" t="inlineStr"/>
      <c r="K43" t="inlineStr">
        <is>
          <t>SI</t>
        </is>
      </c>
      <c r="L43" t="inlineStr"/>
    </row>
    <row r="44">
      <c r="A44" t="inlineStr">
        <is>
          <t>D043</t>
        </is>
      </c>
      <c r="B44" t="inlineStr">
        <is>
          <t>43</t>
        </is>
      </c>
      <c r="C44" t="inlineStr">
        <is>
          <t>Ramírez Guerra</t>
        </is>
      </c>
      <c r="D44" t="inlineStr">
        <is>
          <t>Jimmy Eduardo</t>
        </is>
      </c>
      <c r="E44" t="inlineStr">
        <is>
          <t>Ramírez Guerra Jimmy Eduardo</t>
        </is>
      </c>
      <c r="F44" t="inlineStr">
        <is>
          <t>SECUNDARIA</t>
        </is>
      </c>
      <c r="G44" t="inlineStr"/>
      <c r="H44" t="inlineStr">
        <is>
          <t>7°-4</t>
        </is>
      </c>
      <c r="I44" t="inlineStr">
        <is>
          <t>ERD</t>
        </is>
      </c>
      <c r="J44" t="inlineStr"/>
      <c r="K44" t="inlineStr">
        <is>
          <t>SI</t>
        </is>
      </c>
      <c r="L44" t="inlineStr"/>
    </row>
    <row r="45">
      <c r="A45" t="inlineStr">
        <is>
          <t>D044</t>
        </is>
      </c>
      <c r="B45" t="inlineStr">
        <is>
          <t>44</t>
        </is>
      </c>
      <c r="C45" t="inlineStr">
        <is>
          <t>Samaniego Angulo</t>
        </is>
      </c>
      <c r="D45" t="inlineStr">
        <is>
          <t>Flor Mireya</t>
        </is>
      </c>
      <c r="E45" t="inlineStr">
        <is>
          <t>Samaniego Angulo Flor Mireya</t>
        </is>
      </c>
      <c r="F45" t="inlineStr">
        <is>
          <t>SECUNDARIA</t>
        </is>
      </c>
      <c r="G45" t="inlineStr"/>
      <c r="H45" t="inlineStr">
        <is>
          <t>CS 2-2</t>
        </is>
      </c>
      <c r="I45" t="inlineStr">
        <is>
          <t>ART</t>
        </is>
      </c>
      <c r="J45" t="inlineStr"/>
      <c r="K45" t="inlineStr">
        <is>
          <t>SI</t>
        </is>
      </c>
      <c r="L45" t="inlineStr"/>
    </row>
    <row r="46">
      <c r="A46" t="inlineStr">
        <is>
          <t>D045</t>
        </is>
      </c>
      <c r="B46" t="inlineStr">
        <is>
          <t>45</t>
        </is>
      </c>
      <c r="C46" t="inlineStr">
        <is>
          <t>Sinisterra</t>
        </is>
      </c>
      <c r="D46" t="inlineStr">
        <is>
          <t>Ana Lucía</t>
        </is>
      </c>
      <c r="E46" t="inlineStr">
        <is>
          <t>Sinisterra Ana Lucía</t>
        </is>
      </c>
      <c r="F46" t="inlineStr">
        <is>
          <t>PRIMARIA</t>
        </is>
      </c>
      <c r="G46" t="inlineStr">
        <is>
          <t>0102</t>
        </is>
      </c>
      <c r="H46" t="inlineStr">
        <is>
          <t>1°-2</t>
        </is>
      </c>
      <c r="I46" t="inlineStr"/>
      <c r="J46" t="inlineStr"/>
      <c r="K46" t="inlineStr">
        <is>
          <t>SI</t>
        </is>
      </c>
      <c r="L46" t="inlineStr">
        <is>
          <t>Grupo según DIRECCIÓN DE GRUPO 2026</t>
        </is>
      </c>
    </row>
    <row r="47">
      <c r="A47" t="inlineStr">
        <is>
          <t>D046</t>
        </is>
      </c>
      <c r="B47" t="inlineStr">
        <is>
          <t>46</t>
        </is>
      </c>
      <c r="C47" t="inlineStr">
        <is>
          <t>Tenorio Cuero</t>
        </is>
      </c>
      <c r="D47" t="inlineStr">
        <is>
          <t>Lucy Bivian</t>
        </is>
      </c>
      <c r="E47" t="inlineStr">
        <is>
          <t>Tenorio Cuero Lucy Bivian</t>
        </is>
      </c>
      <c r="F47" t="inlineStr">
        <is>
          <t>PRIMARIA</t>
        </is>
      </c>
      <c r="G47" t="inlineStr">
        <is>
          <t>0203</t>
        </is>
      </c>
      <c r="H47" t="inlineStr">
        <is>
          <t>2°-3</t>
        </is>
      </c>
      <c r="I47" t="inlineStr"/>
      <c r="J47" t="inlineStr"/>
      <c r="K47" t="inlineStr">
        <is>
          <t>SI</t>
        </is>
      </c>
      <c r="L47" t="inlineStr">
        <is>
          <t>Grupo según DIRECCIÓN DE GRUPO 2026</t>
        </is>
      </c>
    </row>
    <row r="48">
      <c r="A48" t="inlineStr">
        <is>
          <t>D047</t>
        </is>
      </c>
      <c r="B48" t="inlineStr">
        <is>
          <t>47</t>
        </is>
      </c>
      <c r="C48" t="inlineStr">
        <is>
          <t>Terán Guevara</t>
        </is>
      </c>
      <c r="D48" t="inlineStr">
        <is>
          <t>Jorge Alberto</t>
        </is>
      </c>
      <c r="E48" t="inlineStr">
        <is>
          <t>Terán Guevara Jorge Alberto</t>
        </is>
      </c>
      <c r="F48" t="inlineStr">
        <is>
          <t>REEMPLAZADO</t>
        </is>
      </c>
      <c r="G48" t="inlineStr"/>
      <c r="H48" t="inlineStr"/>
      <c r="I48" t="inlineStr"/>
      <c r="J48" t="inlineStr"/>
      <c r="K48" t="inlineStr">
        <is>
          <t>NO</t>
        </is>
      </c>
      <c r="L48" t="inlineStr">
        <is>
          <t>Reemplazado por Armero Dájome Jesús: su horario lo atiende Armero</t>
        </is>
      </c>
    </row>
    <row r="49">
      <c r="A49" t="inlineStr">
        <is>
          <t>D048</t>
        </is>
      </c>
      <c r="B49" t="inlineStr">
        <is>
          <t>48</t>
        </is>
      </c>
      <c r="C49" t="inlineStr">
        <is>
          <t>Torres Segura</t>
        </is>
      </c>
      <c r="D49" t="inlineStr">
        <is>
          <t>Encarnación</t>
        </is>
      </c>
      <c r="E49" t="inlineStr">
        <is>
          <t>Torres Segura Encarnación</t>
        </is>
      </c>
      <c r="F49" t="inlineStr">
        <is>
          <t>PRIMARIA</t>
        </is>
      </c>
      <c r="G49" t="inlineStr">
        <is>
          <t>0301</t>
        </is>
      </c>
      <c r="H49" t="inlineStr">
        <is>
          <t>3°-1</t>
        </is>
      </c>
      <c r="I49" t="inlineStr"/>
      <c r="J49" t="inlineStr"/>
      <c r="K49" t="inlineStr">
        <is>
          <t>SI</t>
        </is>
      </c>
      <c r="L49" t="inlineStr">
        <is>
          <t>Grupo según DIRECCIÓN DE GRUPO 2026</t>
        </is>
      </c>
    </row>
    <row r="50">
      <c r="A50" t="inlineStr">
        <is>
          <t>D049</t>
        </is>
      </c>
      <c r="B50" t="inlineStr">
        <is>
          <t>49</t>
        </is>
      </c>
      <c r="C50" t="inlineStr">
        <is>
          <t>Valencia Marínez</t>
        </is>
      </c>
      <c r="D50" t="inlineStr">
        <is>
          <t>Saidy Eufemia</t>
        </is>
      </c>
      <c r="E50" t="inlineStr">
        <is>
          <t>Valencia Marínez Saidy Eufemia</t>
        </is>
      </c>
      <c r="F50" t="inlineStr">
        <is>
          <t>SECUNDARIA</t>
        </is>
      </c>
      <c r="G50" t="inlineStr"/>
      <c r="H50" t="inlineStr">
        <is>
          <t>11°-1</t>
        </is>
      </c>
      <c r="I50" t="inlineStr">
        <is>
          <t>ART</t>
        </is>
      </c>
      <c r="J50" t="inlineStr"/>
      <c r="K50" t="inlineStr">
        <is>
          <t>SI</t>
        </is>
      </c>
      <c r="L50" t="inlineStr"/>
    </row>
    <row r="51">
      <c r="A51" t="inlineStr">
        <is>
          <t>D050</t>
        </is>
      </c>
      <c r="B51" t="inlineStr">
        <is>
          <t>50</t>
        </is>
      </c>
      <c r="C51" t="inlineStr">
        <is>
          <t>Valencia Solís</t>
        </is>
      </c>
      <c r="D51" t="inlineStr">
        <is>
          <t>Gloria Alexa</t>
        </is>
      </c>
      <c r="E51" t="inlineStr">
        <is>
          <t>Valencia Solís Gloria Alexa</t>
        </is>
      </c>
      <c r="F51" t="inlineStr">
        <is>
          <t>PREESCOLAR</t>
        </is>
      </c>
      <c r="G51" t="inlineStr">
        <is>
          <t>0001</t>
        </is>
      </c>
      <c r="H51" t="inlineStr">
        <is>
          <t>0°-1</t>
        </is>
      </c>
      <c r="I51" t="inlineStr"/>
      <c r="J51" t="inlineStr"/>
      <c r="K51" t="inlineStr">
        <is>
          <t>SI</t>
        </is>
      </c>
      <c r="L51" t="inlineStr">
        <is>
          <t>Grupo según DIRECCIÓN DE GRUPO 2026</t>
        </is>
      </c>
    </row>
    <row r="52">
      <c r="A52" t="inlineStr">
        <is>
          <t>D051</t>
        </is>
      </c>
      <c r="B52" t="inlineStr">
        <is>
          <t>51</t>
        </is>
      </c>
      <c r="C52" t="inlineStr">
        <is>
          <t>Valverde Montaño</t>
        </is>
      </c>
      <c r="D52" t="inlineStr">
        <is>
          <t>María Teresa</t>
        </is>
      </c>
      <c r="E52" t="inlineStr">
        <is>
          <t>Valverde Montaño María Teresa</t>
        </is>
      </c>
      <c r="F52" t="inlineStr">
        <is>
          <t>SECUNDARIA</t>
        </is>
      </c>
      <c r="G52" t="inlineStr"/>
      <c r="H52" t="inlineStr">
        <is>
          <t>8°-1</t>
        </is>
      </c>
      <c r="I52" t="inlineStr">
        <is>
          <t>CAS</t>
        </is>
      </c>
      <c r="J52" t="inlineStr"/>
      <c r="K52" t="inlineStr">
        <is>
          <t>SI</t>
        </is>
      </c>
      <c r="L52" t="inlineStr"/>
    </row>
    <row r="53">
      <c r="A53" t="inlineStr">
        <is>
          <t>D052</t>
        </is>
      </c>
      <c r="B53" t="inlineStr">
        <is>
          <t>52</t>
        </is>
      </c>
      <c r="C53" t="inlineStr">
        <is>
          <t>Vásquez Valencia</t>
        </is>
      </c>
      <c r="D53" t="inlineStr">
        <is>
          <t>Segundo Leoncio</t>
        </is>
      </c>
      <c r="E53" t="inlineStr">
        <is>
          <t>Vásquez Valencia Segundo Leoncio</t>
        </is>
      </c>
      <c r="F53" t="inlineStr">
        <is>
          <t>SECUNDARIA</t>
        </is>
      </c>
      <c r="G53" t="inlineStr"/>
      <c r="H53" t="inlineStr">
        <is>
          <t>CS 1-2</t>
        </is>
      </c>
      <c r="I53" t="inlineStr">
        <is>
          <t>MAT</t>
        </is>
      </c>
      <c r="J53" t="inlineStr"/>
      <c r="K53" t="inlineStr">
        <is>
          <t>SI</t>
        </is>
      </c>
      <c r="L53" t="inlineStr"/>
    </row>
    <row r="54">
      <c r="A54" t="inlineStr">
        <is>
          <t>D053</t>
        </is>
      </c>
      <c r="B54" t="inlineStr">
        <is>
          <t>53</t>
        </is>
      </c>
      <c r="C54" t="inlineStr">
        <is>
          <t>Villota Rubio</t>
        </is>
      </c>
      <c r="D54" t="inlineStr">
        <is>
          <t>Héctor Hugo</t>
        </is>
      </c>
      <c r="E54" t="inlineStr">
        <is>
          <t>Villota Rubio Héctor Hugo</t>
        </is>
      </c>
      <c r="F54" t="inlineStr">
        <is>
          <t>SECUNDARIA</t>
        </is>
      </c>
      <c r="G54" t="inlineStr"/>
      <c r="H54" t="inlineStr">
        <is>
          <t>9°-2</t>
        </is>
      </c>
      <c r="I54" t="inlineStr">
        <is>
          <t>CNA</t>
        </is>
      </c>
      <c r="J54" t="inlineStr"/>
      <c r="K54" t="inlineStr">
        <is>
          <t>SI</t>
        </is>
      </c>
      <c r="L54" t="inlineStr"/>
    </row>
    <row r="55">
      <c r="A55" t="inlineStr">
        <is>
          <t>D054</t>
        </is>
      </c>
      <c r="B55" t="inlineStr">
        <is>
          <t>54</t>
        </is>
      </c>
      <c r="C55" t="inlineStr">
        <is>
          <t>Villota Rubio</t>
        </is>
      </c>
      <c r="D55" t="inlineStr">
        <is>
          <t>Janeth del Carmen</t>
        </is>
      </c>
      <c r="E55" t="inlineStr">
        <is>
          <t>Villota Rubio Janeth del Carmen</t>
        </is>
      </c>
      <c r="F55" t="inlineStr">
        <is>
          <t>SECUNDARIA</t>
        </is>
      </c>
      <c r="G55" t="inlineStr"/>
      <c r="H55" t="inlineStr">
        <is>
          <t>10°-2</t>
        </is>
      </c>
      <c r="I55" t="inlineStr">
        <is>
          <t>MAT</t>
        </is>
      </c>
      <c r="J55" t="inlineStr"/>
      <c r="K55" t="inlineStr">
        <is>
          <t>SI</t>
        </is>
      </c>
      <c r="L55" t="inlineStr"/>
    </row>
    <row r="56">
      <c r="A56" t="inlineStr">
        <is>
          <t>D055</t>
        </is>
      </c>
      <c r="B56" t="inlineStr">
        <is>
          <t>55</t>
        </is>
      </c>
      <c r="C56" t="inlineStr">
        <is>
          <t>Zamora Ordóñez</t>
        </is>
      </c>
      <c r="D56" t="inlineStr">
        <is>
          <t>Celia Pastora</t>
        </is>
      </c>
      <c r="E56" t="inlineStr">
        <is>
          <t>Zamora Ordóñez Celia Pastora</t>
        </is>
      </c>
      <c r="F56" t="inlineStr">
        <is>
          <t>PRIMARIA</t>
        </is>
      </c>
      <c r="G56" t="inlineStr">
        <is>
          <t>0401</t>
        </is>
      </c>
      <c r="H56" t="inlineStr">
        <is>
          <t>4°-1</t>
        </is>
      </c>
      <c r="I56" t="inlineStr"/>
      <c r="J56" t="inlineStr"/>
      <c r="K56" t="inlineStr">
        <is>
          <t>SI</t>
        </is>
      </c>
      <c r="L56" t="inlineStr">
        <is>
          <t>Grupo según DIRECCIÓN DE GRUPO 2026</t>
        </is>
      </c>
    </row>
    <row r="57">
      <c r="A57" t="inlineStr">
        <is>
          <t>D056</t>
        </is>
      </c>
      <c r="B57" t="inlineStr">
        <is>
          <t>56</t>
        </is>
      </c>
      <c r="C57" t="inlineStr">
        <is>
          <t>Ortiz Estacio</t>
        </is>
      </c>
      <c r="D57" t="inlineStr">
        <is>
          <t>Martha Cecilia</t>
        </is>
      </c>
      <c r="E57" t="inlineStr">
        <is>
          <t>Ortiz Estacio Martha Cecilia</t>
        </is>
      </c>
      <c r="F57" t="inlineStr">
        <is>
          <t>TUTORA PTAFI</t>
        </is>
      </c>
      <c r="G57" t="inlineStr"/>
      <c r="H57" t="inlineStr"/>
      <c r="I57" t="inlineStr"/>
      <c r="J57" t="inlineStr"/>
      <c r="K57" t="inlineStr">
        <is>
          <t>SI</t>
        </is>
      </c>
      <c r="L57" t="inlineStr">
        <is>
          <t>Tutora PTAFI (Todos a Aprender - Formación Integral), transitoria: apoya preescolar y primaria (procesos básicos, centros de interés)</t>
        </is>
      </c>
    </row>
    <row r="58">
      <c r="A58" t="inlineStr">
        <is>
          <t>D057</t>
        </is>
      </c>
      <c r="B58" t="inlineStr">
        <is>
          <t>57</t>
        </is>
      </c>
      <c r="C58" t="inlineStr">
        <is>
          <t>Armero Dájome</t>
        </is>
      </c>
      <c r="D58" t="inlineStr">
        <is>
          <t>Jesús</t>
        </is>
      </c>
      <c r="E58" t="inlineStr">
        <is>
          <t>Armero Dájome Jesús</t>
        </is>
      </c>
      <c r="F58" t="inlineStr">
        <is>
          <t>SECUNDARIA</t>
        </is>
      </c>
      <c r="G58" t="inlineStr"/>
      <c r="H58" t="inlineStr">
        <is>
          <t>6°-2</t>
        </is>
      </c>
      <c r="I58" t="inlineStr">
        <is>
          <t>ERD</t>
        </is>
      </c>
      <c r="J58" t="inlineStr"/>
      <c r="K58" t="inlineStr">
        <is>
          <t>SI</t>
        </is>
      </c>
      <c r="L58" t="inlineStr">
        <is>
          <t>Reemplazo de Terán Guevara Jorge Alberto: atiende su horario (desde el cambio del rector</t>
        </is>
      </c>
      <c r="M58" t="inlineStr">
        <is>
          <t xml:space="preserve"> todo el horario que tenía Arizala</t>
        </is>
      </c>
      <c r="N58" t="inlineStr">
        <is>
          <t xml:space="preserve"> Docente 1)</t>
        </is>
      </c>
    </row>
  </sheetData>
  <autoFilter ref="A1:N58"/>
  <dataValidations count="1">
    <dataValidation sqref="F2:F200" showDropDown="0" showInputMessage="0" showErrorMessage="0" allowBlank="1" type="list">
      <formula1>"SECUNDARIA,PRIMARIA,PREESCOLAR,ADMINISTRATIVO,POR DEFINIR"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7" customWidth="1" min="9" max="9"/>
    <col width="9" customWidth="1" min="10" max="10"/>
    <col width="21" customWidth="1" min="11" max="11"/>
    <col width="13" customWidth="1" min="12" max="12"/>
    <col width="16" customWidth="1" min="13" max="13"/>
    <col width="40" customWidth="1" min="14" max="14"/>
    <col width="40" customWidth="1" min="15" max="15"/>
    <col width="16" customWidth="1" min="16" max="16"/>
    <col width="40" customWidth="1" min="17" max="17"/>
    <col width="40" customWidth="1" min="18" max="18"/>
    <col width="16" customWidth="1" min="19" max="19"/>
    <col width="26" customWidth="1" min="20" max="20"/>
    <col width="16" customWidth="1" min="21" max="21"/>
    <col width="40" customWidth="1" min="22" max="22"/>
  </cols>
  <sheetData>
    <row r="1">
      <c r="A1" s="6" t="inlineStr">
        <is>
          <t>docente_n</t>
        </is>
      </c>
      <c r="B1" s="6" t="inlineStr">
        <is>
          <t>docente</t>
        </is>
      </c>
      <c r="C1" s="6" t="inlineStr">
        <is>
          <t>dia</t>
        </is>
      </c>
      <c r="D1" s="6" t="inlineStr">
        <is>
          <t>hora</t>
        </is>
      </c>
      <c r="E1" s="6" t="inlineStr">
        <is>
          <t>bloque</t>
        </is>
      </c>
      <c r="F1" s="6" t="inlineStr">
        <is>
          <t>sesion</t>
        </is>
      </c>
      <c r="G1" s="6" t="inlineStr">
        <is>
          <t>inicio</t>
        </is>
      </c>
      <c r="H1" s="6" t="inlineStr">
        <is>
          <t>fin</t>
        </is>
      </c>
      <c r="I1" s="6" t="inlineStr">
        <is>
          <t>tipo</t>
        </is>
      </c>
      <c r="J1" s="6" t="inlineStr">
        <is>
          <t>grupo</t>
        </is>
      </c>
      <c r="K1" s="6" t="inlineStr">
        <is>
          <t>area</t>
        </is>
      </c>
      <c r="L1" s="6" t="inlineStr">
        <is>
          <t>enfasis_ref</t>
        </is>
      </c>
      <c r="M1" s="6" t="inlineStr">
        <is>
          <t>grupos_enfasis</t>
        </is>
      </c>
      <c r="N1" s="6" t="inlineStr">
        <is>
          <t>equipo_enfasis</t>
        </is>
      </c>
      <c r="O1" s="6" t="inlineStr">
        <is>
          <t>alternancia</t>
        </is>
      </c>
      <c r="P1" s="6" t="inlineStr">
        <is>
          <t>celda_original</t>
        </is>
      </c>
      <c r="Q1" s="6" t="inlineStr">
        <is>
          <t>grupo_mostrar</t>
        </is>
      </c>
      <c r="R1" s="6" t="inlineStr">
        <is>
          <t>nota</t>
        </is>
      </c>
      <c r="S1" s="6" t="inlineStr">
        <is>
          <t>clave</t>
        </is>
      </c>
      <c r="T1" s="6" t="inlineStr">
        <is>
          <t>orden</t>
        </is>
      </c>
      <c r="U1" s="6" t="inlineStr">
        <is>
          <t>indice</t>
        </is>
      </c>
      <c r="V1" s="6" t="inlineStr">
        <is>
          <t>dir_grupo</t>
        </is>
      </c>
    </row>
    <row r="2">
      <c r="A2" t="n">
        <v>23</v>
      </c>
      <c r="B2" t="inlineStr">
        <is>
          <t>Landázuri Quiñones María Elia</t>
        </is>
      </c>
      <c r="C2" t="inlineStr">
        <is>
          <t>LUNES</t>
        </is>
      </c>
      <c r="D2" t="n">
        <v>1</v>
      </c>
      <c r="E2" t="n">
        <v>1</v>
      </c>
      <c r="F2" t="n">
        <v>1</v>
      </c>
      <c r="G2" t="inlineStr">
        <is>
          <t>06:30</t>
        </is>
      </c>
      <c r="H2" t="inlineStr">
        <is>
          <t>07:15</t>
        </is>
      </c>
      <c r="I2" t="inlineStr">
        <is>
          <t>AREAS_MULTIPLES</t>
        </is>
      </c>
      <c r="J2" t="inlineStr">
        <is>
          <t>0101</t>
        </is>
      </c>
      <c r="K2" t="inlineStr">
        <is>
          <t>ÁREAS MÚLTIPLES</t>
        </is>
      </c>
      <c r="L2" t="inlineStr"/>
      <c r="M2" t="inlineStr"/>
      <c r="N2" t="inlineStr"/>
      <c r="O2" t="inlineStr">
        <is>
          <t>Maestro de aula: todas las áreas con su grupo</t>
        </is>
      </c>
      <c r="P2" t="inlineStr"/>
      <c r="Q2">
        <f>IF(I2="ENFASIS","ÉNFASIS "&amp;M2,IFERROR(VLOOKUP(J2,Grupos!$A$2:$D$100,4,FALSE),J2))</f>
        <v/>
      </c>
      <c r="R2">
        <f>O2&amp;IF(N2&lt;&gt;"",IF(O2&lt;&gt;""," · ","")&amp;"Con: "&amp;N2,"")</f>
        <v/>
      </c>
      <c r="S2">
        <f>C2&amp;"|"&amp;D2</f>
        <v/>
      </c>
      <c r="T2">
        <f>COUNTIF($S$2:S2,S2)</f>
        <v/>
      </c>
      <c r="U2">
        <f>S2&amp;"|"&amp;T2</f>
        <v/>
      </c>
      <c r="V2">
        <f>IFERROR(VLOOKUP(IF(I2="ENFASIS",LEFT(M2,FIND("+",M2&amp;"+")-1),J2),Direccion_Grupo!$A$2:$G$100,7,FALSE),"")</f>
        <v/>
      </c>
    </row>
    <row r="3">
      <c r="A3" t="n">
        <v>45</v>
      </c>
      <c r="B3" t="inlineStr">
        <is>
          <t>Sinisterra Ana Lucía</t>
        </is>
      </c>
      <c r="C3" t="inlineStr">
        <is>
          <t>LUNES</t>
        </is>
      </c>
      <c r="D3" t="n">
        <v>1</v>
      </c>
      <c r="E3" t="n">
        <v>1</v>
      </c>
      <c r="F3" t="n">
        <v>1</v>
      </c>
      <c r="G3" t="inlineStr">
        <is>
          <t>06:30</t>
        </is>
      </c>
      <c r="H3" t="inlineStr">
        <is>
          <t>07:15</t>
        </is>
      </c>
      <c r="I3" t="inlineStr">
        <is>
          <t>AREAS_MULTIPLES</t>
        </is>
      </c>
      <c r="J3" t="inlineStr">
        <is>
          <t>0102</t>
        </is>
      </c>
      <c r="K3" t="inlineStr">
        <is>
          <t>ÁREAS MÚLTIPLES</t>
        </is>
      </c>
      <c r="L3" t="inlineStr"/>
      <c r="M3" t="inlineStr"/>
      <c r="N3" t="inlineStr"/>
      <c r="O3" t="inlineStr">
        <is>
          <t>Maestro de aula: todas las áreas con su grupo</t>
        </is>
      </c>
      <c r="P3" t="inlineStr"/>
      <c r="Q3">
        <f>IF(I3="ENFASIS","ÉNFASIS "&amp;M3,IFERROR(VLOOKUP(J3,Grupos!$A$2:$D$100,4,FALSE),J3))</f>
        <v/>
      </c>
      <c r="R3">
        <f>O3&amp;IF(N3&lt;&gt;"",IF(O3&lt;&gt;""," · ","")&amp;"Con: "&amp;N3,"")</f>
        <v/>
      </c>
      <c r="S3">
        <f>C3&amp;"|"&amp;D3</f>
        <v/>
      </c>
      <c r="T3">
        <f>COUNTIF($S$2:S3,S3)</f>
        <v/>
      </c>
      <c r="U3">
        <f>S3&amp;"|"&amp;T3</f>
        <v/>
      </c>
      <c r="V3">
        <f>IFERROR(VLOOKUP(IF(I3="ENFASIS",LEFT(M3,FIND("+",M3&amp;"+")-1),J3),Direccion_Grupo!$A$2:$G$100,7,FALSE),"")</f>
        <v/>
      </c>
    </row>
    <row r="4">
      <c r="A4" t="n">
        <v>13</v>
      </c>
      <c r="B4" t="inlineStr">
        <is>
          <t>Cortés Salazar María Ebelice</t>
        </is>
      </c>
      <c r="C4" t="inlineStr">
        <is>
          <t>LUNES</t>
        </is>
      </c>
      <c r="D4" t="n">
        <v>1</v>
      </c>
      <c r="E4" t="n">
        <v>1</v>
      </c>
      <c r="F4" t="n">
        <v>1</v>
      </c>
      <c r="G4" t="inlineStr">
        <is>
          <t>06:30</t>
        </is>
      </c>
      <c r="H4" t="inlineStr">
        <is>
          <t>07:15</t>
        </is>
      </c>
      <c r="I4" t="inlineStr">
        <is>
          <t>AREAS_MULTIPLES</t>
        </is>
      </c>
      <c r="J4" t="inlineStr">
        <is>
          <t>0201</t>
        </is>
      </c>
      <c r="K4" t="inlineStr">
        <is>
          <t>ÁREAS MÚLTIPLES</t>
        </is>
      </c>
      <c r="L4" t="inlineStr"/>
      <c r="M4" t="inlineStr"/>
      <c r="N4" t="inlineStr"/>
      <c r="O4" t="inlineStr">
        <is>
          <t>Maestro de aula: todas las áreas con su grupo</t>
        </is>
      </c>
      <c r="P4" t="inlineStr"/>
      <c r="Q4">
        <f>IF(I4="ENFASIS","ÉNFASIS "&amp;M4,IFERROR(VLOOKUP(J4,Grupos!$A$2:$D$100,4,FALSE),J4))</f>
        <v/>
      </c>
      <c r="R4">
        <f>O4&amp;IF(N4&lt;&gt;"",IF(O4&lt;&gt;""," · ","")&amp;"Con: "&amp;N4,"")</f>
        <v/>
      </c>
      <c r="S4">
        <f>C4&amp;"|"&amp;D4</f>
        <v/>
      </c>
      <c r="T4">
        <f>COUNTIF($S$2:S4,S4)</f>
        <v/>
      </c>
      <c r="U4">
        <f>S4&amp;"|"&amp;T4</f>
        <v/>
      </c>
      <c r="V4">
        <f>IFERROR(VLOOKUP(IF(I4="ENFASIS",LEFT(M4,FIND("+",M4&amp;"+")-1),J4),Direccion_Grupo!$A$2:$G$100,7,FALSE),"")</f>
        <v/>
      </c>
    </row>
    <row r="5">
      <c r="A5" t="n">
        <v>21</v>
      </c>
      <c r="B5" t="inlineStr">
        <is>
          <t>Garzón Quiñones Sixta Janina</t>
        </is>
      </c>
      <c r="C5" t="inlineStr">
        <is>
          <t>LUNES</t>
        </is>
      </c>
      <c r="D5" t="n">
        <v>1</v>
      </c>
      <c r="E5" t="n">
        <v>1</v>
      </c>
      <c r="F5" t="n">
        <v>1</v>
      </c>
      <c r="G5" t="inlineStr">
        <is>
          <t>06:30</t>
        </is>
      </c>
      <c r="H5" t="inlineStr">
        <is>
          <t>07:15</t>
        </is>
      </c>
      <c r="I5" t="inlineStr">
        <is>
          <t>AREAS_MULTIPLES</t>
        </is>
      </c>
      <c r="J5" t="inlineStr">
        <is>
          <t>0202</t>
        </is>
      </c>
      <c r="K5" t="inlineStr">
        <is>
          <t>ÁREAS MÚLTIPLES</t>
        </is>
      </c>
      <c r="L5" t="inlineStr"/>
      <c r="M5" t="inlineStr"/>
      <c r="N5" t="inlineStr"/>
      <c r="O5" t="inlineStr">
        <is>
          <t>Maestro de aula: todas las áreas con su grupo</t>
        </is>
      </c>
      <c r="P5" t="inlineStr"/>
      <c r="Q5">
        <f>IF(I5="ENFASIS","ÉNFASIS "&amp;M5,IFERROR(VLOOKUP(J5,Grupos!$A$2:$D$100,4,FALSE),J5))</f>
        <v/>
      </c>
      <c r="R5">
        <f>O5&amp;IF(N5&lt;&gt;"",IF(O5&lt;&gt;""," · ","")&amp;"Con: "&amp;N5,"")</f>
        <v/>
      </c>
      <c r="S5">
        <f>C5&amp;"|"&amp;D5</f>
        <v/>
      </c>
      <c r="T5">
        <f>COUNTIF($S$2:S5,S5)</f>
        <v/>
      </c>
      <c r="U5">
        <f>S5&amp;"|"&amp;T5</f>
        <v/>
      </c>
      <c r="V5">
        <f>IFERROR(VLOOKUP(IF(I5="ENFASIS",LEFT(M5,FIND("+",M5&amp;"+")-1),J5),Direccion_Grupo!$A$2:$G$100,7,FALSE),"")</f>
        <v/>
      </c>
    </row>
    <row r="6">
      <c r="A6" t="n">
        <v>46</v>
      </c>
      <c r="B6" t="inlineStr">
        <is>
          <t>Tenorio Cuero Lucy Bivian</t>
        </is>
      </c>
      <c r="C6" t="inlineStr">
        <is>
          <t>LUNES</t>
        </is>
      </c>
      <c r="D6" t="n">
        <v>1</v>
      </c>
      <c r="E6" t="n">
        <v>1</v>
      </c>
      <c r="F6" t="n">
        <v>1</v>
      </c>
      <c r="G6" t="inlineStr">
        <is>
          <t>06:30</t>
        </is>
      </c>
      <c r="H6" t="inlineStr">
        <is>
          <t>07:15</t>
        </is>
      </c>
      <c r="I6" t="inlineStr">
        <is>
          <t>AREAS_MULTIPLES</t>
        </is>
      </c>
      <c r="J6" t="inlineStr">
        <is>
          <t>0203</t>
        </is>
      </c>
      <c r="K6" t="inlineStr">
        <is>
          <t>ÁREAS MÚLTIPLES</t>
        </is>
      </c>
      <c r="L6" t="inlineStr"/>
      <c r="M6" t="inlineStr"/>
      <c r="N6" t="inlineStr"/>
      <c r="O6" t="inlineStr">
        <is>
          <t>Maestro de aula: todas las áreas con su grupo</t>
        </is>
      </c>
      <c r="P6" t="inlineStr"/>
      <c r="Q6">
        <f>IF(I6="ENFASIS","ÉNFASIS "&amp;M6,IFERROR(VLOOKUP(J6,Grupos!$A$2:$D$100,4,FALSE),J6))</f>
        <v/>
      </c>
      <c r="R6">
        <f>O6&amp;IF(N6&lt;&gt;"",IF(O6&lt;&gt;""," · ","")&amp;"Con: "&amp;N6,"")</f>
        <v/>
      </c>
      <c r="S6">
        <f>C6&amp;"|"&amp;D6</f>
        <v/>
      </c>
      <c r="T6">
        <f>COUNTIF($S$2:S6,S6)</f>
        <v/>
      </c>
      <c r="U6">
        <f>S6&amp;"|"&amp;T6</f>
        <v/>
      </c>
      <c r="V6">
        <f>IFERROR(VLOOKUP(IF(I6="ENFASIS",LEFT(M6,FIND("+",M6&amp;"+")-1),J6),Direccion_Grupo!$A$2:$G$100,7,FALSE),"")</f>
        <v/>
      </c>
    </row>
    <row r="7">
      <c r="A7" t="n">
        <v>48</v>
      </c>
      <c r="B7" t="inlineStr">
        <is>
          <t>Torres Segura Encarnación</t>
        </is>
      </c>
      <c r="C7" t="inlineStr">
        <is>
          <t>LUNES</t>
        </is>
      </c>
      <c r="D7" t="n">
        <v>1</v>
      </c>
      <c r="E7" t="n">
        <v>1</v>
      </c>
      <c r="F7" t="n">
        <v>1</v>
      </c>
      <c r="G7" t="inlineStr">
        <is>
          <t>06:30</t>
        </is>
      </c>
      <c r="H7" t="inlineStr">
        <is>
          <t>07:15</t>
        </is>
      </c>
      <c r="I7" t="inlineStr">
        <is>
          <t>AREAS_MULTIPLES</t>
        </is>
      </c>
      <c r="J7" t="inlineStr">
        <is>
          <t>0301</t>
        </is>
      </c>
      <c r="K7" t="inlineStr">
        <is>
          <t>ÁREAS MÚLTIPLES</t>
        </is>
      </c>
      <c r="L7" t="inlineStr"/>
      <c r="M7" t="inlineStr"/>
      <c r="N7" t="inlineStr"/>
      <c r="O7" t="inlineStr">
        <is>
          <t>Maestro de aula: todas las áreas con su grupo</t>
        </is>
      </c>
      <c r="P7" t="inlineStr"/>
      <c r="Q7">
        <f>IF(I7="ENFASIS","ÉNFASIS "&amp;M7,IFERROR(VLOOKUP(J7,Grupos!$A$2:$D$100,4,FALSE),J7))</f>
        <v/>
      </c>
      <c r="R7">
        <f>O7&amp;IF(N7&lt;&gt;"",IF(O7&lt;&gt;""," · ","")&amp;"Con: "&amp;N7,"")</f>
        <v/>
      </c>
      <c r="S7">
        <f>C7&amp;"|"&amp;D7</f>
        <v/>
      </c>
      <c r="T7">
        <f>COUNTIF($S$2:S7,S7)</f>
        <v/>
      </c>
      <c r="U7">
        <f>S7&amp;"|"&amp;T7</f>
        <v/>
      </c>
      <c r="V7">
        <f>IFERROR(VLOOKUP(IF(I7="ENFASIS",LEFT(M7,FIND("+",M7&amp;"+")-1),J7),Direccion_Grupo!$A$2:$G$100,7,FALSE),"")</f>
        <v/>
      </c>
    </row>
    <row r="8">
      <c r="A8" t="n">
        <v>24</v>
      </c>
      <c r="B8" t="inlineStr">
        <is>
          <t>Landázuri Gallón Teresa</t>
        </is>
      </c>
      <c r="C8" t="inlineStr">
        <is>
          <t>LUNES</t>
        </is>
      </c>
      <c r="D8" t="n">
        <v>1</v>
      </c>
      <c r="E8" t="n">
        <v>1</v>
      </c>
      <c r="F8" t="n">
        <v>1</v>
      </c>
      <c r="G8" t="inlineStr">
        <is>
          <t>06:30</t>
        </is>
      </c>
      <c r="H8" t="inlineStr">
        <is>
          <t>07:15</t>
        </is>
      </c>
      <c r="I8" t="inlineStr">
        <is>
          <t>AREAS_MULTIPLES</t>
        </is>
      </c>
      <c r="J8" t="inlineStr">
        <is>
          <t>0302</t>
        </is>
      </c>
      <c r="K8" t="inlineStr">
        <is>
          <t>ÁREAS MÚLTIPLES</t>
        </is>
      </c>
      <c r="L8" t="inlineStr"/>
      <c r="M8" t="inlineStr"/>
      <c r="N8" t="inlineStr"/>
      <c r="O8" t="inlineStr">
        <is>
          <t>Maestro de aula: todas las áreas con su grupo</t>
        </is>
      </c>
      <c r="P8" t="inlineStr"/>
      <c r="Q8">
        <f>IF(I8="ENFASIS","ÉNFASIS "&amp;M8,IFERROR(VLOOKUP(J8,Grupos!$A$2:$D$100,4,FALSE),J8))</f>
        <v/>
      </c>
      <c r="R8">
        <f>O8&amp;IF(N8&lt;&gt;"",IF(O8&lt;&gt;""," · ","")&amp;"Con: "&amp;N8,"")</f>
        <v/>
      </c>
      <c r="S8">
        <f>C8&amp;"|"&amp;D8</f>
        <v/>
      </c>
      <c r="T8">
        <f>COUNTIF($S$2:S8,S8)</f>
        <v/>
      </c>
      <c r="U8">
        <f>S8&amp;"|"&amp;T8</f>
        <v/>
      </c>
      <c r="V8">
        <f>IFERROR(VLOOKUP(IF(I8="ENFASIS",LEFT(M8,FIND("+",M8&amp;"+")-1),J8),Direccion_Grupo!$A$2:$G$100,7,FALSE),"")</f>
        <v/>
      </c>
    </row>
    <row r="9">
      <c r="A9" t="n">
        <v>55</v>
      </c>
      <c r="B9" t="inlineStr">
        <is>
          <t>Zamora Ordóñez Celia Pastora</t>
        </is>
      </c>
      <c r="C9" t="inlineStr">
        <is>
          <t>LUNES</t>
        </is>
      </c>
      <c r="D9" t="n">
        <v>1</v>
      </c>
      <c r="E9" t="n">
        <v>1</v>
      </c>
      <c r="F9" t="n">
        <v>1</v>
      </c>
      <c r="G9" t="inlineStr">
        <is>
          <t>06:30</t>
        </is>
      </c>
      <c r="H9" t="inlineStr">
        <is>
          <t>07:15</t>
        </is>
      </c>
      <c r="I9" t="inlineStr">
        <is>
          <t>AREAS_MULTIPLES</t>
        </is>
      </c>
      <c r="J9" t="inlineStr">
        <is>
          <t>0401</t>
        </is>
      </c>
      <c r="K9" t="inlineStr">
        <is>
          <t>ÁREAS MÚLTIPLES</t>
        </is>
      </c>
      <c r="L9" t="inlineStr"/>
      <c r="M9" t="inlineStr"/>
      <c r="N9" t="inlineStr"/>
      <c r="O9" t="inlineStr">
        <is>
          <t>Maestro de aula: todas las áreas con su grupo</t>
        </is>
      </c>
      <c r="P9" t="inlineStr"/>
      <c r="Q9">
        <f>IF(I9="ENFASIS","ÉNFASIS "&amp;M9,IFERROR(VLOOKUP(J9,Grupos!$A$2:$D$100,4,FALSE),J9))</f>
        <v/>
      </c>
      <c r="R9">
        <f>O9&amp;IF(N9&lt;&gt;"",IF(O9&lt;&gt;""," · ","")&amp;"Con: "&amp;N9,"")</f>
        <v/>
      </c>
      <c r="S9">
        <f>C9&amp;"|"&amp;D9</f>
        <v/>
      </c>
      <c r="T9">
        <f>COUNTIF($S$2:S9,S9)</f>
        <v/>
      </c>
      <c r="U9">
        <f>S9&amp;"|"&amp;T9</f>
        <v/>
      </c>
      <c r="V9">
        <f>IFERROR(VLOOKUP(IF(I9="ENFASIS",LEFT(M9,FIND("+",M9&amp;"+")-1),J9),Direccion_Grupo!$A$2:$G$100,7,FALSE),"")</f>
        <v/>
      </c>
    </row>
    <row r="10">
      <c r="A10" t="n">
        <v>33</v>
      </c>
      <c r="B10" t="inlineStr">
        <is>
          <t>Núñez Perlaza Elcy</t>
        </is>
      </c>
      <c r="C10" t="inlineStr">
        <is>
          <t>LUNES</t>
        </is>
      </c>
      <c r="D10" t="n">
        <v>1</v>
      </c>
      <c r="E10" t="n">
        <v>1</v>
      </c>
      <c r="F10" t="n">
        <v>1</v>
      </c>
      <c r="G10" t="inlineStr">
        <is>
          <t>06:30</t>
        </is>
      </c>
      <c r="H10" t="inlineStr">
        <is>
          <t>07:15</t>
        </is>
      </c>
      <c r="I10" t="inlineStr">
        <is>
          <t>AREAS_MULTIPLES</t>
        </is>
      </c>
      <c r="J10" t="inlineStr">
        <is>
          <t>0402</t>
        </is>
      </c>
      <c r="K10" t="inlineStr">
        <is>
          <t>ÁREAS MÚLTIPLES</t>
        </is>
      </c>
      <c r="L10" t="inlineStr"/>
      <c r="M10" t="inlineStr"/>
      <c r="N10" t="inlineStr"/>
      <c r="O10" t="inlineStr">
        <is>
          <t>Maestro de aula: todas las áreas con su grupo</t>
        </is>
      </c>
      <c r="P10" t="inlineStr"/>
      <c r="Q10">
        <f>IF(I10="ENFASIS","ÉNFASIS "&amp;M10,IFERROR(VLOOKUP(J10,Grupos!$A$2:$D$100,4,FALSE),J10))</f>
        <v/>
      </c>
      <c r="R10">
        <f>O10&amp;IF(N10&lt;&gt;"",IF(O10&lt;&gt;""," · ","")&amp;"Con: "&amp;N10,"")</f>
        <v/>
      </c>
      <c r="S10">
        <f>C10&amp;"|"&amp;D10</f>
        <v/>
      </c>
      <c r="T10">
        <f>COUNTIF($S$2:S10,S10)</f>
        <v/>
      </c>
      <c r="U10">
        <f>S10&amp;"|"&amp;T10</f>
        <v/>
      </c>
      <c r="V10">
        <f>IFERROR(VLOOKUP(IF(I10="ENFASIS",LEFT(M10,FIND("+",M10&amp;"+")-1),J10),Direccion_Grupo!$A$2:$G$100,7,FALSE),"")</f>
        <v/>
      </c>
    </row>
    <row r="11">
      <c r="A11" t="n">
        <v>14</v>
      </c>
      <c r="B11" t="inlineStr">
        <is>
          <t>Cuéllar Gallo Nemesia</t>
        </is>
      </c>
      <c r="C11" t="inlineStr">
        <is>
          <t>LUNES</t>
        </is>
      </c>
      <c r="D11" t="n">
        <v>1</v>
      </c>
      <c r="E11" t="n">
        <v>1</v>
      </c>
      <c r="F11" t="n">
        <v>1</v>
      </c>
      <c r="G11" t="inlineStr">
        <is>
          <t>06:30</t>
        </is>
      </c>
      <c r="H11" t="inlineStr">
        <is>
          <t>07:15</t>
        </is>
      </c>
      <c r="I11" t="inlineStr">
        <is>
          <t>AREAS_MULTIPLES</t>
        </is>
      </c>
      <c r="J11" t="inlineStr">
        <is>
          <t>0501</t>
        </is>
      </c>
      <c r="K11" t="inlineStr">
        <is>
          <t>ÁREAS MÚLTIPLES</t>
        </is>
      </c>
      <c r="L11" t="inlineStr"/>
      <c r="M11" t="inlineStr"/>
      <c r="N11" t="inlineStr"/>
      <c r="O11" t="inlineStr">
        <is>
          <t>Maestro de aula: todas las áreas con su grupo</t>
        </is>
      </c>
      <c r="P11" t="inlineStr"/>
      <c r="Q11">
        <f>IF(I11="ENFASIS","ÉNFASIS "&amp;M11,IFERROR(VLOOKUP(J11,Grupos!$A$2:$D$100,4,FALSE),J11))</f>
        <v/>
      </c>
      <c r="R11">
        <f>O11&amp;IF(N11&lt;&gt;"",IF(O11&lt;&gt;""," · ","")&amp;"Con: "&amp;N11,"")</f>
        <v/>
      </c>
      <c r="S11">
        <f>C11&amp;"|"&amp;D11</f>
        <v/>
      </c>
      <c r="T11">
        <f>COUNTIF($S$2:S11,S11)</f>
        <v/>
      </c>
      <c r="U11">
        <f>S11&amp;"|"&amp;T11</f>
        <v/>
      </c>
      <c r="V11">
        <f>IFERROR(VLOOKUP(IF(I11="ENFASIS",LEFT(M11,FIND("+",M11&amp;"+")-1),J11),Direccion_Grupo!$A$2:$G$100,7,FALSE),"")</f>
        <v/>
      </c>
    </row>
    <row r="12">
      <c r="A12" t="n">
        <v>11</v>
      </c>
      <c r="B12" t="inlineStr">
        <is>
          <t>Centeno Zúñiga Claudia Patricia</t>
        </is>
      </c>
      <c r="C12" t="inlineStr">
        <is>
          <t>LUNES</t>
        </is>
      </c>
      <c r="D12" t="n">
        <v>1</v>
      </c>
      <c r="E12" t="n">
        <v>1</v>
      </c>
      <c r="F12" t="n">
        <v>1</v>
      </c>
      <c r="G12" t="inlineStr">
        <is>
          <t>06:30</t>
        </is>
      </c>
      <c r="H12" t="inlineStr">
        <is>
          <t>07:15</t>
        </is>
      </c>
      <c r="I12" t="inlineStr">
        <is>
          <t>AREAS_MULTIPLES</t>
        </is>
      </c>
      <c r="J12" t="inlineStr">
        <is>
          <t>0502</t>
        </is>
      </c>
      <c r="K12" t="inlineStr">
        <is>
          <t>ÁREAS MÚLTIPLES</t>
        </is>
      </c>
      <c r="L12" t="inlineStr"/>
      <c r="M12" t="inlineStr"/>
      <c r="N12" t="inlineStr"/>
      <c r="O12" t="inlineStr">
        <is>
          <t>Maestro de aula: todas las áreas con su grupo</t>
        </is>
      </c>
      <c r="P12" t="inlineStr"/>
      <c r="Q12">
        <f>IF(I12="ENFASIS","ÉNFASIS "&amp;M12,IFERROR(VLOOKUP(J12,Grupos!$A$2:$D$100,4,FALSE),J12))</f>
        <v/>
      </c>
      <c r="R12">
        <f>O12&amp;IF(N12&lt;&gt;"",IF(O12&lt;&gt;""," · ","")&amp;"Con: "&amp;N12,"")</f>
        <v/>
      </c>
      <c r="S12">
        <f>C12&amp;"|"&amp;D12</f>
        <v/>
      </c>
      <c r="T12">
        <f>COUNTIF($S$2:S12,S12)</f>
        <v/>
      </c>
      <c r="U12">
        <f>S12&amp;"|"&amp;T12</f>
        <v/>
      </c>
      <c r="V12">
        <f>IFERROR(VLOOKUP(IF(I12="ENFASIS",LEFT(M12,FIND("+",M12&amp;"+")-1),J12),Direccion_Grupo!$A$2:$G$100,7,FALSE),"")</f>
        <v/>
      </c>
    </row>
    <row r="13">
      <c r="A13" t="n">
        <v>32</v>
      </c>
      <c r="B13" t="inlineStr">
        <is>
          <t>Narváez Sánchez Dora Alejandra</t>
        </is>
      </c>
      <c r="C13" t="inlineStr">
        <is>
          <t>LUNES</t>
        </is>
      </c>
      <c r="D13" t="n">
        <v>1</v>
      </c>
      <c r="E13" t="n">
        <v>1</v>
      </c>
      <c r="F13" t="n">
        <v>1</v>
      </c>
      <c r="G13" t="inlineStr">
        <is>
          <t>06:30</t>
        </is>
      </c>
      <c r="H13" t="inlineStr">
        <is>
          <t>07:15</t>
        </is>
      </c>
      <c r="I13" t="inlineStr">
        <is>
          <t>AREAS_MULTIPLES</t>
        </is>
      </c>
      <c r="J13" t="inlineStr">
        <is>
          <t>0503</t>
        </is>
      </c>
      <c r="K13" t="inlineStr">
        <is>
          <t>ÁREAS MÚLTIPLES</t>
        </is>
      </c>
      <c r="L13" t="inlineStr"/>
      <c r="M13" t="inlineStr"/>
      <c r="N13" t="inlineStr"/>
      <c r="O13" t="inlineStr">
        <is>
          <t>Maestro de aula: todas las áreas con su grupo</t>
        </is>
      </c>
      <c r="P13" t="inlineStr"/>
      <c r="Q13">
        <f>IF(I13="ENFASIS","ÉNFASIS "&amp;M13,IFERROR(VLOOKUP(J13,Grupos!$A$2:$D$100,4,FALSE),J13))</f>
        <v/>
      </c>
      <c r="R13">
        <f>O13&amp;IF(N13&lt;&gt;"",IF(O13&lt;&gt;""," · ","")&amp;"Con: "&amp;N13,"")</f>
        <v/>
      </c>
      <c r="S13">
        <f>C13&amp;"|"&amp;D13</f>
        <v/>
      </c>
      <c r="T13">
        <f>COUNTIF($S$2:S13,S13)</f>
        <v/>
      </c>
      <c r="U13">
        <f>S13&amp;"|"&amp;T13</f>
        <v/>
      </c>
      <c r="V13">
        <f>IFERROR(VLOOKUP(IF(I13="ENFASIS",LEFT(M13,FIND("+",M13&amp;"+")-1),J13),Direccion_Grupo!$A$2:$G$100,7,FALSE),"")</f>
        <v/>
      </c>
    </row>
    <row r="14">
      <c r="A14" t="n">
        <v>17</v>
      </c>
      <c r="B14" t="inlineStr">
        <is>
          <t>Escobar Cortés Liliana</t>
        </is>
      </c>
      <c r="C14" t="inlineStr">
        <is>
          <t>LUNES</t>
        </is>
      </c>
      <c r="D14" t="n">
        <v>1</v>
      </c>
      <c r="E14" t="n">
        <v>1</v>
      </c>
      <c r="F14" t="n">
        <v>1</v>
      </c>
      <c r="G14" t="inlineStr">
        <is>
          <t>06:30</t>
        </is>
      </c>
      <c r="H14" t="inlineStr">
        <is>
          <t>07:15</t>
        </is>
      </c>
      <c r="I14" t="inlineStr">
        <is>
          <t>AREAS_MULTIPLES</t>
        </is>
      </c>
      <c r="J14" t="inlineStr">
        <is>
          <t>0504</t>
        </is>
      </c>
      <c r="K14" t="inlineStr">
        <is>
          <t>ÁREAS MÚLTIPLES</t>
        </is>
      </c>
      <c r="L14" t="inlineStr"/>
      <c r="M14" t="inlineStr"/>
      <c r="N14" t="inlineStr"/>
      <c r="O14" t="inlineStr">
        <is>
          <t>Maestro de aula: todas las áreas con su grupo</t>
        </is>
      </c>
      <c r="P14" t="inlineStr"/>
      <c r="Q14">
        <f>IF(I14="ENFASIS","ÉNFASIS "&amp;M14,IFERROR(VLOOKUP(J14,Grupos!$A$2:$D$100,4,FALSE),J14))</f>
        <v/>
      </c>
      <c r="R14">
        <f>O14&amp;IF(N14&lt;&gt;"",IF(O14&lt;&gt;""," · ","")&amp;"Con: "&amp;N14,"")</f>
        <v/>
      </c>
      <c r="S14">
        <f>C14&amp;"|"&amp;D14</f>
        <v/>
      </c>
      <c r="T14">
        <f>COUNTIF($S$2:S14,S14)</f>
        <v/>
      </c>
      <c r="U14">
        <f>S14&amp;"|"&amp;T14</f>
        <v/>
      </c>
      <c r="V14">
        <f>IFERROR(VLOOKUP(IF(I14="ENFASIS",LEFT(M14,FIND("+",M14&amp;"+")-1),J14),Direccion_Grupo!$A$2:$G$100,7,FALSE),"")</f>
        <v/>
      </c>
    </row>
    <row r="15">
      <c r="A15" t="n">
        <v>37</v>
      </c>
      <c r="B15" t="inlineStr">
        <is>
          <t>Prado Quiñones Genís Maribel</t>
        </is>
      </c>
      <c r="C15" t="inlineStr">
        <is>
          <t>LUNES</t>
        </is>
      </c>
      <c r="D15" t="n">
        <v>1</v>
      </c>
      <c r="E15" t="n">
        <v>1</v>
      </c>
      <c r="F15" t="n">
        <v>1</v>
      </c>
      <c r="G15" t="inlineStr">
        <is>
          <t>06:30</t>
        </is>
      </c>
      <c r="H15" t="inlineStr">
        <is>
          <t>07:15</t>
        </is>
      </c>
      <c r="I15" t="inlineStr">
        <is>
          <t>CLASE</t>
        </is>
      </c>
      <c r="J15" t="inlineStr">
        <is>
          <t>0601</t>
        </is>
      </c>
      <c r="K15" t="inlineStr">
        <is>
          <t>ART</t>
        </is>
      </c>
      <c r="L15" t="inlineStr"/>
      <c r="M15" t="inlineStr"/>
      <c r="N15" t="inlineStr"/>
      <c r="O15" t="inlineStr"/>
      <c r="P15" t="inlineStr">
        <is>
          <t>0601-ART</t>
        </is>
      </c>
      <c r="Q15">
        <f>IF(I15="ENFASIS","ÉNFASIS "&amp;M15,IFERROR(VLOOKUP(J15,Grupos!$A$2:$D$100,4,FALSE),J15))</f>
        <v/>
      </c>
      <c r="R15">
        <f>O15&amp;IF(N15&lt;&gt;"",IF(O15&lt;&gt;""," · ","")&amp;"Con: "&amp;N15,"")</f>
        <v/>
      </c>
      <c r="S15">
        <f>C15&amp;"|"&amp;D15</f>
        <v/>
      </c>
      <c r="T15">
        <f>COUNTIF($S$2:S15,S15)</f>
        <v/>
      </c>
      <c r="U15">
        <f>S15&amp;"|"&amp;T15</f>
        <v/>
      </c>
      <c r="V15">
        <f>IFERROR(VLOOKUP(IF(I15="ENFASIS",LEFT(M15,FIND("+",M15&amp;"+")-1),J15),Direccion_Grupo!$A$2:$G$100,7,FALSE),"")</f>
        <v/>
      </c>
    </row>
    <row r="16">
      <c r="A16" t="n">
        <v>26</v>
      </c>
      <c r="B16" t="inlineStr">
        <is>
          <t>Lozano Torres Amanda Inés</t>
        </is>
      </c>
      <c r="C16" t="inlineStr">
        <is>
          <t>LUNES</t>
        </is>
      </c>
      <c r="D16" t="n">
        <v>1</v>
      </c>
      <c r="E16" t="n">
        <v>1</v>
      </c>
      <c r="F16" t="n">
        <v>1</v>
      </c>
      <c r="G16" t="inlineStr">
        <is>
          <t>06:30</t>
        </is>
      </c>
      <c r="H16" t="inlineStr">
        <is>
          <t>07:15</t>
        </is>
      </c>
      <c r="I16" t="inlineStr">
        <is>
          <t>CLASE</t>
        </is>
      </c>
      <c r="J16" t="inlineStr">
        <is>
          <t>0602</t>
        </is>
      </c>
      <c r="K16" t="inlineStr">
        <is>
          <t>ETR</t>
        </is>
      </c>
      <c r="L16" t="inlineStr"/>
      <c r="M16" t="inlineStr"/>
      <c r="N16" t="inlineStr"/>
      <c r="O16" t="inlineStr">
        <is>
          <t>Ética / Religión (alternan cada semana)</t>
        </is>
      </c>
      <c r="P16" t="inlineStr">
        <is>
          <t>0602-ETR</t>
        </is>
      </c>
      <c r="Q16">
        <f>IF(I16="ENFASIS","ÉNFASIS "&amp;M16,IFERROR(VLOOKUP(J16,Grupos!$A$2:$D$100,4,FALSE),J16))</f>
        <v/>
      </c>
      <c r="R16">
        <f>O16&amp;IF(N16&lt;&gt;"",IF(O16&lt;&gt;""," · ","")&amp;"Con: "&amp;N16,"")</f>
        <v/>
      </c>
      <c r="S16">
        <f>C16&amp;"|"&amp;D16</f>
        <v/>
      </c>
      <c r="T16">
        <f>COUNTIF($S$2:S16,S16)</f>
        <v/>
      </c>
      <c r="U16">
        <f>S16&amp;"|"&amp;T16</f>
        <v/>
      </c>
      <c r="V16">
        <f>IFERROR(VLOOKUP(IF(I16="ENFASIS",LEFT(M16,FIND("+",M16&amp;"+")-1),J16),Direccion_Grupo!$A$2:$G$100,7,FALSE),"")</f>
        <v/>
      </c>
    </row>
    <row r="17">
      <c r="A17" t="n">
        <v>39</v>
      </c>
      <c r="B17" t="inlineStr">
        <is>
          <t>Puches Ana Milena</t>
        </is>
      </c>
      <c r="C17" t="inlineStr">
        <is>
          <t>LUNES</t>
        </is>
      </c>
      <c r="D17" t="n">
        <v>1</v>
      </c>
      <c r="E17" t="n">
        <v>1</v>
      </c>
      <c r="F17" t="n">
        <v>1</v>
      </c>
      <c r="G17" t="inlineStr">
        <is>
          <t>06:30</t>
        </is>
      </c>
      <c r="H17" t="inlineStr">
        <is>
          <t>07:15</t>
        </is>
      </c>
      <c r="I17" t="inlineStr">
        <is>
          <t>CLASE</t>
        </is>
      </c>
      <c r="J17" t="inlineStr">
        <is>
          <t>0704</t>
        </is>
      </c>
      <c r="K17" t="inlineStr">
        <is>
          <t>ART</t>
        </is>
      </c>
      <c r="L17" t="inlineStr"/>
      <c r="M17" t="inlineStr"/>
      <c r="N17" t="inlineStr"/>
      <c r="O17" t="inlineStr"/>
      <c r="P17" t="inlineStr">
        <is>
          <t>0704-ART</t>
        </is>
      </c>
      <c r="Q17">
        <f>IF(I17="ENFASIS","ÉNFASIS "&amp;M17,IFERROR(VLOOKUP(J17,Grupos!$A$2:$D$100,4,FALSE),J17))</f>
        <v/>
      </c>
      <c r="R17">
        <f>O17&amp;IF(N17&lt;&gt;"",IF(O17&lt;&gt;""," · ","")&amp;"Con: "&amp;N17,"")</f>
        <v/>
      </c>
      <c r="S17">
        <f>C17&amp;"|"&amp;D17</f>
        <v/>
      </c>
      <c r="T17">
        <f>COUNTIF($S$2:S17,S17)</f>
        <v/>
      </c>
      <c r="U17">
        <f>S17&amp;"|"&amp;T17</f>
        <v/>
      </c>
      <c r="V17">
        <f>IFERROR(VLOOKUP(IF(I17="ENFASIS",LEFT(M17,FIND("+",M17&amp;"+")-1),J17),Direccion_Grupo!$A$2:$G$100,7,FALSE),"")</f>
        <v/>
      </c>
    </row>
    <row r="18">
      <c r="A18" t="n">
        <v>35</v>
      </c>
      <c r="B18" t="inlineStr">
        <is>
          <t>Ortiz Araujo Adiela Carlota</t>
        </is>
      </c>
      <c r="C18" t="inlineStr">
        <is>
          <t>LUNES</t>
        </is>
      </c>
      <c r="D18" t="n">
        <v>1</v>
      </c>
      <c r="E18" t="n">
        <v>1</v>
      </c>
      <c r="F18" t="n">
        <v>1</v>
      </c>
      <c r="G18" t="inlineStr">
        <is>
          <t>06:30</t>
        </is>
      </c>
      <c r="H18" t="inlineStr">
        <is>
          <t>07:15</t>
        </is>
      </c>
      <c r="I18" t="inlineStr">
        <is>
          <t>CLASE</t>
        </is>
      </c>
      <c r="J18" t="inlineStr">
        <is>
          <t>0801</t>
        </is>
      </c>
      <c r="K18" t="inlineStr">
        <is>
          <t>CSI</t>
        </is>
      </c>
      <c r="L18" t="inlineStr"/>
      <c r="M18" t="inlineStr"/>
      <c r="N18" t="inlineStr"/>
      <c r="O18" t="inlineStr">
        <is>
          <t>Sociales / Inglés (alternan cada semana)</t>
        </is>
      </c>
      <c r="P18" t="inlineStr">
        <is>
          <t>0801-CSI</t>
        </is>
      </c>
      <c r="Q18">
        <f>IF(I18="ENFASIS","ÉNFASIS "&amp;M18,IFERROR(VLOOKUP(J18,Grupos!$A$2:$D$100,4,FALSE),J18))</f>
        <v/>
      </c>
      <c r="R18">
        <f>O18&amp;IF(N18&lt;&gt;"",IF(O18&lt;&gt;""," · ","")&amp;"Con: "&amp;N18,"")</f>
        <v/>
      </c>
      <c r="S18">
        <f>C18&amp;"|"&amp;D18</f>
        <v/>
      </c>
      <c r="T18">
        <f>COUNTIF($S$2:S18,S18)</f>
        <v/>
      </c>
      <c r="U18">
        <f>S18&amp;"|"&amp;T18</f>
        <v/>
      </c>
      <c r="V18">
        <f>IFERROR(VLOOKUP(IF(I18="ENFASIS",LEFT(M18,FIND("+",M18&amp;"+")-1),J18),Direccion_Grupo!$A$2:$G$100,7,FALSE),"")</f>
        <v/>
      </c>
    </row>
    <row r="19">
      <c r="A19" t="n">
        <v>15</v>
      </c>
      <c r="B19" t="inlineStr">
        <is>
          <t>Cuero Bamba Berte Levi</t>
        </is>
      </c>
      <c r="C19" t="inlineStr">
        <is>
          <t>LUNES</t>
        </is>
      </c>
      <c r="D19" t="n">
        <v>1</v>
      </c>
      <c r="E19" t="n">
        <v>1</v>
      </c>
      <c r="F19" t="n">
        <v>1</v>
      </c>
      <c r="G19" t="inlineStr">
        <is>
          <t>06:30</t>
        </is>
      </c>
      <c r="H19" t="inlineStr">
        <is>
          <t>07:15</t>
        </is>
      </c>
      <c r="I19" t="inlineStr">
        <is>
          <t>CLASE</t>
        </is>
      </c>
      <c r="J19" t="inlineStr">
        <is>
          <t>0802</t>
        </is>
      </c>
      <c r="K19" t="inlineStr">
        <is>
          <t>ERD</t>
        </is>
      </c>
      <c r="L19" t="inlineStr"/>
      <c r="M19" t="inlineStr"/>
      <c r="N19" t="inlineStr"/>
      <c r="O19" t="inlineStr"/>
      <c r="P19" t="inlineStr">
        <is>
          <t>0802-ERD</t>
        </is>
      </c>
      <c r="Q19">
        <f>IF(I19="ENFASIS","ÉNFASIS "&amp;M19,IFERROR(VLOOKUP(J19,Grupos!$A$2:$D$100,4,FALSE),J19))</f>
        <v/>
      </c>
      <c r="R19">
        <f>O19&amp;IF(N19&lt;&gt;"",IF(O19&lt;&gt;""," · ","")&amp;"Con: "&amp;N19,"")</f>
        <v/>
      </c>
      <c r="S19">
        <f>C19&amp;"|"&amp;D19</f>
        <v/>
      </c>
      <c r="T19">
        <f>COUNTIF($S$2:S19,S19)</f>
        <v/>
      </c>
      <c r="U19">
        <f>S19&amp;"|"&amp;T19</f>
        <v/>
      </c>
      <c r="V19">
        <f>IFERROR(VLOOKUP(IF(I19="ENFASIS",LEFT(M19,FIND("+",M19&amp;"+")-1),J19),Direccion_Grupo!$A$2:$G$100,7,FALSE),"")</f>
        <v/>
      </c>
    </row>
    <row r="20">
      <c r="A20" t="n">
        <v>6</v>
      </c>
      <c r="B20" t="inlineStr">
        <is>
          <t>Betancourth Ocampo Yohana Patricia</t>
        </is>
      </c>
      <c r="C20" t="inlineStr">
        <is>
          <t>LUNES</t>
        </is>
      </c>
      <c r="D20" t="n">
        <v>1</v>
      </c>
      <c r="E20" t="n">
        <v>1</v>
      </c>
      <c r="F20" t="n">
        <v>1</v>
      </c>
      <c r="G20" t="inlineStr">
        <is>
          <t>06:30</t>
        </is>
      </c>
      <c r="H20" t="inlineStr">
        <is>
          <t>07:15</t>
        </is>
      </c>
      <c r="I20" t="inlineStr">
        <is>
          <t>CLASE</t>
        </is>
      </c>
      <c r="J20" t="inlineStr">
        <is>
          <t>0901</t>
        </is>
      </c>
      <c r="K20" t="inlineStr">
        <is>
          <t>CSI</t>
        </is>
      </c>
      <c r="L20" t="inlineStr"/>
      <c r="M20" t="inlineStr"/>
      <c r="N20" t="inlineStr"/>
      <c r="O20" t="inlineStr">
        <is>
          <t>Sociales / Inglés (alternan cada semana)</t>
        </is>
      </c>
      <c r="P20" t="inlineStr">
        <is>
          <t>0901-CSI</t>
        </is>
      </c>
      <c r="Q20">
        <f>IF(I20="ENFASIS","ÉNFASIS "&amp;M20,IFERROR(VLOOKUP(J20,Grupos!$A$2:$D$100,4,FALSE),J20))</f>
        <v/>
      </c>
      <c r="R20">
        <f>O20&amp;IF(N20&lt;&gt;"",IF(O20&lt;&gt;""," · ","")&amp;"Con: "&amp;N20,"")</f>
        <v/>
      </c>
      <c r="S20">
        <f>C20&amp;"|"&amp;D20</f>
        <v/>
      </c>
      <c r="T20">
        <f>COUNTIF($S$2:S20,S20)</f>
        <v/>
      </c>
      <c r="U20">
        <f>S20&amp;"|"&amp;T20</f>
        <v/>
      </c>
      <c r="V20">
        <f>IFERROR(VLOOKUP(IF(I20="ENFASIS",LEFT(M20,FIND("+",M20&amp;"+")-1),J20),Direccion_Grupo!$A$2:$G$100,7,FALSE),"")</f>
        <v/>
      </c>
    </row>
    <row r="21">
      <c r="A21" t="n">
        <v>49</v>
      </c>
      <c r="B21" t="inlineStr">
        <is>
          <t>Valencia Marínez Saidy Eufemia</t>
        </is>
      </c>
      <c r="C21" t="inlineStr">
        <is>
          <t>LUNES</t>
        </is>
      </c>
      <c r="D21" t="n">
        <v>1</v>
      </c>
      <c r="E21" t="n">
        <v>1</v>
      </c>
      <c r="F21" t="n">
        <v>1</v>
      </c>
      <c r="G21" t="inlineStr">
        <is>
          <t>06:30</t>
        </is>
      </c>
      <c r="H21" t="inlineStr">
        <is>
          <t>07:15</t>
        </is>
      </c>
      <c r="I21" t="inlineStr">
        <is>
          <t>CLASE</t>
        </is>
      </c>
      <c r="J21" t="inlineStr">
        <is>
          <t>0902</t>
        </is>
      </c>
      <c r="K21" t="inlineStr">
        <is>
          <t>ART</t>
        </is>
      </c>
      <c r="L21" t="inlineStr"/>
      <c r="M21" t="inlineStr"/>
      <c r="N21" t="inlineStr"/>
      <c r="O21" t="inlineStr"/>
      <c r="P21" t="inlineStr">
        <is>
          <t>0902-ART</t>
        </is>
      </c>
      <c r="Q21">
        <f>IF(I21="ENFASIS","ÉNFASIS "&amp;M21,IFERROR(VLOOKUP(J21,Grupos!$A$2:$D$100,4,FALSE),J21))</f>
        <v/>
      </c>
      <c r="R21">
        <f>O21&amp;IF(N21&lt;&gt;"",IF(O21&lt;&gt;""," · ","")&amp;"Con: "&amp;N21,"")</f>
        <v/>
      </c>
      <c r="S21">
        <f>C21&amp;"|"&amp;D21</f>
        <v/>
      </c>
      <c r="T21">
        <f>COUNTIF($S$2:S21,S21)</f>
        <v/>
      </c>
      <c r="U21">
        <f>S21&amp;"|"&amp;T21</f>
        <v/>
      </c>
      <c r="V21">
        <f>IFERROR(VLOOKUP(IF(I21="ENFASIS",LEFT(M21,FIND("+",M21&amp;"+")-1),J21),Direccion_Grupo!$A$2:$G$100,7,FALSE),"")</f>
        <v/>
      </c>
    </row>
    <row r="22">
      <c r="A22" t="n">
        <v>31</v>
      </c>
      <c r="B22" t="inlineStr">
        <is>
          <t>Montaño Arizala Leidis Claudina</t>
        </is>
      </c>
      <c r="C22" t="inlineStr">
        <is>
          <t>LUNES</t>
        </is>
      </c>
      <c r="D22" t="n">
        <v>1</v>
      </c>
      <c r="E22" t="n">
        <v>1</v>
      </c>
      <c r="F22" t="n">
        <v>1</v>
      </c>
      <c r="G22" t="inlineStr">
        <is>
          <t>06:30</t>
        </is>
      </c>
      <c r="H22" t="inlineStr">
        <is>
          <t>07:15</t>
        </is>
      </c>
      <c r="I22" t="inlineStr">
        <is>
          <t>CLASE</t>
        </is>
      </c>
      <c r="J22" t="inlineStr">
        <is>
          <t>1002</t>
        </is>
      </c>
      <c r="K22" t="inlineStr">
        <is>
          <t>ETR</t>
        </is>
      </c>
      <c r="L22" t="inlineStr"/>
      <c r="M22" t="inlineStr"/>
      <c r="N22" t="inlineStr"/>
      <c r="O22" t="inlineStr">
        <is>
          <t>Ética / Religión (alternan cada semana)</t>
        </is>
      </c>
      <c r="P22" t="inlineStr">
        <is>
          <t>1002-ETR</t>
        </is>
      </c>
      <c r="Q22">
        <f>IF(I22="ENFASIS","ÉNFASIS "&amp;M22,IFERROR(VLOOKUP(J22,Grupos!$A$2:$D$100,4,FALSE),J22))</f>
        <v/>
      </c>
      <c r="R22">
        <f>O22&amp;IF(N22&lt;&gt;"",IF(O22&lt;&gt;""," · ","")&amp;"Con: "&amp;N22,"")</f>
        <v/>
      </c>
      <c r="S22">
        <f>C22&amp;"|"&amp;D22</f>
        <v/>
      </c>
      <c r="T22">
        <f>COUNTIF($S$2:S22,S22)</f>
        <v/>
      </c>
      <c r="U22">
        <f>S22&amp;"|"&amp;T22</f>
        <v/>
      </c>
      <c r="V22">
        <f>IFERROR(VLOOKUP(IF(I22="ENFASIS",LEFT(M22,FIND("+",M22&amp;"+")-1),J22),Direccion_Grupo!$A$2:$G$100,7,FALSE),"")</f>
        <v/>
      </c>
    </row>
    <row r="23">
      <c r="A23" t="n">
        <v>2</v>
      </c>
      <c r="B23" t="inlineStr">
        <is>
          <t>Angulo Lucero Andrés Mauricio</t>
        </is>
      </c>
      <c r="C23" t="inlineStr">
        <is>
          <t>LUNES</t>
        </is>
      </c>
      <c r="D23" t="n">
        <v>1</v>
      </c>
      <c r="E23" t="n">
        <v>1</v>
      </c>
      <c r="F23" t="n">
        <v>1</v>
      </c>
      <c r="G23" t="inlineStr">
        <is>
          <t>06:30</t>
        </is>
      </c>
      <c r="H23" t="inlineStr">
        <is>
          <t>07:15</t>
        </is>
      </c>
      <c r="I23" t="inlineStr">
        <is>
          <t>CLASE</t>
        </is>
      </c>
      <c r="J23" t="inlineStr">
        <is>
          <t>1101</t>
        </is>
      </c>
      <c r="K23" t="inlineStr">
        <is>
          <t>TEI</t>
        </is>
      </c>
      <c r="L23" t="inlineStr"/>
      <c r="M23" t="inlineStr"/>
      <c r="N23" t="inlineStr"/>
      <c r="O23" t="inlineStr"/>
      <c r="P23" t="inlineStr">
        <is>
          <t>1101-TEI</t>
        </is>
      </c>
      <c r="Q23">
        <f>IF(I23="ENFASIS","ÉNFASIS "&amp;M23,IFERROR(VLOOKUP(J23,Grupos!$A$2:$D$100,4,FALSE),J23))</f>
        <v/>
      </c>
      <c r="R23">
        <f>O23&amp;IF(N23&lt;&gt;"",IF(O23&lt;&gt;""," · ","")&amp;"Con: "&amp;N23,"")</f>
        <v/>
      </c>
      <c r="S23">
        <f>C23&amp;"|"&amp;D23</f>
        <v/>
      </c>
      <c r="T23">
        <f>COUNTIF($S$2:S23,S23)</f>
        <v/>
      </c>
      <c r="U23">
        <f>S23&amp;"|"&amp;T23</f>
        <v/>
      </c>
      <c r="V23">
        <f>IFERROR(VLOOKUP(IF(I23="ENFASIS",LEFT(M23,FIND("+",M23&amp;"+")-1),J23),Direccion_Grupo!$A$2:$G$100,7,FALSE),"")</f>
        <v/>
      </c>
    </row>
    <row r="24">
      <c r="A24" t="n">
        <v>40</v>
      </c>
      <c r="B24" t="inlineStr">
        <is>
          <t>Pulgarín Ortiz César Marino</t>
        </is>
      </c>
      <c r="C24" t="inlineStr">
        <is>
          <t>LUNES</t>
        </is>
      </c>
      <c r="D24" t="n">
        <v>1</v>
      </c>
      <c r="E24" t="n">
        <v>1</v>
      </c>
      <c r="F24" t="n">
        <v>1</v>
      </c>
      <c r="G24" t="inlineStr">
        <is>
          <t>06:30</t>
        </is>
      </c>
      <c r="H24" t="inlineStr">
        <is>
          <t>07:15</t>
        </is>
      </c>
      <c r="I24" t="inlineStr">
        <is>
          <t>CLASE</t>
        </is>
      </c>
      <c r="J24" t="inlineStr">
        <is>
          <t>1102</t>
        </is>
      </c>
      <c r="K24" t="inlineStr">
        <is>
          <t>CSI</t>
        </is>
      </c>
      <c r="L24" t="inlineStr"/>
      <c r="M24" t="inlineStr"/>
      <c r="N24" t="inlineStr"/>
      <c r="O24" t="inlineStr">
        <is>
          <t>Sociales / Inglés (alternan cada semana)</t>
        </is>
      </c>
      <c r="P24" t="inlineStr">
        <is>
          <t>1102-CSI</t>
        </is>
      </c>
      <c r="Q24">
        <f>IF(I24="ENFASIS","ÉNFASIS "&amp;M24,IFERROR(VLOOKUP(J24,Grupos!$A$2:$D$100,4,FALSE),J24))</f>
        <v/>
      </c>
      <c r="R24">
        <f>O24&amp;IF(N24&lt;&gt;"",IF(O24&lt;&gt;""," · ","")&amp;"Con: "&amp;N24,"")</f>
        <v/>
      </c>
      <c r="S24">
        <f>C24&amp;"|"&amp;D24</f>
        <v/>
      </c>
      <c r="T24">
        <f>COUNTIF($S$2:S24,S24)</f>
        <v/>
      </c>
      <c r="U24">
        <f>S24&amp;"|"&amp;T24</f>
        <v/>
      </c>
      <c r="V24">
        <f>IFERROR(VLOOKUP(IF(I24="ENFASIS",LEFT(M24,FIND("+",M24&amp;"+")-1),J24),Direccion_Grupo!$A$2:$G$100,7,FALSE),"")</f>
        <v/>
      </c>
    </row>
    <row r="25">
      <c r="A25" t="n">
        <v>16</v>
      </c>
      <c r="B25" t="inlineStr">
        <is>
          <t>Cuero Rincón Hernando Jesús</t>
        </is>
      </c>
      <c r="C25" t="inlineStr">
        <is>
          <t>LUNES</t>
        </is>
      </c>
      <c r="D25" t="n">
        <v>1</v>
      </c>
      <c r="E25" t="n">
        <v>1</v>
      </c>
      <c r="F25" t="n">
        <v>1</v>
      </c>
      <c r="G25" t="inlineStr">
        <is>
          <t>06:30</t>
        </is>
      </c>
      <c r="H25" t="inlineStr">
        <is>
          <t>07:15</t>
        </is>
      </c>
      <c r="I25" t="inlineStr">
        <is>
          <t>CLASE</t>
        </is>
      </c>
      <c r="J25" t="inlineStr">
        <is>
          <t>CS101</t>
        </is>
      </c>
      <c r="K25" t="inlineStr">
        <is>
          <t>CAS</t>
        </is>
      </c>
      <c r="L25" t="inlineStr"/>
      <c r="M25" t="inlineStr"/>
      <c r="N25" t="inlineStr"/>
      <c r="O25" t="inlineStr"/>
      <c r="P25" t="inlineStr">
        <is>
          <t>CS101-CAS</t>
        </is>
      </c>
      <c r="Q25">
        <f>IF(I25="ENFASIS","ÉNFASIS "&amp;M25,IFERROR(VLOOKUP(J25,Grupos!$A$2:$D$100,4,FALSE),J25))</f>
        <v/>
      </c>
      <c r="R25">
        <f>O25&amp;IF(N25&lt;&gt;"",IF(O25&lt;&gt;""," · ","")&amp;"Con: "&amp;N25,"")</f>
        <v/>
      </c>
      <c r="S25">
        <f>C25&amp;"|"&amp;D25</f>
        <v/>
      </c>
      <c r="T25">
        <f>COUNTIF($S$2:S25,S25)</f>
        <v/>
      </c>
      <c r="U25">
        <f>S25&amp;"|"&amp;T25</f>
        <v/>
      </c>
      <c r="V25">
        <f>IFERROR(VLOOKUP(IF(I25="ENFASIS",LEFT(M25,FIND("+",M25&amp;"+")-1),J25),Direccion_Grupo!$A$2:$G$100,7,FALSE),"")</f>
        <v/>
      </c>
    </row>
    <row r="26">
      <c r="A26" t="n">
        <v>42</v>
      </c>
      <c r="B26" t="inlineStr">
        <is>
          <t>Quiñones Cabezas Marcos Vidal</t>
        </is>
      </c>
      <c r="C26" t="inlineStr">
        <is>
          <t>LUNES</t>
        </is>
      </c>
      <c r="D26" t="n">
        <v>1</v>
      </c>
      <c r="E26" t="n">
        <v>1</v>
      </c>
      <c r="F26" t="n">
        <v>1</v>
      </c>
      <c r="G26" t="inlineStr">
        <is>
          <t>06:30</t>
        </is>
      </c>
      <c r="H26" t="inlineStr">
        <is>
          <t>07:15</t>
        </is>
      </c>
      <c r="I26" t="inlineStr">
        <is>
          <t>CLASE</t>
        </is>
      </c>
      <c r="J26" t="inlineStr">
        <is>
          <t>CS102</t>
        </is>
      </c>
      <c r="K26" t="inlineStr">
        <is>
          <t>TEI</t>
        </is>
      </c>
      <c r="L26" t="inlineStr"/>
      <c r="M26" t="inlineStr"/>
      <c r="N26" t="inlineStr"/>
      <c r="O26" t="inlineStr"/>
      <c r="P26" t="inlineStr">
        <is>
          <t>CS102-TEI</t>
        </is>
      </c>
      <c r="Q26">
        <f>IF(I26="ENFASIS","ÉNFASIS "&amp;M26,IFERROR(VLOOKUP(J26,Grupos!$A$2:$D$100,4,FALSE),J26))</f>
        <v/>
      </c>
      <c r="R26">
        <f>O26&amp;IF(N26&lt;&gt;"",IF(O26&lt;&gt;""," · ","")&amp;"Con: "&amp;N26,"")</f>
        <v/>
      </c>
      <c r="S26">
        <f>C26&amp;"|"&amp;D26</f>
        <v/>
      </c>
      <c r="T26">
        <f>COUNTIF($S$2:S26,S26)</f>
        <v/>
      </c>
      <c r="U26">
        <f>S26&amp;"|"&amp;T26</f>
        <v/>
      </c>
      <c r="V26">
        <f>IFERROR(VLOOKUP(IF(I26="ENFASIS",LEFT(M26,FIND("+",M26&amp;"+")-1),J26),Direccion_Grupo!$A$2:$G$100,7,FALSE),"")</f>
        <v/>
      </c>
    </row>
    <row r="27">
      <c r="A27" t="n">
        <v>19</v>
      </c>
      <c r="B27" t="inlineStr">
        <is>
          <t>Fernández Vélez Alfredo Enrique</t>
        </is>
      </c>
      <c r="C27" t="inlineStr">
        <is>
          <t>LUNES</t>
        </is>
      </c>
      <c r="D27" t="n">
        <v>1</v>
      </c>
      <c r="E27" t="n">
        <v>1</v>
      </c>
      <c r="F27" t="n">
        <v>1</v>
      </c>
      <c r="G27" t="inlineStr">
        <is>
          <t>06:30</t>
        </is>
      </c>
      <c r="H27" t="inlineStr">
        <is>
          <t>07:15</t>
        </is>
      </c>
      <c r="I27" t="inlineStr">
        <is>
          <t>CLASE</t>
        </is>
      </c>
      <c r="J27" t="inlineStr">
        <is>
          <t>CS201</t>
        </is>
      </c>
      <c r="K27" t="inlineStr">
        <is>
          <t>TEI</t>
        </is>
      </c>
      <c r="L27" t="inlineStr"/>
      <c r="M27" t="inlineStr"/>
      <c r="N27" t="inlineStr"/>
      <c r="O27" t="inlineStr"/>
      <c r="P27" t="inlineStr">
        <is>
          <t>CS201-TEI</t>
        </is>
      </c>
      <c r="Q27">
        <f>IF(I27="ENFASIS","ÉNFASIS "&amp;M27,IFERROR(VLOOKUP(J27,Grupos!$A$2:$D$100,4,FALSE),J27))</f>
        <v/>
      </c>
      <c r="R27">
        <f>O27&amp;IF(N27&lt;&gt;"",IF(O27&lt;&gt;""," · ","")&amp;"Con: "&amp;N27,"")</f>
        <v/>
      </c>
      <c r="S27">
        <f>C27&amp;"|"&amp;D27</f>
        <v/>
      </c>
      <c r="T27">
        <f>COUNTIF($S$2:S27,S27)</f>
        <v/>
      </c>
      <c r="U27">
        <f>S27&amp;"|"&amp;T27</f>
        <v/>
      </c>
      <c r="V27">
        <f>IFERROR(VLOOKUP(IF(I27="ENFASIS",LEFT(M27,FIND("+",M27&amp;"+")-1),J27),Direccion_Grupo!$A$2:$G$100,7,FALSE),"")</f>
        <v/>
      </c>
    </row>
    <row r="28">
      <c r="A28" t="n">
        <v>12</v>
      </c>
      <c r="B28" t="inlineStr">
        <is>
          <t>Chillambo Quiñones María Rocío</t>
        </is>
      </c>
      <c r="C28" t="inlineStr">
        <is>
          <t>LUNES</t>
        </is>
      </c>
      <c r="D28" t="n">
        <v>1</v>
      </c>
      <c r="E28" t="n">
        <v>1</v>
      </c>
      <c r="F28" t="n">
        <v>1</v>
      </c>
      <c r="G28" t="inlineStr">
        <is>
          <t>06:30</t>
        </is>
      </c>
      <c r="H28" t="inlineStr">
        <is>
          <t>07:15</t>
        </is>
      </c>
      <c r="I28" t="inlineStr">
        <is>
          <t>CLASE</t>
        </is>
      </c>
      <c r="J28" t="inlineStr">
        <is>
          <t>CS202</t>
        </is>
      </c>
      <c r="K28" t="inlineStr">
        <is>
          <t>CNA</t>
        </is>
      </c>
      <c r="L28" t="inlineStr"/>
      <c r="M28" t="inlineStr"/>
      <c r="N28" t="inlineStr"/>
      <c r="O28" t="inlineStr"/>
      <c r="P28" t="inlineStr">
        <is>
          <t>CS202-CNA</t>
        </is>
      </c>
      <c r="Q28">
        <f>IF(I28="ENFASIS","ÉNFASIS "&amp;M28,IFERROR(VLOOKUP(J28,Grupos!$A$2:$D$100,4,FALSE),J28))</f>
        <v/>
      </c>
      <c r="R28">
        <f>O28&amp;IF(N28&lt;&gt;"",IF(O28&lt;&gt;""," · ","")&amp;"Con: "&amp;N28,"")</f>
        <v/>
      </c>
      <c r="S28">
        <f>C28&amp;"|"&amp;D28</f>
        <v/>
      </c>
      <c r="T28">
        <f>COUNTIF($S$2:S28,S28)</f>
        <v/>
      </c>
      <c r="U28">
        <f>S28&amp;"|"&amp;T28</f>
        <v/>
      </c>
      <c r="V28">
        <f>IFERROR(VLOOKUP(IF(I28="ENFASIS",LEFT(M28,FIND("+",M28&amp;"+")-1),J28),Direccion_Grupo!$A$2:$G$100,7,FALSE),"")</f>
        <v/>
      </c>
    </row>
    <row r="29">
      <c r="A29" t="n">
        <v>56</v>
      </c>
      <c r="B29" t="inlineStr">
        <is>
          <t>Ortiz Estacio Martha Cecilia</t>
        </is>
      </c>
      <c r="C29" t="inlineStr">
        <is>
          <t>LUNES</t>
        </is>
      </c>
      <c r="D29" t="n">
        <v>1</v>
      </c>
      <c r="E29" t="n">
        <v>1</v>
      </c>
      <c r="F29" t="n">
        <v>1</v>
      </c>
      <c r="G29" t="inlineStr">
        <is>
          <t>06:30</t>
        </is>
      </c>
      <c r="H29" t="inlineStr">
        <is>
          <t>07:15</t>
        </is>
      </c>
      <c r="I29" t="inlineStr">
        <is>
          <t>TUTORIA</t>
        </is>
      </c>
      <c r="J29" t="inlineStr">
        <is>
          <t>PTAFI</t>
        </is>
      </c>
      <c r="K29" t="inlineStr">
        <is>
          <t>TUTORÍA PTAFI</t>
        </is>
      </c>
      <c r="L29" t="inlineStr"/>
      <c r="M29" t="inlineStr"/>
      <c r="N29" t="inlineStr"/>
      <c r="O29" t="inlineStr">
        <is>
          <t>Jornada 06:30 a 12:00</t>
        </is>
      </c>
      <c r="P29" t="inlineStr"/>
      <c r="Q29">
        <f>IF(I29="ENFASIS","ÉNFASIS "&amp;M29,IFERROR(VLOOKUP(J29,Grupos!$A$2:$D$100,4,FALSE),J29))</f>
        <v/>
      </c>
      <c r="R29">
        <f>O29&amp;IF(N29&lt;&gt;"",IF(O29&lt;&gt;""," · ","")&amp;"Con: "&amp;N29,"")</f>
        <v/>
      </c>
      <c r="S29">
        <f>C29&amp;"|"&amp;D29</f>
        <v/>
      </c>
      <c r="T29">
        <f>COUNTIF($S$2:S29,S29)</f>
        <v/>
      </c>
      <c r="U29">
        <f>S29&amp;"|"&amp;T29</f>
        <v/>
      </c>
      <c r="V29">
        <f>IFERROR(VLOOKUP(IF(I29="ENFASIS",LEFT(M29,FIND("+",M29&amp;"+")-1),J29),Direccion_Grupo!$A$2:$G$100,7,FALSE),"")</f>
        <v/>
      </c>
    </row>
    <row r="30">
      <c r="A30" t="n">
        <v>44</v>
      </c>
      <c r="B30" t="inlineStr">
        <is>
          <t>Samaniego Angulo Flor Mireya</t>
        </is>
      </c>
      <c r="C30" t="inlineStr">
        <is>
          <t>LUNES</t>
        </is>
      </c>
      <c r="D30" t="n">
        <v>1</v>
      </c>
      <c r="E30" t="n">
        <v>1</v>
      </c>
      <c r="F30" t="n">
        <v>1</v>
      </c>
      <c r="G30" t="inlineStr">
        <is>
          <t>06:30</t>
        </is>
      </c>
      <c r="H30" t="inlineStr">
        <is>
          <t>07:15</t>
        </is>
      </c>
      <c r="I30" t="inlineStr">
        <is>
          <t>ENFASIS</t>
        </is>
      </c>
      <c r="J30" t="inlineStr"/>
      <c r="K30" t="inlineStr">
        <is>
          <t>ART</t>
        </is>
      </c>
      <c r="L30" t="inlineStr">
        <is>
          <t>0701</t>
        </is>
      </c>
      <c r="M30" t="inlineStr">
        <is>
          <t>0701</t>
        </is>
      </c>
      <c r="N30" t="inlineStr">
        <is>
          <t>Valverde Montaño María Teresa (CAS)</t>
        </is>
      </c>
      <c r="O30" t="inlineStr">
        <is>
          <t>PAREJA: comparten el énfasis y alternan por semana</t>
        </is>
      </c>
      <c r="P30" t="inlineStr">
        <is>
          <t>ENFASIS-0701</t>
        </is>
      </c>
      <c r="Q30">
        <f>IF(I30="ENFASIS","ÉNFASIS "&amp;M30,IFERROR(VLOOKUP(J30,Grupos!$A$2:$D$100,4,FALSE),J30))</f>
        <v/>
      </c>
      <c r="R30">
        <f>O30&amp;IF(N30&lt;&gt;"",IF(O30&lt;&gt;""," · ","")&amp;"Con: "&amp;N30,"")</f>
        <v/>
      </c>
      <c r="S30">
        <f>C30&amp;"|"&amp;D30</f>
        <v/>
      </c>
      <c r="T30">
        <f>COUNTIF($S$2:S30,S30)</f>
        <v/>
      </c>
      <c r="U30">
        <f>S30&amp;"|"&amp;T30</f>
        <v/>
      </c>
      <c r="V30">
        <f>IFERROR(VLOOKUP(IF(I30="ENFASIS",LEFT(M30,FIND("+",M30&amp;"+")-1),J30),Direccion_Grupo!$A$2:$G$100,7,FALSE),"")</f>
        <v/>
      </c>
    </row>
    <row r="31">
      <c r="A31" t="n">
        <v>51</v>
      </c>
      <c r="B31" t="inlineStr">
        <is>
          <t>Valverde Montaño María Teresa</t>
        </is>
      </c>
      <c r="C31" t="inlineStr">
        <is>
          <t>LUNES</t>
        </is>
      </c>
      <c r="D31" t="n">
        <v>1</v>
      </c>
      <c r="E31" t="n">
        <v>1</v>
      </c>
      <c r="F31" t="n">
        <v>1</v>
      </c>
      <c r="G31" t="inlineStr">
        <is>
          <t>06:30</t>
        </is>
      </c>
      <c r="H31" t="inlineStr">
        <is>
          <t>07:15</t>
        </is>
      </c>
      <c r="I31" t="inlineStr">
        <is>
          <t>ENFASIS</t>
        </is>
      </c>
      <c r="J31" t="inlineStr"/>
      <c r="K31" t="inlineStr">
        <is>
          <t>CAS</t>
        </is>
      </c>
      <c r="L31" t="inlineStr">
        <is>
          <t>0701</t>
        </is>
      </c>
      <c r="M31" t="inlineStr">
        <is>
          <t>0701</t>
        </is>
      </c>
      <c r="N31" t="inlineStr">
        <is>
          <t>Samaniego Angulo Flor Mireya (ART)</t>
        </is>
      </c>
      <c r="O31" t="inlineStr">
        <is>
          <t>PAREJA: comparten el énfasis y alternan por semana</t>
        </is>
      </c>
      <c r="P31" t="inlineStr">
        <is>
          <t>ENFASIS-0701</t>
        </is>
      </c>
      <c r="Q31">
        <f>IF(I31="ENFASIS","ÉNFASIS "&amp;M31,IFERROR(VLOOKUP(J31,Grupos!$A$2:$D$100,4,FALSE),J31))</f>
        <v/>
      </c>
      <c r="R31">
        <f>O31&amp;IF(N31&lt;&gt;"",IF(O31&lt;&gt;""," · ","")&amp;"Con: "&amp;N31,"")</f>
        <v/>
      </c>
      <c r="S31">
        <f>C31&amp;"|"&amp;D31</f>
        <v/>
      </c>
      <c r="T31">
        <f>COUNTIF($S$2:S31,S31)</f>
        <v/>
      </c>
      <c r="U31">
        <f>S31&amp;"|"&amp;T31</f>
        <v/>
      </c>
      <c r="V31">
        <f>IFERROR(VLOOKUP(IF(I31="ENFASIS",LEFT(M31,FIND("+",M31&amp;"+")-1),J31),Direccion_Grupo!$A$2:$G$100,7,FALSE),"")</f>
        <v/>
      </c>
    </row>
    <row r="32">
      <c r="A32" t="n">
        <v>34</v>
      </c>
      <c r="B32" t="inlineStr">
        <is>
          <t>Ordóñez Tenorio Jaime Marcial</t>
        </is>
      </c>
      <c r="C32" t="inlineStr">
        <is>
          <t>LUNES</t>
        </is>
      </c>
      <c r="D32" t="n">
        <v>1</v>
      </c>
      <c r="E32" t="n">
        <v>1</v>
      </c>
      <c r="F32" t="n">
        <v>1</v>
      </c>
      <c r="G32" t="inlineStr">
        <is>
          <t>06:30</t>
        </is>
      </c>
      <c r="H32" t="inlineStr">
        <is>
          <t>07:15</t>
        </is>
      </c>
      <c r="I32" t="inlineStr">
        <is>
          <t>ENFASIS</t>
        </is>
      </c>
      <c r="J32" t="inlineStr"/>
      <c r="K32" t="inlineStr">
        <is>
          <t>CNA</t>
        </is>
      </c>
      <c r="L32" t="inlineStr">
        <is>
          <t>0702</t>
        </is>
      </c>
      <c r="M32" t="inlineStr">
        <is>
          <t>0702</t>
        </is>
      </c>
      <c r="N32" t="inlineStr">
        <is>
          <t>Armero Dájome Jesús (ERD)</t>
        </is>
      </c>
      <c r="O32" t="inlineStr">
        <is>
          <t>PAREJA: comparten el énfasis y alternan por semana</t>
        </is>
      </c>
      <c r="P32" t="inlineStr">
        <is>
          <t>ENFASIS-0702</t>
        </is>
      </c>
      <c r="Q32">
        <f>IF(I32="ENFASIS","ÉNFASIS "&amp;M32,IFERROR(VLOOKUP(J32,Grupos!$A$2:$D$100,4,FALSE),J32))</f>
        <v/>
      </c>
      <c r="R32">
        <f>O32&amp;IF(N32&lt;&gt;"",IF(O32&lt;&gt;""," · ","")&amp;"Con: "&amp;N32,"")</f>
        <v/>
      </c>
      <c r="S32">
        <f>C32&amp;"|"&amp;D32</f>
        <v/>
      </c>
      <c r="T32">
        <f>COUNTIF($S$2:S32,S32)</f>
        <v/>
      </c>
      <c r="U32">
        <f>S32&amp;"|"&amp;T32</f>
        <v/>
      </c>
      <c r="V32">
        <f>IFERROR(VLOOKUP(IF(I32="ENFASIS",LEFT(M32,FIND("+",M32&amp;"+")-1),J32),Direccion_Grupo!$A$2:$G$100,7,FALSE),"")</f>
        <v/>
      </c>
    </row>
    <row r="33">
      <c r="A33" t="n">
        <v>4</v>
      </c>
      <c r="B33" t="inlineStr">
        <is>
          <t>Arizala Castro Roberto Carlos</t>
        </is>
      </c>
      <c r="C33" t="inlineStr">
        <is>
          <t>LUNES</t>
        </is>
      </c>
      <c r="D33" t="n">
        <v>1</v>
      </c>
      <c r="E33" t="n">
        <v>1</v>
      </c>
      <c r="F33" t="n">
        <v>1</v>
      </c>
      <c r="G33" t="inlineStr">
        <is>
          <t>06:30</t>
        </is>
      </c>
      <c r="H33" t="inlineStr">
        <is>
          <t>07:15</t>
        </is>
      </c>
      <c r="I33" t="inlineStr">
        <is>
          <t>ENFASIS</t>
        </is>
      </c>
      <c r="J33" t="inlineStr"/>
      <c r="K33" t="inlineStr">
        <is>
          <t>ERD</t>
        </is>
      </c>
      <c r="L33" t="inlineStr">
        <is>
          <t>0702</t>
        </is>
      </c>
      <c r="M33" t="inlineStr">
        <is>
          <t>0702</t>
        </is>
      </c>
      <c r="N33" t="inlineStr">
        <is>
          <t>Ordóñez Tenorio Jaime Marcial (CNA)</t>
        </is>
      </c>
      <c r="O33" t="inlineStr">
        <is>
          <t>PAREJA: comparten el énfasis y alternan por semana</t>
        </is>
      </c>
      <c r="P33" t="inlineStr">
        <is>
          <t>ENFASIS-0702</t>
        </is>
      </c>
      <c r="Q33">
        <f>IF(I33="ENFASIS","ÉNFASIS "&amp;M33,IFERROR(VLOOKUP(J33,Grupos!$A$2:$D$100,4,FALSE),J33))</f>
        <v/>
      </c>
      <c r="R33">
        <f>O33&amp;IF(N33&lt;&gt;"",IF(O33&lt;&gt;""," · ","")&amp;"Con: "&amp;N33,"")</f>
        <v/>
      </c>
      <c r="S33">
        <f>C33&amp;"|"&amp;D33</f>
        <v/>
      </c>
      <c r="T33">
        <f>COUNTIF($S$2:S33,S33)</f>
        <v/>
      </c>
      <c r="U33">
        <f>S33&amp;"|"&amp;T33</f>
        <v/>
      </c>
      <c r="V33">
        <f>IFERROR(VLOOKUP(IF(I33="ENFASIS",LEFT(M33,FIND("+",M33&amp;"+")-1),J33),Direccion_Grupo!$A$2:$G$100,7,FALSE),"")</f>
        <v/>
      </c>
    </row>
    <row r="34">
      <c r="A34" t="n">
        <v>8</v>
      </c>
      <c r="B34" t="inlineStr">
        <is>
          <t>Casanova Quiñones Yoli del Carmen</t>
        </is>
      </c>
      <c r="C34" t="inlineStr">
        <is>
          <t>LUNES</t>
        </is>
      </c>
      <c r="D34" t="n">
        <v>1</v>
      </c>
      <c r="E34" t="n">
        <v>1</v>
      </c>
      <c r="F34" t="n">
        <v>1</v>
      </c>
      <c r="G34" t="inlineStr">
        <is>
          <t>06:30</t>
        </is>
      </c>
      <c r="H34" t="inlineStr">
        <is>
          <t>07:15</t>
        </is>
      </c>
      <c r="I34" t="inlineStr">
        <is>
          <t>ENFASIS</t>
        </is>
      </c>
      <c r="J34" t="inlineStr"/>
      <c r="K34" t="inlineStr">
        <is>
          <t>ETR</t>
        </is>
      </c>
      <c r="L34" t="inlineStr">
        <is>
          <t>0703</t>
        </is>
      </c>
      <c r="M34" t="inlineStr">
        <is>
          <t>0703</t>
        </is>
      </c>
      <c r="N34" t="inlineStr">
        <is>
          <t>Quintero Ramírez María del Carmen (CSI)</t>
        </is>
      </c>
      <c r="O34" t="inlineStr">
        <is>
          <t>PAREJA: comparten el énfasis y alternan por semana</t>
        </is>
      </c>
      <c r="P34" t="inlineStr">
        <is>
          <t>ENFASIS-0703</t>
        </is>
      </c>
      <c r="Q34">
        <f>IF(I34="ENFASIS","ÉNFASIS "&amp;M34,IFERROR(VLOOKUP(J34,Grupos!$A$2:$D$100,4,FALSE),J34))</f>
        <v/>
      </c>
      <c r="R34">
        <f>O34&amp;IF(N34&lt;&gt;"",IF(O34&lt;&gt;""," · ","")&amp;"Con: "&amp;N34,"")</f>
        <v/>
      </c>
      <c r="S34">
        <f>C34&amp;"|"&amp;D34</f>
        <v/>
      </c>
      <c r="T34">
        <f>COUNTIF($S$2:S34,S34)</f>
        <v/>
      </c>
      <c r="U34">
        <f>S34&amp;"|"&amp;T34</f>
        <v/>
      </c>
      <c r="V34">
        <f>IFERROR(VLOOKUP(IF(I34="ENFASIS",LEFT(M34,FIND("+",M34&amp;"+")-1),J34),Direccion_Grupo!$A$2:$G$100,7,FALSE),"")</f>
        <v/>
      </c>
    </row>
    <row r="35">
      <c r="A35" t="n">
        <v>41</v>
      </c>
      <c r="B35" t="inlineStr">
        <is>
          <t>Quintero Ramírez María del Carmen</t>
        </is>
      </c>
      <c r="C35" t="inlineStr">
        <is>
          <t>LUNES</t>
        </is>
      </c>
      <c r="D35" t="n">
        <v>1</v>
      </c>
      <c r="E35" t="n">
        <v>1</v>
      </c>
      <c r="F35" t="n">
        <v>1</v>
      </c>
      <c r="G35" t="inlineStr">
        <is>
          <t>06:30</t>
        </is>
      </c>
      <c r="H35" t="inlineStr">
        <is>
          <t>07:15</t>
        </is>
      </c>
      <c r="I35" t="inlineStr">
        <is>
          <t>ENFASIS</t>
        </is>
      </c>
      <c r="J35" t="inlineStr"/>
      <c r="K35" t="inlineStr">
        <is>
          <t>CSI</t>
        </is>
      </c>
      <c r="L35" t="inlineStr">
        <is>
          <t>0703</t>
        </is>
      </c>
      <c r="M35" t="inlineStr">
        <is>
          <t>0703</t>
        </is>
      </c>
      <c r="N35" t="inlineStr">
        <is>
          <t>Casanova Quiñones Yoli del Carmen (ETR)</t>
        </is>
      </c>
      <c r="O35" t="inlineStr">
        <is>
          <t>PAREJA: comparten el énfasis y alternan por semana</t>
        </is>
      </c>
      <c r="P35" t="inlineStr">
        <is>
          <t>ENFASIS-0703</t>
        </is>
      </c>
      <c r="Q35">
        <f>IF(I35="ENFASIS","ÉNFASIS "&amp;M35,IFERROR(VLOOKUP(J35,Grupos!$A$2:$D$100,4,FALSE),J35))</f>
        <v/>
      </c>
      <c r="R35">
        <f>O35&amp;IF(N35&lt;&gt;"",IF(O35&lt;&gt;""," · ","")&amp;"Con: "&amp;N35,"")</f>
        <v/>
      </c>
      <c r="S35">
        <f>C35&amp;"|"&amp;D35</f>
        <v/>
      </c>
      <c r="T35">
        <f>COUNTIF($S$2:S35,S35)</f>
        <v/>
      </c>
      <c r="U35">
        <f>S35&amp;"|"&amp;T35</f>
        <v/>
      </c>
      <c r="V35">
        <f>IFERROR(VLOOKUP(IF(I35="ENFASIS",LEFT(M35,FIND("+",M35&amp;"+")-1),J35),Direccion_Grupo!$A$2:$G$100,7,FALSE),"")</f>
        <v/>
      </c>
    </row>
    <row r="36">
      <c r="A36" t="n">
        <v>3</v>
      </c>
      <c r="B36" t="inlineStr">
        <is>
          <t>Arboleda Ortiz Luz América</t>
        </is>
      </c>
      <c r="C36" t="inlineStr">
        <is>
          <t>LUNES</t>
        </is>
      </c>
      <c r="D36" t="n">
        <v>1</v>
      </c>
      <c r="E36" t="n">
        <v>1</v>
      </c>
      <c r="F36" t="n">
        <v>1</v>
      </c>
      <c r="G36" t="inlineStr">
        <is>
          <t>06:30</t>
        </is>
      </c>
      <c r="H36" t="inlineStr">
        <is>
          <t>07:15</t>
        </is>
      </c>
      <c r="I36" t="inlineStr">
        <is>
          <t>ENFASIS</t>
        </is>
      </c>
      <c r="J36" t="inlineStr"/>
      <c r="K36" t="inlineStr">
        <is>
          <t>ART</t>
        </is>
      </c>
      <c r="L36" t="inlineStr">
        <is>
          <t>D5-10°</t>
        </is>
      </c>
      <c r="M36" t="inlineStr">
        <is>
          <t>1001</t>
        </is>
      </c>
      <c r="N36" t="inlineStr">
        <is>
          <t>Montaño Anchico Favio Héctor (CAS); Ramírez Guerra Jimmy Eduardo (ERD); Villota Rubio Héctor Hugo (CNA)</t>
        </is>
      </c>
      <c r="O36" t="inlineStr">
        <is>
          <t>EQUIPO DE 4: cada docente atiende un grupo de estudiantes en su área</t>
        </is>
      </c>
      <c r="P36" t="inlineStr">
        <is>
          <t>ENFASIS-D5-10°</t>
        </is>
      </c>
      <c r="Q36">
        <f>IF(I36="ENFASIS","ÉNFASIS "&amp;M36,IFERROR(VLOOKUP(J36,Grupos!$A$2:$D$100,4,FALSE),J36))</f>
        <v/>
      </c>
      <c r="R36">
        <f>O36&amp;IF(N36&lt;&gt;"",IF(O36&lt;&gt;""," · ","")&amp;"Con: "&amp;N36,"")</f>
        <v/>
      </c>
      <c r="S36">
        <f>C36&amp;"|"&amp;D36</f>
        <v/>
      </c>
      <c r="T36">
        <f>COUNTIF($S$2:S36,S36)</f>
        <v/>
      </c>
      <c r="U36">
        <f>S36&amp;"|"&amp;T36</f>
        <v/>
      </c>
      <c r="V36">
        <f>IFERROR(VLOOKUP(IF(I36="ENFASIS",LEFT(M36,FIND("+",M36&amp;"+")-1),J36),Direccion_Grupo!$A$2:$G$100,7,FALSE),"")</f>
        <v/>
      </c>
    </row>
    <row r="37">
      <c r="A37" t="n">
        <v>30</v>
      </c>
      <c r="B37" t="inlineStr">
        <is>
          <t>Montaño Anchico Favio Héctor</t>
        </is>
      </c>
      <c r="C37" t="inlineStr">
        <is>
          <t>LUNES</t>
        </is>
      </c>
      <c r="D37" t="n">
        <v>1</v>
      </c>
      <c r="E37" t="n">
        <v>1</v>
      </c>
      <c r="F37" t="n">
        <v>1</v>
      </c>
      <c r="G37" t="inlineStr">
        <is>
          <t>06:30</t>
        </is>
      </c>
      <c r="H37" t="inlineStr">
        <is>
          <t>07:15</t>
        </is>
      </c>
      <c r="I37" t="inlineStr">
        <is>
          <t>ENFASIS</t>
        </is>
      </c>
      <c r="J37" t="inlineStr"/>
      <c r="K37" t="inlineStr">
        <is>
          <t>CAS</t>
        </is>
      </c>
      <c r="L37" t="inlineStr">
        <is>
          <t>D5-10°</t>
        </is>
      </c>
      <c r="M37" t="inlineStr">
        <is>
          <t>1001</t>
        </is>
      </c>
      <c r="N37" t="inlineStr">
        <is>
          <t>Arboleda Ortiz Luz América (ART); Ramírez Guerra Jimmy Eduardo (ERD); Villota Rubio Héctor Hugo (CNA)</t>
        </is>
      </c>
      <c r="O37" t="inlineStr">
        <is>
          <t>EQUIPO DE 4: cada docente atiende un grupo de estudiantes en su área</t>
        </is>
      </c>
      <c r="P37" t="inlineStr">
        <is>
          <t>ENFASIS-D5-10°</t>
        </is>
      </c>
      <c r="Q37">
        <f>IF(I37="ENFASIS","ÉNFASIS "&amp;M37,IFERROR(VLOOKUP(J37,Grupos!$A$2:$D$100,4,FALSE),J37))</f>
        <v/>
      </c>
      <c r="R37">
        <f>O37&amp;IF(N37&lt;&gt;"",IF(O37&lt;&gt;""," · ","")&amp;"Con: "&amp;N37,"")</f>
        <v/>
      </c>
      <c r="S37">
        <f>C37&amp;"|"&amp;D37</f>
        <v/>
      </c>
      <c r="T37">
        <f>COUNTIF($S$2:S37,S37)</f>
        <v/>
      </c>
      <c r="U37">
        <f>S37&amp;"|"&amp;T37</f>
        <v/>
      </c>
      <c r="V37">
        <f>IFERROR(VLOOKUP(IF(I37="ENFASIS",LEFT(M37,FIND("+",M37&amp;"+")-1),J37),Direccion_Grupo!$A$2:$G$100,7,FALSE),"")</f>
        <v/>
      </c>
    </row>
    <row r="38">
      <c r="A38" t="n">
        <v>43</v>
      </c>
      <c r="B38" t="inlineStr">
        <is>
          <t>Ramírez Guerra Jimmy Eduardo</t>
        </is>
      </c>
      <c r="C38" t="inlineStr">
        <is>
          <t>LUNES</t>
        </is>
      </c>
      <c r="D38" t="n">
        <v>1</v>
      </c>
      <c r="E38" t="n">
        <v>1</v>
      </c>
      <c r="F38" t="n">
        <v>1</v>
      </c>
      <c r="G38" t="inlineStr">
        <is>
          <t>06:30</t>
        </is>
      </c>
      <c r="H38" t="inlineStr">
        <is>
          <t>07:15</t>
        </is>
      </c>
      <c r="I38" t="inlineStr">
        <is>
          <t>ENFASIS</t>
        </is>
      </c>
      <c r="J38" t="inlineStr"/>
      <c r="K38" t="inlineStr">
        <is>
          <t>ERD</t>
        </is>
      </c>
      <c r="L38" t="inlineStr">
        <is>
          <t>D5-10°</t>
        </is>
      </c>
      <c r="M38" t="inlineStr">
        <is>
          <t>1001</t>
        </is>
      </c>
      <c r="N38" t="inlineStr">
        <is>
          <t>Arboleda Ortiz Luz América (ART); Montaño Anchico Favio Héctor (CAS); Villota Rubio Héctor Hugo (CNA)</t>
        </is>
      </c>
      <c r="O38" t="inlineStr">
        <is>
          <t>EQUIPO DE 4: cada docente atiende un grupo de estudiantes en su área</t>
        </is>
      </c>
      <c r="P38" t="inlineStr">
        <is>
          <t>ENFASIS-D5-10°</t>
        </is>
      </c>
      <c r="Q38">
        <f>IF(I38="ENFASIS","ÉNFASIS "&amp;M38,IFERROR(VLOOKUP(J38,Grupos!$A$2:$D$100,4,FALSE),J38))</f>
        <v/>
      </c>
      <c r="R38">
        <f>O38&amp;IF(N38&lt;&gt;"",IF(O38&lt;&gt;""," · ","")&amp;"Con: "&amp;N38,"")</f>
        <v/>
      </c>
      <c r="S38">
        <f>C38&amp;"|"&amp;D38</f>
        <v/>
      </c>
      <c r="T38">
        <f>COUNTIF($S$2:S38,S38)</f>
        <v/>
      </c>
      <c r="U38">
        <f>S38&amp;"|"&amp;T38</f>
        <v/>
      </c>
      <c r="V38">
        <f>IFERROR(VLOOKUP(IF(I38="ENFASIS",LEFT(M38,FIND("+",M38&amp;"+")-1),J38),Direccion_Grupo!$A$2:$G$100,7,FALSE),"")</f>
        <v/>
      </c>
    </row>
    <row r="39">
      <c r="A39" t="n">
        <v>53</v>
      </c>
      <c r="B39" t="inlineStr">
        <is>
          <t>Villota Rubio Héctor Hugo</t>
        </is>
      </c>
      <c r="C39" t="inlineStr">
        <is>
          <t>LUNES</t>
        </is>
      </c>
      <c r="D39" t="n">
        <v>1</v>
      </c>
      <c r="E39" t="n">
        <v>1</v>
      </c>
      <c r="F39" t="n">
        <v>1</v>
      </c>
      <c r="G39" t="inlineStr">
        <is>
          <t>06:30</t>
        </is>
      </c>
      <c r="H39" t="inlineStr">
        <is>
          <t>07:15</t>
        </is>
      </c>
      <c r="I39" t="inlineStr">
        <is>
          <t>ENFASIS</t>
        </is>
      </c>
      <c r="J39" t="inlineStr"/>
      <c r="K39" t="inlineStr">
        <is>
          <t>CNA</t>
        </is>
      </c>
      <c r="L39" t="inlineStr">
        <is>
          <t>D5-10°</t>
        </is>
      </c>
      <c r="M39" t="inlineStr">
        <is>
          <t>1001</t>
        </is>
      </c>
      <c r="N39" t="inlineStr">
        <is>
          <t>Arboleda Ortiz Luz América (ART); Montaño Anchico Favio Héctor (CAS); Ramírez Guerra Jimmy Eduardo (ERD)</t>
        </is>
      </c>
      <c r="O39" t="inlineStr">
        <is>
          <t>EQUIPO DE 4: cada docente atiende un grupo de estudiantes en su área</t>
        </is>
      </c>
      <c r="P39" t="inlineStr">
        <is>
          <t>ENFASIS-D5-10°</t>
        </is>
      </c>
      <c r="Q39">
        <f>IF(I39="ENFASIS","ÉNFASIS "&amp;M39,IFERROR(VLOOKUP(J39,Grupos!$A$2:$D$100,4,FALSE),J39))</f>
        <v/>
      </c>
      <c r="R39">
        <f>O39&amp;IF(N39&lt;&gt;"",IF(O39&lt;&gt;""," · ","")&amp;"Con: "&amp;N39,"")</f>
        <v/>
      </c>
      <c r="S39">
        <f>C39&amp;"|"&amp;D39</f>
        <v/>
      </c>
      <c r="T39">
        <f>COUNTIF($S$2:S39,S39)</f>
        <v/>
      </c>
      <c r="U39">
        <f>S39&amp;"|"&amp;T39</f>
        <v/>
      </c>
      <c r="V39">
        <f>IFERROR(VLOOKUP(IF(I39="ENFASIS",LEFT(M39,FIND("+",M39&amp;"+")-1),J39),Direccion_Grupo!$A$2:$G$100,7,FALSE),"")</f>
        <v/>
      </c>
    </row>
    <row r="40">
      <c r="A40" t="n">
        <v>23</v>
      </c>
      <c r="B40" t="inlineStr">
        <is>
          <t>Landázuri Quiñones María Elia</t>
        </is>
      </c>
      <c r="C40" t="inlineStr">
        <is>
          <t>LUNES</t>
        </is>
      </c>
      <c r="D40" t="n">
        <v>2</v>
      </c>
      <c r="E40" t="n">
        <v>1</v>
      </c>
      <c r="F40" t="n">
        <v>2</v>
      </c>
      <c r="G40" t="inlineStr">
        <is>
          <t>07:15</t>
        </is>
      </c>
      <c r="H40" t="inlineStr">
        <is>
          <t>08:00</t>
        </is>
      </c>
      <c r="I40" t="inlineStr">
        <is>
          <t>AREAS_MULTIPLES</t>
        </is>
      </c>
      <c r="J40" t="inlineStr">
        <is>
          <t>0101</t>
        </is>
      </c>
      <c r="K40" t="inlineStr">
        <is>
          <t>ÁREAS MÚLTIPLES</t>
        </is>
      </c>
      <c r="L40" t="inlineStr"/>
      <c r="M40" t="inlineStr"/>
      <c r="N40" t="inlineStr"/>
      <c r="O40" t="inlineStr">
        <is>
          <t>Maestro de aula: todas las áreas con su grupo</t>
        </is>
      </c>
      <c r="P40" t="inlineStr"/>
      <c r="Q40">
        <f>IF(I40="ENFASIS","ÉNFASIS "&amp;M40,IFERROR(VLOOKUP(J40,Grupos!$A$2:$D$100,4,FALSE),J40))</f>
        <v/>
      </c>
      <c r="R40">
        <f>O40&amp;IF(N40&lt;&gt;"",IF(O40&lt;&gt;""," · ","")&amp;"Con: "&amp;N40,"")</f>
        <v/>
      </c>
      <c r="S40">
        <f>C40&amp;"|"&amp;D40</f>
        <v/>
      </c>
      <c r="T40">
        <f>COUNTIF($S$2:S40,S40)</f>
        <v/>
      </c>
      <c r="U40">
        <f>S40&amp;"|"&amp;T40</f>
        <v/>
      </c>
      <c r="V40">
        <f>IFERROR(VLOOKUP(IF(I40="ENFASIS",LEFT(M40,FIND("+",M40&amp;"+")-1),J40),Direccion_Grupo!$A$2:$G$100,7,FALSE),"")</f>
        <v/>
      </c>
    </row>
    <row r="41">
      <c r="A41" t="n">
        <v>45</v>
      </c>
      <c r="B41" t="inlineStr">
        <is>
          <t>Sinisterra Ana Lucía</t>
        </is>
      </c>
      <c r="C41" t="inlineStr">
        <is>
          <t>LUNES</t>
        </is>
      </c>
      <c r="D41" t="n">
        <v>2</v>
      </c>
      <c r="E41" t="n">
        <v>1</v>
      </c>
      <c r="F41" t="n">
        <v>2</v>
      </c>
      <c r="G41" t="inlineStr">
        <is>
          <t>07:15</t>
        </is>
      </c>
      <c r="H41" t="inlineStr">
        <is>
          <t>08:00</t>
        </is>
      </c>
      <c r="I41" t="inlineStr">
        <is>
          <t>AREAS_MULTIPLES</t>
        </is>
      </c>
      <c r="J41" t="inlineStr">
        <is>
          <t>0102</t>
        </is>
      </c>
      <c r="K41" t="inlineStr">
        <is>
          <t>ÁREAS MÚLTIPLES</t>
        </is>
      </c>
      <c r="L41" t="inlineStr"/>
      <c r="M41" t="inlineStr"/>
      <c r="N41" t="inlineStr"/>
      <c r="O41" t="inlineStr">
        <is>
          <t>Maestro de aula: todas las áreas con su grupo</t>
        </is>
      </c>
      <c r="P41" t="inlineStr"/>
      <c r="Q41">
        <f>IF(I41="ENFASIS","ÉNFASIS "&amp;M41,IFERROR(VLOOKUP(J41,Grupos!$A$2:$D$100,4,FALSE),J41))</f>
        <v/>
      </c>
      <c r="R41">
        <f>O41&amp;IF(N41&lt;&gt;"",IF(O41&lt;&gt;""," · ","")&amp;"Con: "&amp;N41,"")</f>
        <v/>
      </c>
      <c r="S41">
        <f>C41&amp;"|"&amp;D41</f>
        <v/>
      </c>
      <c r="T41">
        <f>COUNTIF($S$2:S41,S41)</f>
        <v/>
      </c>
      <c r="U41">
        <f>S41&amp;"|"&amp;T41</f>
        <v/>
      </c>
      <c r="V41">
        <f>IFERROR(VLOOKUP(IF(I41="ENFASIS",LEFT(M41,FIND("+",M41&amp;"+")-1),J41),Direccion_Grupo!$A$2:$G$100,7,FALSE),"")</f>
        <v/>
      </c>
    </row>
    <row r="42">
      <c r="A42" t="n">
        <v>13</v>
      </c>
      <c r="B42" t="inlineStr">
        <is>
          <t>Cortés Salazar María Ebelice</t>
        </is>
      </c>
      <c r="C42" t="inlineStr">
        <is>
          <t>LUNES</t>
        </is>
      </c>
      <c r="D42" t="n">
        <v>2</v>
      </c>
      <c r="E42" t="n">
        <v>1</v>
      </c>
      <c r="F42" t="n">
        <v>2</v>
      </c>
      <c r="G42" t="inlineStr">
        <is>
          <t>07:15</t>
        </is>
      </c>
      <c r="H42" t="inlineStr">
        <is>
          <t>08:00</t>
        </is>
      </c>
      <c r="I42" t="inlineStr">
        <is>
          <t>AREAS_MULTIPLES</t>
        </is>
      </c>
      <c r="J42" t="inlineStr">
        <is>
          <t>0201</t>
        </is>
      </c>
      <c r="K42" t="inlineStr">
        <is>
          <t>ÁREAS MÚLTIPLES</t>
        </is>
      </c>
      <c r="L42" t="inlineStr"/>
      <c r="M42" t="inlineStr"/>
      <c r="N42" t="inlineStr"/>
      <c r="O42" t="inlineStr">
        <is>
          <t>Maestro de aula: todas las áreas con su grupo</t>
        </is>
      </c>
      <c r="P42" t="inlineStr"/>
      <c r="Q42">
        <f>IF(I42="ENFASIS","ÉNFASIS "&amp;M42,IFERROR(VLOOKUP(J42,Grupos!$A$2:$D$100,4,FALSE),J42))</f>
        <v/>
      </c>
      <c r="R42">
        <f>O42&amp;IF(N42&lt;&gt;"",IF(O42&lt;&gt;""," · ","")&amp;"Con: "&amp;N42,"")</f>
        <v/>
      </c>
      <c r="S42">
        <f>C42&amp;"|"&amp;D42</f>
        <v/>
      </c>
      <c r="T42">
        <f>COUNTIF($S$2:S42,S42)</f>
        <v/>
      </c>
      <c r="U42">
        <f>S42&amp;"|"&amp;T42</f>
        <v/>
      </c>
      <c r="V42">
        <f>IFERROR(VLOOKUP(IF(I42="ENFASIS",LEFT(M42,FIND("+",M42&amp;"+")-1),J42),Direccion_Grupo!$A$2:$G$100,7,FALSE),"")</f>
        <v/>
      </c>
    </row>
    <row r="43">
      <c r="A43" t="n">
        <v>21</v>
      </c>
      <c r="B43" t="inlineStr">
        <is>
          <t>Garzón Quiñones Sixta Janina</t>
        </is>
      </c>
      <c r="C43" t="inlineStr">
        <is>
          <t>LUNES</t>
        </is>
      </c>
      <c r="D43" t="n">
        <v>2</v>
      </c>
      <c r="E43" t="n">
        <v>1</v>
      </c>
      <c r="F43" t="n">
        <v>2</v>
      </c>
      <c r="G43" t="inlineStr">
        <is>
          <t>07:15</t>
        </is>
      </c>
      <c r="H43" t="inlineStr">
        <is>
          <t>08:00</t>
        </is>
      </c>
      <c r="I43" t="inlineStr">
        <is>
          <t>AREAS_MULTIPLES</t>
        </is>
      </c>
      <c r="J43" t="inlineStr">
        <is>
          <t>0202</t>
        </is>
      </c>
      <c r="K43" t="inlineStr">
        <is>
          <t>ÁREAS MÚLTIPLES</t>
        </is>
      </c>
      <c r="L43" t="inlineStr"/>
      <c r="M43" t="inlineStr"/>
      <c r="N43" t="inlineStr"/>
      <c r="O43" t="inlineStr">
        <is>
          <t>Maestro de aula: todas las áreas con su grupo</t>
        </is>
      </c>
      <c r="P43" t="inlineStr"/>
      <c r="Q43">
        <f>IF(I43="ENFASIS","ÉNFASIS "&amp;M43,IFERROR(VLOOKUP(J43,Grupos!$A$2:$D$100,4,FALSE),J43))</f>
        <v/>
      </c>
      <c r="R43">
        <f>O43&amp;IF(N43&lt;&gt;"",IF(O43&lt;&gt;""," · ","")&amp;"Con: "&amp;N43,"")</f>
        <v/>
      </c>
      <c r="S43">
        <f>C43&amp;"|"&amp;D43</f>
        <v/>
      </c>
      <c r="T43">
        <f>COUNTIF($S$2:S43,S43)</f>
        <v/>
      </c>
      <c r="U43">
        <f>S43&amp;"|"&amp;T43</f>
        <v/>
      </c>
      <c r="V43">
        <f>IFERROR(VLOOKUP(IF(I43="ENFASIS",LEFT(M43,FIND("+",M43&amp;"+")-1),J43),Direccion_Grupo!$A$2:$G$100,7,FALSE),"")</f>
        <v/>
      </c>
    </row>
    <row r="44">
      <c r="A44" t="n">
        <v>46</v>
      </c>
      <c r="B44" t="inlineStr">
        <is>
          <t>Tenorio Cuero Lucy Bivian</t>
        </is>
      </c>
      <c r="C44" t="inlineStr">
        <is>
          <t>LUNES</t>
        </is>
      </c>
      <c r="D44" t="n">
        <v>2</v>
      </c>
      <c r="E44" t="n">
        <v>1</v>
      </c>
      <c r="F44" t="n">
        <v>2</v>
      </c>
      <c r="G44" t="inlineStr">
        <is>
          <t>07:15</t>
        </is>
      </c>
      <c r="H44" t="inlineStr">
        <is>
          <t>08:00</t>
        </is>
      </c>
      <c r="I44" t="inlineStr">
        <is>
          <t>AREAS_MULTIPLES</t>
        </is>
      </c>
      <c r="J44" t="inlineStr">
        <is>
          <t>0203</t>
        </is>
      </c>
      <c r="K44" t="inlineStr">
        <is>
          <t>ÁREAS MÚLTIPLES</t>
        </is>
      </c>
      <c r="L44" t="inlineStr"/>
      <c r="M44" t="inlineStr"/>
      <c r="N44" t="inlineStr"/>
      <c r="O44" t="inlineStr">
        <is>
          <t>Maestro de aula: todas las áreas con su grupo</t>
        </is>
      </c>
      <c r="P44" t="inlineStr"/>
      <c r="Q44">
        <f>IF(I44="ENFASIS","ÉNFASIS "&amp;M44,IFERROR(VLOOKUP(J44,Grupos!$A$2:$D$100,4,FALSE),J44))</f>
        <v/>
      </c>
      <c r="R44">
        <f>O44&amp;IF(N44&lt;&gt;"",IF(O44&lt;&gt;""," · ","")&amp;"Con: "&amp;N44,"")</f>
        <v/>
      </c>
      <c r="S44">
        <f>C44&amp;"|"&amp;D44</f>
        <v/>
      </c>
      <c r="T44">
        <f>COUNTIF($S$2:S44,S44)</f>
        <v/>
      </c>
      <c r="U44">
        <f>S44&amp;"|"&amp;T44</f>
        <v/>
      </c>
      <c r="V44">
        <f>IFERROR(VLOOKUP(IF(I44="ENFASIS",LEFT(M44,FIND("+",M44&amp;"+")-1),J44),Direccion_Grupo!$A$2:$G$100,7,FALSE),"")</f>
        <v/>
      </c>
    </row>
    <row r="45">
      <c r="A45" t="n">
        <v>48</v>
      </c>
      <c r="B45" t="inlineStr">
        <is>
          <t>Torres Segura Encarnación</t>
        </is>
      </c>
      <c r="C45" t="inlineStr">
        <is>
          <t>LUNES</t>
        </is>
      </c>
      <c r="D45" t="n">
        <v>2</v>
      </c>
      <c r="E45" t="n">
        <v>1</v>
      </c>
      <c r="F45" t="n">
        <v>2</v>
      </c>
      <c r="G45" t="inlineStr">
        <is>
          <t>07:15</t>
        </is>
      </c>
      <c r="H45" t="inlineStr">
        <is>
          <t>08:00</t>
        </is>
      </c>
      <c r="I45" t="inlineStr">
        <is>
          <t>AREAS_MULTIPLES</t>
        </is>
      </c>
      <c r="J45" t="inlineStr">
        <is>
          <t>0301</t>
        </is>
      </c>
      <c r="K45" t="inlineStr">
        <is>
          <t>ÁREAS MÚLTIPLES</t>
        </is>
      </c>
      <c r="L45" t="inlineStr"/>
      <c r="M45" t="inlineStr"/>
      <c r="N45" t="inlineStr"/>
      <c r="O45" t="inlineStr">
        <is>
          <t>Maestro de aula: todas las áreas con su grupo</t>
        </is>
      </c>
      <c r="P45" t="inlineStr"/>
      <c r="Q45">
        <f>IF(I45="ENFASIS","ÉNFASIS "&amp;M45,IFERROR(VLOOKUP(J45,Grupos!$A$2:$D$100,4,FALSE),J45))</f>
        <v/>
      </c>
      <c r="R45">
        <f>O45&amp;IF(N45&lt;&gt;"",IF(O45&lt;&gt;""," · ","")&amp;"Con: "&amp;N45,"")</f>
        <v/>
      </c>
      <c r="S45">
        <f>C45&amp;"|"&amp;D45</f>
        <v/>
      </c>
      <c r="T45">
        <f>COUNTIF($S$2:S45,S45)</f>
        <v/>
      </c>
      <c r="U45">
        <f>S45&amp;"|"&amp;T45</f>
        <v/>
      </c>
      <c r="V45">
        <f>IFERROR(VLOOKUP(IF(I45="ENFASIS",LEFT(M45,FIND("+",M45&amp;"+")-1),J45),Direccion_Grupo!$A$2:$G$100,7,FALSE),"")</f>
        <v/>
      </c>
    </row>
    <row r="46">
      <c r="A46" t="n">
        <v>24</v>
      </c>
      <c r="B46" t="inlineStr">
        <is>
          <t>Landázuri Gallón Teresa</t>
        </is>
      </c>
      <c r="C46" t="inlineStr">
        <is>
          <t>LUNES</t>
        </is>
      </c>
      <c r="D46" t="n">
        <v>2</v>
      </c>
      <c r="E46" t="n">
        <v>1</v>
      </c>
      <c r="F46" t="n">
        <v>2</v>
      </c>
      <c r="G46" t="inlineStr">
        <is>
          <t>07:15</t>
        </is>
      </c>
      <c r="H46" t="inlineStr">
        <is>
          <t>08:00</t>
        </is>
      </c>
      <c r="I46" t="inlineStr">
        <is>
          <t>AREAS_MULTIPLES</t>
        </is>
      </c>
      <c r="J46" t="inlineStr">
        <is>
          <t>0302</t>
        </is>
      </c>
      <c r="K46" t="inlineStr">
        <is>
          <t>ÁREAS MÚLTIPLES</t>
        </is>
      </c>
      <c r="L46" t="inlineStr"/>
      <c r="M46" t="inlineStr"/>
      <c r="N46" t="inlineStr"/>
      <c r="O46" t="inlineStr">
        <is>
          <t>Maestro de aula: todas las áreas con su grupo</t>
        </is>
      </c>
      <c r="P46" t="inlineStr"/>
      <c r="Q46">
        <f>IF(I46="ENFASIS","ÉNFASIS "&amp;M46,IFERROR(VLOOKUP(J46,Grupos!$A$2:$D$100,4,FALSE),J46))</f>
        <v/>
      </c>
      <c r="R46">
        <f>O46&amp;IF(N46&lt;&gt;"",IF(O46&lt;&gt;""," · ","")&amp;"Con: "&amp;N46,"")</f>
        <v/>
      </c>
      <c r="S46">
        <f>C46&amp;"|"&amp;D46</f>
        <v/>
      </c>
      <c r="T46">
        <f>COUNTIF($S$2:S46,S46)</f>
        <v/>
      </c>
      <c r="U46">
        <f>S46&amp;"|"&amp;T46</f>
        <v/>
      </c>
      <c r="V46">
        <f>IFERROR(VLOOKUP(IF(I46="ENFASIS",LEFT(M46,FIND("+",M46&amp;"+")-1),J46),Direccion_Grupo!$A$2:$G$100,7,FALSE),"")</f>
        <v/>
      </c>
    </row>
    <row r="47">
      <c r="A47" t="n">
        <v>55</v>
      </c>
      <c r="B47" t="inlineStr">
        <is>
          <t>Zamora Ordóñez Celia Pastora</t>
        </is>
      </c>
      <c r="C47" t="inlineStr">
        <is>
          <t>LUNES</t>
        </is>
      </c>
      <c r="D47" t="n">
        <v>2</v>
      </c>
      <c r="E47" t="n">
        <v>1</v>
      </c>
      <c r="F47" t="n">
        <v>2</v>
      </c>
      <c r="G47" t="inlineStr">
        <is>
          <t>07:15</t>
        </is>
      </c>
      <c r="H47" t="inlineStr">
        <is>
          <t>08:00</t>
        </is>
      </c>
      <c r="I47" t="inlineStr">
        <is>
          <t>AREAS_MULTIPLES</t>
        </is>
      </c>
      <c r="J47" t="inlineStr">
        <is>
          <t>0401</t>
        </is>
      </c>
      <c r="K47" t="inlineStr">
        <is>
          <t>ÁREAS MÚLTIPLES</t>
        </is>
      </c>
      <c r="L47" t="inlineStr"/>
      <c r="M47" t="inlineStr"/>
      <c r="N47" t="inlineStr"/>
      <c r="O47" t="inlineStr">
        <is>
          <t>Maestro de aula: todas las áreas con su grupo</t>
        </is>
      </c>
      <c r="P47" t="inlineStr"/>
      <c r="Q47">
        <f>IF(I47="ENFASIS","ÉNFASIS "&amp;M47,IFERROR(VLOOKUP(J47,Grupos!$A$2:$D$100,4,FALSE),J47))</f>
        <v/>
      </c>
      <c r="R47">
        <f>O47&amp;IF(N47&lt;&gt;"",IF(O47&lt;&gt;""," · ","")&amp;"Con: "&amp;N47,"")</f>
        <v/>
      </c>
      <c r="S47">
        <f>C47&amp;"|"&amp;D47</f>
        <v/>
      </c>
      <c r="T47">
        <f>COUNTIF($S$2:S47,S47)</f>
        <v/>
      </c>
      <c r="U47">
        <f>S47&amp;"|"&amp;T47</f>
        <v/>
      </c>
      <c r="V47">
        <f>IFERROR(VLOOKUP(IF(I47="ENFASIS",LEFT(M47,FIND("+",M47&amp;"+")-1),J47),Direccion_Grupo!$A$2:$G$100,7,FALSE),"")</f>
        <v/>
      </c>
    </row>
    <row r="48">
      <c r="A48" t="n">
        <v>33</v>
      </c>
      <c r="B48" t="inlineStr">
        <is>
          <t>Núñez Perlaza Elcy</t>
        </is>
      </c>
      <c r="C48" t="inlineStr">
        <is>
          <t>LUNES</t>
        </is>
      </c>
      <c r="D48" t="n">
        <v>2</v>
      </c>
      <c r="E48" t="n">
        <v>1</v>
      </c>
      <c r="F48" t="n">
        <v>2</v>
      </c>
      <c r="G48" t="inlineStr">
        <is>
          <t>07:15</t>
        </is>
      </c>
      <c r="H48" t="inlineStr">
        <is>
          <t>08:00</t>
        </is>
      </c>
      <c r="I48" t="inlineStr">
        <is>
          <t>AREAS_MULTIPLES</t>
        </is>
      </c>
      <c r="J48" t="inlineStr">
        <is>
          <t>0402</t>
        </is>
      </c>
      <c r="K48" t="inlineStr">
        <is>
          <t>ÁREAS MÚLTIPLES</t>
        </is>
      </c>
      <c r="L48" t="inlineStr"/>
      <c r="M48" t="inlineStr"/>
      <c r="N48" t="inlineStr"/>
      <c r="O48" t="inlineStr">
        <is>
          <t>Maestro de aula: todas las áreas con su grupo</t>
        </is>
      </c>
      <c r="P48" t="inlineStr"/>
      <c r="Q48">
        <f>IF(I48="ENFASIS","ÉNFASIS "&amp;M48,IFERROR(VLOOKUP(J48,Grupos!$A$2:$D$100,4,FALSE),J48))</f>
        <v/>
      </c>
      <c r="R48">
        <f>O48&amp;IF(N48&lt;&gt;"",IF(O48&lt;&gt;""," · ","")&amp;"Con: "&amp;N48,"")</f>
        <v/>
      </c>
      <c r="S48">
        <f>C48&amp;"|"&amp;D48</f>
        <v/>
      </c>
      <c r="T48">
        <f>COUNTIF($S$2:S48,S48)</f>
        <v/>
      </c>
      <c r="U48">
        <f>S48&amp;"|"&amp;T48</f>
        <v/>
      </c>
      <c r="V48">
        <f>IFERROR(VLOOKUP(IF(I48="ENFASIS",LEFT(M48,FIND("+",M48&amp;"+")-1),J48),Direccion_Grupo!$A$2:$G$100,7,FALSE),"")</f>
        <v/>
      </c>
    </row>
    <row r="49">
      <c r="A49" t="n">
        <v>14</v>
      </c>
      <c r="B49" t="inlineStr">
        <is>
          <t>Cuéllar Gallo Nemesia</t>
        </is>
      </c>
      <c r="C49" t="inlineStr">
        <is>
          <t>LUNES</t>
        </is>
      </c>
      <c r="D49" t="n">
        <v>2</v>
      </c>
      <c r="E49" t="n">
        <v>1</v>
      </c>
      <c r="F49" t="n">
        <v>2</v>
      </c>
      <c r="G49" t="inlineStr">
        <is>
          <t>07:15</t>
        </is>
      </c>
      <c r="H49" t="inlineStr">
        <is>
          <t>08:00</t>
        </is>
      </c>
      <c r="I49" t="inlineStr">
        <is>
          <t>AREAS_MULTIPLES</t>
        </is>
      </c>
      <c r="J49" t="inlineStr">
        <is>
          <t>0501</t>
        </is>
      </c>
      <c r="K49" t="inlineStr">
        <is>
          <t>ÁREAS MÚLTIPLES</t>
        </is>
      </c>
      <c r="L49" t="inlineStr"/>
      <c r="M49" t="inlineStr"/>
      <c r="N49" t="inlineStr"/>
      <c r="O49" t="inlineStr">
        <is>
          <t>Maestro de aula: todas las áreas con su grupo</t>
        </is>
      </c>
      <c r="P49" t="inlineStr"/>
      <c r="Q49">
        <f>IF(I49="ENFASIS","ÉNFASIS "&amp;M49,IFERROR(VLOOKUP(J49,Grupos!$A$2:$D$100,4,FALSE),J49))</f>
        <v/>
      </c>
      <c r="R49">
        <f>O49&amp;IF(N49&lt;&gt;"",IF(O49&lt;&gt;""," · ","")&amp;"Con: "&amp;N49,"")</f>
        <v/>
      </c>
      <c r="S49">
        <f>C49&amp;"|"&amp;D49</f>
        <v/>
      </c>
      <c r="T49">
        <f>COUNTIF($S$2:S49,S49)</f>
        <v/>
      </c>
      <c r="U49">
        <f>S49&amp;"|"&amp;T49</f>
        <v/>
      </c>
      <c r="V49">
        <f>IFERROR(VLOOKUP(IF(I49="ENFASIS",LEFT(M49,FIND("+",M49&amp;"+")-1),J49),Direccion_Grupo!$A$2:$G$100,7,FALSE),"")</f>
        <v/>
      </c>
    </row>
    <row r="50">
      <c r="A50" t="n">
        <v>11</v>
      </c>
      <c r="B50" t="inlineStr">
        <is>
          <t>Centeno Zúñiga Claudia Patricia</t>
        </is>
      </c>
      <c r="C50" t="inlineStr">
        <is>
          <t>LUNES</t>
        </is>
      </c>
      <c r="D50" t="n">
        <v>2</v>
      </c>
      <c r="E50" t="n">
        <v>1</v>
      </c>
      <c r="F50" t="n">
        <v>2</v>
      </c>
      <c r="G50" t="inlineStr">
        <is>
          <t>07:15</t>
        </is>
      </c>
      <c r="H50" t="inlineStr">
        <is>
          <t>08:00</t>
        </is>
      </c>
      <c r="I50" t="inlineStr">
        <is>
          <t>AREAS_MULTIPLES</t>
        </is>
      </c>
      <c r="J50" t="inlineStr">
        <is>
          <t>0502</t>
        </is>
      </c>
      <c r="K50" t="inlineStr">
        <is>
          <t>ÁREAS MÚLTIPLES</t>
        </is>
      </c>
      <c r="L50" t="inlineStr"/>
      <c r="M50" t="inlineStr"/>
      <c r="N50" t="inlineStr"/>
      <c r="O50" t="inlineStr">
        <is>
          <t>Maestro de aula: todas las áreas con su grupo</t>
        </is>
      </c>
      <c r="P50" t="inlineStr"/>
      <c r="Q50">
        <f>IF(I50="ENFASIS","ÉNFASIS "&amp;M50,IFERROR(VLOOKUP(J50,Grupos!$A$2:$D$100,4,FALSE),J50))</f>
        <v/>
      </c>
      <c r="R50">
        <f>O50&amp;IF(N50&lt;&gt;"",IF(O50&lt;&gt;""," · ","")&amp;"Con: "&amp;N50,"")</f>
        <v/>
      </c>
      <c r="S50">
        <f>C50&amp;"|"&amp;D50</f>
        <v/>
      </c>
      <c r="T50">
        <f>COUNTIF($S$2:S50,S50)</f>
        <v/>
      </c>
      <c r="U50">
        <f>S50&amp;"|"&amp;T50</f>
        <v/>
      </c>
      <c r="V50">
        <f>IFERROR(VLOOKUP(IF(I50="ENFASIS",LEFT(M50,FIND("+",M50&amp;"+")-1),J50),Direccion_Grupo!$A$2:$G$100,7,FALSE),"")</f>
        <v/>
      </c>
    </row>
    <row r="51">
      <c r="A51" t="n">
        <v>32</v>
      </c>
      <c r="B51" t="inlineStr">
        <is>
          <t>Narváez Sánchez Dora Alejandra</t>
        </is>
      </c>
      <c r="C51" t="inlineStr">
        <is>
          <t>LUNES</t>
        </is>
      </c>
      <c r="D51" t="n">
        <v>2</v>
      </c>
      <c r="E51" t="n">
        <v>1</v>
      </c>
      <c r="F51" t="n">
        <v>2</v>
      </c>
      <c r="G51" t="inlineStr">
        <is>
          <t>07:15</t>
        </is>
      </c>
      <c r="H51" t="inlineStr">
        <is>
          <t>08:00</t>
        </is>
      </c>
      <c r="I51" t="inlineStr">
        <is>
          <t>AREAS_MULTIPLES</t>
        </is>
      </c>
      <c r="J51" t="inlineStr">
        <is>
          <t>0503</t>
        </is>
      </c>
      <c r="K51" t="inlineStr">
        <is>
          <t>ÁREAS MÚLTIPLES</t>
        </is>
      </c>
      <c r="L51" t="inlineStr"/>
      <c r="M51" t="inlineStr"/>
      <c r="N51" t="inlineStr"/>
      <c r="O51" t="inlineStr">
        <is>
          <t>Maestro de aula: todas las áreas con su grupo</t>
        </is>
      </c>
      <c r="P51" t="inlineStr"/>
      <c r="Q51">
        <f>IF(I51="ENFASIS","ÉNFASIS "&amp;M51,IFERROR(VLOOKUP(J51,Grupos!$A$2:$D$100,4,FALSE),J51))</f>
        <v/>
      </c>
      <c r="R51">
        <f>O51&amp;IF(N51&lt;&gt;"",IF(O51&lt;&gt;""," · ","")&amp;"Con: "&amp;N51,"")</f>
        <v/>
      </c>
      <c r="S51">
        <f>C51&amp;"|"&amp;D51</f>
        <v/>
      </c>
      <c r="T51">
        <f>COUNTIF($S$2:S51,S51)</f>
        <v/>
      </c>
      <c r="U51">
        <f>S51&amp;"|"&amp;T51</f>
        <v/>
      </c>
      <c r="V51">
        <f>IFERROR(VLOOKUP(IF(I51="ENFASIS",LEFT(M51,FIND("+",M51&amp;"+")-1),J51),Direccion_Grupo!$A$2:$G$100,7,FALSE),"")</f>
        <v/>
      </c>
    </row>
    <row r="52">
      <c r="A52" t="n">
        <v>17</v>
      </c>
      <c r="B52" t="inlineStr">
        <is>
          <t>Escobar Cortés Liliana</t>
        </is>
      </c>
      <c r="C52" t="inlineStr">
        <is>
          <t>LUNES</t>
        </is>
      </c>
      <c r="D52" t="n">
        <v>2</v>
      </c>
      <c r="E52" t="n">
        <v>1</v>
      </c>
      <c r="F52" t="n">
        <v>2</v>
      </c>
      <c r="G52" t="inlineStr">
        <is>
          <t>07:15</t>
        </is>
      </c>
      <c r="H52" t="inlineStr">
        <is>
          <t>08:00</t>
        </is>
      </c>
      <c r="I52" t="inlineStr">
        <is>
          <t>AREAS_MULTIPLES</t>
        </is>
      </c>
      <c r="J52" t="inlineStr">
        <is>
          <t>0504</t>
        </is>
      </c>
      <c r="K52" t="inlineStr">
        <is>
          <t>ÁREAS MÚLTIPLES</t>
        </is>
      </c>
      <c r="L52" t="inlineStr"/>
      <c r="M52" t="inlineStr"/>
      <c r="N52" t="inlineStr"/>
      <c r="O52" t="inlineStr">
        <is>
          <t>Maestro de aula: todas las áreas con su grupo</t>
        </is>
      </c>
      <c r="P52" t="inlineStr"/>
      <c r="Q52">
        <f>IF(I52="ENFASIS","ÉNFASIS "&amp;M52,IFERROR(VLOOKUP(J52,Grupos!$A$2:$D$100,4,FALSE),J52))</f>
        <v/>
      </c>
      <c r="R52">
        <f>O52&amp;IF(N52&lt;&gt;"",IF(O52&lt;&gt;""," · ","")&amp;"Con: "&amp;N52,"")</f>
        <v/>
      </c>
      <c r="S52">
        <f>C52&amp;"|"&amp;D52</f>
        <v/>
      </c>
      <c r="T52">
        <f>COUNTIF($S$2:S52,S52)</f>
        <v/>
      </c>
      <c r="U52">
        <f>S52&amp;"|"&amp;T52</f>
        <v/>
      </c>
      <c r="V52">
        <f>IFERROR(VLOOKUP(IF(I52="ENFASIS",LEFT(M52,FIND("+",M52&amp;"+")-1),J52),Direccion_Grupo!$A$2:$G$100,7,FALSE),"")</f>
        <v/>
      </c>
    </row>
    <row r="53">
      <c r="A53" t="n">
        <v>37</v>
      </c>
      <c r="B53" t="inlineStr">
        <is>
          <t>Prado Quiñones Genís Maribel</t>
        </is>
      </c>
      <c r="C53" t="inlineStr">
        <is>
          <t>LUNES</t>
        </is>
      </c>
      <c r="D53" t="n">
        <v>2</v>
      </c>
      <c r="E53" t="n">
        <v>1</v>
      </c>
      <c r="F53" t="n">
        <v>2</v>
      </c>
      <c r="G53" t="inlineStr">
        <is>
          <t>07:15</t>
        </is>
      </c>
      <c r="H53" t="inlineStr">
        <is>
          <t>08:00</t>
        </is>
      </c>
      <c r="I53" t="inlineStr">
        <is>
          <t>CLASE</t>
        </is>
      </c>
      <c r="J53" t="inlineStr">
        <is>
          <t>0601</t>
        </is>
      </c>
      <c r="K53" t="inlineStr">
        <is>
          <t>ART</t>
        </is>
      </c>
      <c r="L53" t="inlineStr"/>
      <c r="M53" t="inlineStr"/>
      <c r="N53" t="inlineStr"/>
      <c r="O53" t="inlineStr"/>
      <c r="P53" t="inlineStr">
        <is>
          <t>0601-ART</t>
        </is>
      </c>
      <c r="Q53">
        <f>IF(I53="ENFASIS","ÉNFASIS "&amp;M53,IFERROR(VLOOKUP(J53,Grupos!$A$2:$D$100,4,FALSE),J53))</f>
        <v/>
      </c>
      <c r="R53">
        <f>O53&amp;IF(N53&lt;&gt;"",IF(O53&lt;&gt;""," · ","")&amp;"Con: "&amp;N53,"")</f>
        <v/>
      </c>
      <c r="S53">
        <f>C53&amp;"|"&amp;D53</f>
        <v/>
      </c>
      <c r="T53">
        <f>COUNTIF($S$2:S53,S53)</f>
        <v/>
      </c>
      <c r="U53">
        <f>S53&amp;"|"&amp;T53</f>
        <v/>
      </c>
      <c r="V53">
        <f>IFERROR(VLOOKUP(IF(I53="ENFASIS",LEFT(M53,FIND("+",M53&amp;"+")-1),J53),Direccion_Grupo!$A$2:$G$100,7,FALSE),"")</f>
        <v/>
      </c>
    </row>
    <row r="54">
      <c r="A54" t="n">
        <v>26</v>
      </c>
      <c r="B54" t="inlineStr">
        <is>
          <t>Lozano Torres Amanda Inés</t>
        </is>
      </c>
      <c r="C54" t="inlineStr">
        <is>
          <t>LUNES</t>
        </is>
      </c>
      <c r="D54" t="n">
        <v>2</v>
      </c>
      <c r="E54" t="n">
        <v>1</v>
      </c>
      <c r="F54" t="n">
        <v>2</v>
      </c>
      <c r="G54" t="inlineStr">
        <is>
          <t>07:15</t>
        </is>
      </c>
      <c r="H54" t="inlineStr">
        <is>
          <t>08:00</t>
        </is>
      </c>
      <c r="I54" t="inlineStr">
        <is>
          <t>CLASE</t>
        </is>
      </c>
      <c r="J54" t="inlineStr">
        <is>
          <t>0602</t>
        </is>
      </c>
      <c r="K54" t="inlineStr">
        <is>
          <t>ETR</t>
        </is>
      </c>
      <c r="L54" t="inlineStr"/>
      <c r="M54" t="inlineStr"/>
      <c r="N54" t="inlineStr"/>
      <c r="O54" t="inlineStr">
        <is>
          <t>Ética / Religión (alternan cada semana)</t>
        </is>
      </c>
      <c r="P54" t="inlineStr">
        <is>
          <t>0602-ETR</t>
        </is>
      </c>
      <c r="Q54">
        <f>IF(I54="ENFASIS","ÉNFASIS "&amp;M54,IFERROR(VLOOKUP(J54,Grupos!$A$2:$D$100,4,FALSE),J54))</f>
        <v/>
      </c>
      <c r="R54">
        <f>O54&amp;IF(N54&lt;&gt;"",IF(O54&lt;&gt;""," · ","")&amp;"Con: "&amp;N54,"")</f>
        <v/>
      </c>
      <c r="S54">
        <f>C54&amp;"|"&amp;D54</f>
        <v/>
      </c>
      <c r="T54">
        <f>COUNTIF($S$2:S54,S54)</f>
        <v/>
      </c>
      <c r="U54">
        <f>S54&amp;"|"&amp;T54</f>
        <v/>
      </c>
      <c r="V54">
        <f>IFERROR(VLOOKUP(IF(I54="ENFASIS",LEFT(M54,FIND("+",M54&amp;"+")-1),J54),Direccion_Grupo!$A$2:$G$100,7,FALSE),"")</f>
        <v/>
      </c>
    </row>
    <row r="55">
      <c r="A55" t="n">
        <v>39</v>
      </c>
      <c r="B55" t="inlineStr">
        <is>
          <t>Puches Ana Milena</t>
        </is>
      </c>
      <c r="C55" t="inlineStr">
        <is>
          <t>LUNES</t>
        </is>
      </c>
      <c r="D55" t="n">
        <v>2</v>
      </c>
      <c r="E55" t="n">
        <v>1</v>
      </c>
      <c r="F55" t="n">
        <v>2</v>
      </c>
      <c r="G55" t="inlineStr">
        <is>
          <t>07:15</t>
        </is>
      </c>
      <c r="H55" t="inlineStr">
        <is>
          <t>08:00</t>
        </is>
      </c>
      <c r="I55" t="inlineStr">
        <is>
          <t>CLASE</t>
        </is>
      </c>
      <c r="J55" t="inlineStr">
        <is>
          <t>0704</t>
        </is>
      </c>
      <c r="K55" t="inlineStr">
        <is>
          <t>ART</t>
        </is>
      </c>
      <c r="L55" t="inlineStr"/>
      <c r="M55" t="inlineStr"/>
      <c r="N55" t="inlineStr"/>
      <c r="O55" t="inlineStr"/>
      <c r="P55" t="inlineStr">
        <is>
          <t>0704-ART</t>
        </is>
      </c>
      <c r="Q55">
        <f>IF(I55="ENFASIS","ÉNFASIS "&amp;M55,IFERROR(VLOOKUP(J55,Grupos!$A$2:$D$100,4,FALSE),J55))</f>
        <v/>
      </c>
      <c r="R55">
        <f>O55&amp;IF(N55&lt;&gt;"",IF(O55&lt;&gt;""," · ","")&amp;"Con: "&amp;N55,"")</f>
        <v/>
      </c>
      <c r="S55">
        <f>C55&amp;"|"&amp;D55</f>
        <v/>
      </c>
      <c r="T55">
        <f>COUNTIF($S$2:S55,S55)</f>
        <v/>
      </c>
      <c r="U55">
        <f>S55&amp;"|"&amp;T55</f>
        <v/>
      </c>
      <c r="V55">
        <f>IFERROR(VLOOKUP(IF(I55="ENFASIS",LEFT(M55,FIND("+",M55&amp;"+")-1),J55),Direccion_Grupo!$A$2:$G$100,7,FALSE),"")</f>
        <v/>
      </c>
    </row>
    <row r="56">
      <c r="A56" t="n">
        <v>35</v>
      </c>
      <c r="B56" t="inlineStr">
        <is>
          <t>Ortiz Araujo Adiela Carlota</t>
        </is>
      </c>
      <c r="C56" t="inlineStr">
        <is>
          <t>LUNES</t>
        </is>
      </c>
      <c r="D56" t="n">
        <v>2</v>
      </c>
      <c r="E56" t="n">
        <v>1</v>
      </c>
      <c r="F56" t="n">
        <v>2</v>
      </c>
      <c r="G56" t="inlineStr">
        <is>
          <t>07:15</t>
        </is>
      </c>
      <c r="H56" t="inlineStr">
        <is>
          <t>08:00</t>
        </is>
      </c>
      <c r="I56" t="inlineStr">
        <is>
          <t>CLASE</t>
        </is>
      </c>
      <c r="J56" t="inlineStr">
        <is>
          <t>0801</t>
        </is>
      </c>
      <c r="K56" t="inlineStr">
        <is>
          <t>CSI</t>
        </is>
      </c>
      <c r="L56" t="inlineStr"/>
      <c r="M56" t="inlineStr"/>
      <c r="N56" t="inlineStr"/>
      <c r="O56" t="inlineStr">
        <is>
          <t>Sociales / Inglés (alternan cada semana)</t>
        </is>
      </c>
      <c r="P56" t="inlineStr">
        <is>
          <t>0801-CSI</t>
        </is>
      </c>
      <c r="Q56">
        <f>IF(I56="ENFASIS","ÉNFASIS "&amp;M56,IFERROR(VLOOKUP(J56,Grupos!$A$2:$D$100,4,FALSE),J56))</f>
        <v/>
      </c>
      <c r="R56">
        <f>O56&amp;IF(N56&lt;&gt;"",IF(O56&lt;&gt;""," · ","")&amp;"Con: "&amp;N56,"")</f>
        <v/>
      </c>
      <c r="S56">
        <f>C56&amp;"|"&amp;D56</f>
        <v/>
      </c>
      <c r="T56">
        <f>COUNTIF($S$2:S56,S56)</f>
        <v/>
      </c>
      <c r="U56">
        <f>S56&amp;"|"&amp;T56</f>
        <v/>
      </c>
      <c r="V56">
        <f>IFERROR(VLOOKUP(IF(I56="ENFASIS",LEFT(M56,FIND("+",M56&amp;"+")-1),J56),Direccion_Grupo!$A$2:$G$100,7,FALSE),"")</f>
        <v/>
      </c>
    </row>
    <row r="57">
      <c r="A57" t="n">
        <v>15</v>
      </c>
      <c r="B57" t="inlineStr">
        <is>
          <t>Cuero Bamba Berte Levi</t>
        </is>
      </c>
      <c r="C57" t="inlineStr">
        <is>
          <t>LUNES</t>
        </is>
      </c>
      <c r="D57" t="n">
        <v>2</v>
      </c>
      <c r="E57" t="n">
        <v>1</v>
      </c>
      <c r="F57" t="n">
        <v>2</v>
      </c>
      <c r="G57" t="inlineStr">
        <is>
          <t>07:15</t>
        </is>
      </c>
      <c r="H57" t="inlineStr">
        <is>
          <t>08:00</t>
        </is>
      </c>
      <c r="I57" t="inlineStr">
        <is>
          <t>CLASE</t>
        </is>
      </c>
      <c r="J57" t="inlineStr">
        <is>
          <t>0802</t>
        </is>
      </c>
      <c r="K57" t="inlineStr">
        <is>
          <t>ERD</t>
        </is>
      </c>
      <c r="L57" t="inlineStr"/>
      <c r="M57" t="inlineStr"/>
      <c r="N57" t="inlineStr"/>
      <c r="O57" t="inlineStr"/>
      <c r="P57" t="inlineStr">
        <is>
          <t>0802-ERD</t>
        </is>
      </c>
      <c r="Q57">
        <f>IF(I57="ENFASIS","ÉNFASIS "&amp;M57,IFERROR(VLOOKUP(J57,Grupos!$A$2:$D$100,4,FALSE),J57))</f>
        <v/>
      </c>
      <c r="R57">
        <f>O57&amp;IF(N57&lt;&gt;"",IF(O57&lt;&gt;""," · ","")&amp;"Con: "&amp;N57,"")</f>
        <v/>
      </c>
      <c r="S57">
        <f>C57&amp;"|"&amp;D57</f>
        <v/>
      </c>
      <c r="T57">
        <f>COUNTIF($S$2:S57,S57)</f>
        <v/>
      </c>
      <c r="U57">
        <f>S57&amp;"|"&amp;T57</f>
        <v/>
      </c>
      <c r="V57">
        <f>IFERROR(VLOOKUP(IF(I57="ENFASIS",LEFT(M57,FIND("+",M57&amp;"+")-1),J57),Direccion_Grupo!$A$2:$G$100,7,FALSE),"")</f>
        <v/>
      </c>
    </row>
    <row r="58">
      <c r="A58" t="n">
        <v>6</v>
      </c>
      <c r="B58" t="inlineStr">
        <is>
          <t>Betancourth Ocampo Yohana Patricia</t>
        </is>
      </c>
      <c r="C58" t="inlineStr">
        <is>
          <t>LUNES</t>
        </is>
      </c>
      <c r="D58" t="n">
        <v>2</v>
      </c>
      <c r="E58" t="n">
        <v>1</v>
      </c>
      <c r="F58" t="n">
        <v>2</v>
      </c>
      <c r="G58" t="inlineStr">
        <is>
          <t>07:15</t>
        </is>
      </c>
      <c r="H58" t="inlineStr">
        <is>
          <t>08:00</t>
        </is>
      </c>
      <c r="I58" t="inlineStr">
        <is>
          <t>CLASE</t>
        </is>
      </c>
      <c r="J58" t="inlineStr">
        <is>
          <t>0901</t>
        </is>
      </c>
      <c r="K58" t="inlineStr">
        <is>
          <t>CSI</t>
        </is>
      </c>
      <c r="L58" t="inlineStr"/>
      <c r="M58" t="inlineStr"/>
      <c r="N58" t="inlineStr"/>
      <c r="O58" t="inlineStr">
        <is>
          <t>Sociales / Inglés (alternan cada semana)</t>
        </is>
      </c>
      <c r="P58" t="inlineStr">
        <is>
          <t>0901-CSI</t>
        </is>
      </c>
      <c r="Q58">
        <f>IF(I58="ENFASIS","ÉNFASIS "&amp;M58,IFERROR(VLOOKUP(J58,Grupos!$A$2:$D$100,4,FALSE),J58))</f>
        <v/>
      </c>
      <c r="R58">
        <f>O58&amp;IF(N58&lt;&gt;"",IF(O58&lt;&gt;""," · ","")&amp;"Con: "&amp;N58,"")</f>
        <v/>
      </c>
      <c r="S58">
        <f>C58&amp;"|"&amp;D58</f>
        <v/>
      </c>
      <c r="T58">
        <f>COUNTIF($S$2:S58,S58)</f>
        <v/>
      </c>
      <c r="U58">
        <f>S58&amp;"|"&amp;T58</f>
        <v/>
      </c>
      <c r="V58">
        <f>IFERROR(VLOOKUP(IF(I58="ENFASIS",LEFT(M58,FIND("+",M58&amp;"+")-1),J58),Direccion_Grupo!$A$2:$G$100,7,FALSE),"")</f>
        <v/>
      </c>
    </row>
    <row r="59">
      <c r="A59" t="n">
        <v>49</v>
      </c>
      <c r="B59" t="inlineStr">
        <is>
          <t>Valencia Marínez Saidy Eufemia</t>
        </is>
      </c>
      <c r="C59" t="inlineStr">
        <is>
          <t>LUNES</t>
        </is>
      </c>
      <c r="D59" t="n">
        <v>2</v>
      </c>
      <c r="E59" t="n">
        <v>1</v>
      </c>
      <c r="F59" t="n">
        <v>2</v>
      </c>
      <c r="G59" t="inlineStr">
        <is>
          <t>07:15</t>
        </is>
      </c>
      <c r="H59" t="inlineStr">
        <is>
          <t>08:00</t>
        </is>
      </c>
      <c r="I59" t="inlineStr">
        <is>
          <t>CLASE</t>
        </is>
      </c>
      <c r="J59" t="inlineStr">
        <is>
          <t>0902</t>
        </is>
      </c>
      <c r="K59" t="inlineStr">
        <is>
          <t>ART</t>
        </is>
      </c>
      <c r="L59" t="inlineStr"/>
      <c r="M59" t="inlineStr"/>
      <c r="N59" t="inlineStr"/>
      <c r="O59" t="inlineStr"/>
      <c r="P59" t="inlineStr">
        <is>
          <t>0902-ART</t>
        </is>
      </c>
      <c r="Q59">
        <f>IF(I59="ENFASIS","ÉNFASIS "&amp;M59,IFERROR(VLOOKUP(J59,Grupos!$A$2:$D$100,4,FALSE),J59))</f>
        <v/>
      </c>
      <c r="R59">
        <f>O59&amp;IF(N59&lt;&gt;"",IF(O59&lt;&gt;""," · ","")&amp;"Con: "&amp;N59,"")</f>
        <v/>
      </c>
      <c r="S59">
        <f>C59&amp;"|"&amp;D59</f>
        <v/>
      </c>
      <c r="T59">
        <f>COUNTIF($S$2:S59,S59)</f>
        <v/>
      </c>
      <c r="U59">
        <f>S59&amp;"|"&amp;T59</f>
        <v/>
      </c>
      <c r="V59">
        <f>IFERROR(VLOOKUP(IF(I59="ENFASIS",LEFT(M59,FIND("+",M59&amp;"+")-1),J59),Direccion_Grupo!$A$2:$G$100,7,FALSE),"")</f>
        <v/>
      </c>
    </row>
    <row r="60">
      <c r="A60" t="n">
        <v>31</v>
      </c>
      <c r="B60" t="inlineStr">
        <is>
          <t>Montaño Arizala Leidis Claudina</t>
        </is>
      </c>
      <c r="C60" t="inlineStr">
        <is>
          <t>LUNES</t>
        </is>
      </c>
      <c r="D60" t="n">
        <v>2</v>
      </c>
      <c r="E60" t="n">
        <v>1</v>
      </c>
      <c r="F60" t="n">
        <v>2</v>
      </c>
      <c r="G60" t="inlineStr">
        <is>
          <t>07:15</t>
        </is>
      </c>
      <c r="H60" t="inlineStr">
        <is>
          <t>08:00</t>
        </is>
      </c>
      <c r="I60" t="inlineStr">
        <is>
          <t>CLASE</t>
        </is>
      </c>
      <c r="J60" t="inlineStr">
        <is>
          <t>1002</t>
        </is>
      </c>
      <c r="K60" t="inlineStr">
        <is>
          <t>ETR</t>
        </is>
      </c>
      <c r="L60" t="inlineStr"/>
      <c r="M60" t="inlineStr"/>
      <c r="N60" t="inlineStr"/>
      <c r="O60" t="inlineStr">
        <is>
          <t>Ética / Religión (alternan cada semana)</t>
        </is>
      </c>
      <c r="P60" t="inlineStr">
        <is>
          <t>1002-ETR</t>
        </is>
      </c>
      <c r="Q60">
        <f>IF(I60="ENFASIS","ÉNFASIS "&amp;M60,IFERROR(VLOOKUP(J60,Grupos!$A$2:$D$100,4,FALSE),J60))</f>
        <v/>
      </c>
      <c r="R60">
        <f>O60&amp;IF(N60&lt;&gt;"",IF(O60&lt;&gt;""," · ","")&amp;"Con: "&amp;N60,"")</f>
        <v/>
      </c>
      <c r="S60">
        <f>C60&amp;"|"&amp;D60</f>
        <v/>
      </c>
      <c r="T60">
        <f>COUNTIF($S$2:S60,S60)</f>
        <v/>
      </c>
      <c r="U60">
        <f>S60&amp;"|"&amp;T60</f>
        <v/>
      </c>
      <c r="V60">
        <f>IFERROR(VLOOKUP(IF(I60="ENFASIS",LEFT(M60,FIND("+",M60&amp;"+")-1),J60),Direccion_Grupo!$A$2:$G$100,7,FALSE),"")</f>
        <v/>
      </c>
    </row>
    <row r="61">
      <c r="A61" t="n">
        <v>2</v>
      </c>
      <c r="B61" t="inlineStr">
        <is>
          <t>Angulo Lucero Andrés Mauricio</t>
        </is>
      </c>
      <c r="C61" t="inlineStr">
        <is>
          <t>LUNES</t>
        </is>
      </c>
      <c r="D61" t="n">
        <v>2</v>
      </c>
      <c r="E61" t="n">
        <v>1</v>
      </c>
      <c r="F61" t="n">
        <v>2</v>
      </c>
      <c r="G61" t="inlineStr">
        <is>
          <t>07:15</t>
        </is>
      </c>
      <c r="H61" t="inlineStr">
        <is>
          <t>08:00</t>
        </is>
      </c>
      <c r="I61" t="inlineStr">
        <is>
          <t>CLASE</t>
        </is>
      </c>
      <c r="J61" t="inlineStr">
        <is>
          <t>1101</t>
        </is>
      </c>
      <c r="K61" t="inlineStr">
        <is>
          <t>TEI</t>
        </is>
      </c>
      <c r="L61" t="inlineStr"/>
      <c r="M61" t="inlineStr"/>
      <c r="N61" t="inlineStr"/>
      <c r="O61" t="inlineStr"/>
      <c r="P61" t="inlineStr">
        <is>
          <t>1101-TEI</t>
        </is>
      </c>
      <c r="Q61">
        <f>IF(I61="ENFASIS","ÉNFASIS "&amp;M61,IFERROR(VLOOKUP(J61,Grupos!$A$2:$D$100,4,FALSE),J61))</f>
        <v/>
      </c>
      <c r="R61">
        <f>O61&amp;IF(N61&lt;&gt;"",IF(O61&lt;&gt;""," · ","")&amp;"Con: "&amp;N61,"")</f>
        <v/>
      </c>
      <c r="S61">
        <f>C61&amp;"|"&amp;D61</f>
        <v/>
      </c>
      <c r="T61">
        <f>COUNTIF($S$2:S61,S61)</f>
        <v/>
      </c>
      <c r="U61">
        <f>S61&amp;"|"&amp;T61</f>
        <v/>
      </c>
      <c r="V61">
        <f>IFERROR(VLOOKUP(IF(I61="ENFASIS",LEFT(M61,FIND("+",M61&amp;"+")-1),J61),Direccion_Grupo!$A$2:$G$100,7,FALSE),"")</f>
        <v/>
      </c>
    </row>
    <row r="62">
      <c r="A62" t="n">
        <v>40</v>
      </c>
      <c r="B62" t="inlineStr">
        <is>
          <t>Pulgarín Ortiz César Marino</t>
        </is>
      </c>
      <c r="C62" t="inlineStr">
        <is>
          <t>LUNES</t>
        </is>
      </c>
      <c r="D62" t="n">
        <v>2</v>
      </c>
      <c r="E62" t="n">
        <v>1</v>
      </c>
      <c r="F62" t="n">
        <v>2</v>
      </c>
      <c r="G62" t="inlineStr">
        <is>
          <t>07:15</t>
        </is>
      </c>
      <c r="H62" t="inlineStr">
        <is>
          <t>08:00</t>
        </is>
      </c>
      <c r="I62" t="inlineStr">
        <is>
          <t>CLASE</t>
        </is>
      </c>
      <c r="J62" t="inlineStr">
        <is>
          <t>1102</t>
        </is>
      </c>
      <c r="K62" t="inlineStr">
        <is>
          <t>CSI</t>
        </is>
      </c>
      <c r="L62" t="inlineStr"/>
      <c r="M62" t="inlineStr"/>
      <c r="N62" t="inlineStr"/>
      <c r="O62" t="inlineStr">
        <is>
          <t>Sociales / Inglés (alternan cada semana)</t>
        </is>
      </c>
      <c r="P62" t="inlineStr">
        <is>
          <t>1102-CSI</t>
        </is>
      </c>
      <c r="Q62">
        <f>IF(I62="ENFASIS","ÉNFASIS "&amp;M62,IFERROR(VLOOKUP(J62,Grupos!$A$2:$D$100,4,FALSE),J62))</f>
        <v/>
      </c>
      <c r="R62">
        <f>O62&amp;IF(N62&lt;&gt;"",IF(O62&lt;&gt;""," · ","")&amp;"Con: "&amp;N62,"")</f>
        <v/>
      </c>
      <c r="S62">
        <f>C62&amp;"|"&amp;D62</f>
        <v/>
      </c>
      <c r="T62">
        <f>COUNTIF($S$2:S62,S62)</f>
        <v/>
      </c>
      <c r="U62">
        <f>S62&amp;"|"&amp;T62</f>
        <v/>
      </c>
      <c r="V62">
        <f>IFERROR(VLOOKUP(IF(I62="ENFASIS",LEFT(M62,FIND("+",M62&amp;"+")-1),J62),Direccion_Grupo!$A$2:$G$100,7,FALSE),"")</f>
        <v/>
      </c>
    </row>
    <row r="63">
      <c r="A63" t="n">
        <v>16</v>
      </c>
      <c r="B63" t="inlineStr">
        <is>
          <t>Cuero Rincón Hernando Jesús</t>
        </is>
      </c>
      <c r="C63" t="inlineStr">
        <is>
          <t>LUNES</t>
        </is>
      </c>
      <c r="D63" t="n">
        <v>2</v>
      </c>
      <c r="E63" t="n">
        <v>1</v>
      </c>
      <c r="F63" t="n">
        <v>2</v>
      </c>
      <c r="G63" t="inlineStr">
        <is>
          <t>07:15</t>
        </is>
      </c>
      <c r="H63" t="inlineStr">
        <is>
          <t>08:00</t>
        </is>
      </c>
      <c r="I63" t="inlineStr">
        <is>
          <t>CLASE</t>
        </is>
      </c>
      <c r="J63" t="inlineStr">
        <is>
          <t>CS101</t>
        </is>
      </c>
      <c r="K63" t="inlineStr">
        <is>
          <t>CAS</t>
        </is>
      </c>
      <c r="L63" t="inlineStr"/>
      <c r="M63" t="inlineStr"/>
      <c r="N63" t="inlineStr"/>
      <c r="O63" t="inlineStr"/>
      <c r="P63" t="inlineStr">
        <is>
          <t>CS101-CAS</t>
        </is>
      </c>
      <c r="Q63">
        <f>IF(I63="ENFASIS","ÉNFASIS "&amp;M63,IFERROR(VLOOKUP(J63,Grupos!$A$2:$D$100,4,FALSE),J63))</f>
        <v/>
      </c>
      <c r="R63">
        <f>O63&amp;IF(N63&lt;&gt;"",IF(O63&lt;&gt;""," · ","")&amp;"Con: "&amp;N63,"")</f>
        <v/>
      </c>
      <c r="S63">
        <f>C63&amp;"|"&amp;D63</f>
        <v/>
      </c>
      <c r="T63">
        <f>COUNTIF($S$2:S63,S63)</f>
        <v/>
      </c>
      <c r="U63">
        <f>S63&amp;"|"&amp;T63</f>
        <v/>
      </c>
      <c r="V63">
        <f>IFERROR(VLOOKUP(IF(I63="ENFASIS",LEFT(M63,FIND("+",M63&amp;"+")-1),J63),Direccion_Grupo!$A$2:$G$100,7,FALSE),"")</f>
        <v/>
      </c>
    </row>
    <row r="64">
      <c r="A64" t="n">
        <v>42</v>
      </c>
      <c r="B64" t="inlineStr">
        <is>
          <t>Quiñones Cabezas Marcos Vidal</t>
        </is>
      </c>
      <c r="C64" t="inlineStr">
        <is>
          <t>LUNES</t>
        </is>
      </c>
      <c r="D64" t="n">
        <v>2</v>
      </c>
      <c r="E64" t="n">
        <v>1</v>
      </c>
      <c r="F64" t="n">
        <v>2</v>
      </c>
      <c r="G64" t="inlineStr">
        <is>
          <t>07:15</t>
        </is>
      </c>
      <c r="H64" t="inlineStr">
        <is>
          <t>08:00</t>
        </is>
      </c>
      <c r="I64" t="inlineStr">
        <is>
          <t>CLASE</t>
        </is>
      </c>
      <c r="J64" t="inlineStr">
        <is>
          <t>CS102</t>
        </is>
      </c>
      <c r="K64" t="inlineStr">
        <is>
          <t>TEI</t>
        </is>
      </c>
      <c r="L64" t="inlineStr"/>
      <c r="M64" t="inlineStr"/>
      <c r="N64" t="inlineStr"/>
      <c r="O64" t="inlineStr"/>
      <c r="P64" t="inlineStr">
        <is>
          <t>CS102-TEI</t>
        </is>
      </c>
      <c r="Q64">
        <f>IF(I64="ENFASIS","ÉNFASIS "&amp;M64,IFERROR(VLOOKUP(J64,Grupos!$A$2:$D$100,4,FALSE),J64))</f>
        <v/>
      </c>
      <c r="R64">
        <f>O64&amp;IF(N64&lt;&gt;"",IF(O64&lt;&gt;""," · ","")&amp;"Con: "&amp;N64,"")</f>
        <v/>
      </c>
      <c r="S64">
        <f>C64&amp;"|"&amp;D64</f>
        <v/>
      </c>
      <c r="T64">
        <f>COUNTIF($S$2:S64,S64)</f>
        <v/>
      </c>
      <c r="U64">
        <f>S64&amp;"|"&amp;T64</f>
        <v/>
      </c>
      <c r="V64">
        <f>IFERROR(VLOOKUP(IF(I64="ENFASIS",LEFT(M64,FIND("+",M64&amp;"+")-1),J64),Direccion_Grupo!$A$2:$G$100,7,FALSE),"")</f>
        <v/>
      </c>
    </row>
    <row r="65">
      <c r="A65" t="n">
        <v>19</v>
      </c>
      <c r="B65" t="inlineStr">
        <is>
          <t>Fernández Vélez Alfredo Enrique</t>
        </is>
      </c>
      <c r="C65" t="inlineStr">
        <is>
          <t>LUNES</t>
        </is>
      </c>
      <c r="D65" t="n">
        <v>2</v>
      </c>
      <c r="E65" t="n">
        <v>1</v>
      </c>
      <c r="F65" t="n">
        <v>2</v>
      </c>
      <c r="G65" t="inlineStr">
        <is>
          <t>07:15</t>
        </is>
      </c>
      <c r="H65" t="inlineStr">
        <is>
          <t>08:00</t>
        </is>
      </c>
      <c r="I65" t="inlineStr">
        <is>
          <t>CLASE</t>
        </is>
      </c>
      <c r="J65" t="inlineStr">
        <is>
          <t>CS201</t>
        </is>
      </c>
      <c r="K65" t="inlineStr">
        <is>
          <t>TEI</t>
        </is>
      </c>
      <c r="L65" t="inlineStr"/>
      <c r="M65" t="inlineStr"/>
      <c r="N65" t="inlineStr"/>
      <c r="O65" t="inlineStr"/>
      <c r="P65" t="inlineStr">
        <is>
          <t>CS201-TEI</t>
        </is>
      </c>
      <c r="Q65">
        <f>IF(I65="ENFASIS","ÉNFASIS "&amp;M65,IFERROR(VLOOKUP(J65,Grupos!$A$2:$D$100,4,FALSE),J65))</f>
        <v/>
      </c>
      <c r="R65">
        <f>O65&amp;IF(N65&lt;&gt;"",IF(O65&lt;&gt;""," · ","")&amp;"Con: "&amp;N65,"")</f>
        <v/>
      </c>
      <c r="S65">
        <f>C65&amp;"|"&amp;D65</f>
        <v/>
      </c>
      <c r="T65">
        <f>COUNTIF($S$2:S65,S65)</f>
        <v/>
      </c>
      <c r="U65">
        <f>S65&amp;"|"&amp;T65</f>
        <v/>
      </c>
      <c r="V65">
        <f>IFERROR(VLOOKUP(IF(I65="ENFASIS",LEFT(M65,FIND("+",M65&amp;"+")-1),J65),Direccion_Grupo!$A$2:$G$100,7,FALSE),"")</f>
        <v/>
      </c>
    </row>
    <row r="66">
      <c r="A66" t="n">
        <v>12</v>
      </c>
      <c r="B66" t="inlineStr">
        <is>
          <t>Chillambo Quiñones María Rocío</t>
        </is>
      </c>
      <c r="C66" t="inlineStr">
        <is>
          <t>LUNES</t>
        </is>
      </c>
      <c r="D66" t="n">
        <v>2</v>
      </c>
      <c r="E66" t="n">
        <v>1</v>
      </c>
      <c r="F66" t="n">
        <v>2</v>
      </c>
      <c r="G66" t="inlineStr">
        <is>
          <t>07:15</t>
        </is>
      </c>
      <c r="H66" t="inlineStr">
        <is>
          <t>08:00</t>
        </is>
      </c>
      <c r="I66" t="inlineStr">
        <is>
          <t>CLASE</t>
        </is>
      </c>
      <c r="J66" t="inlineStr">
        <is>
          <t>CS202</t>
        </is>
      </c>
      <c r="K66" t="inlineStr">
        <is>
          <t>CNA</t>
        </is>
      </c>
      <c r="L66" t="inlineStr"/>
      <c r="M66" t="inlineStr"/>
      <c r="N66" t="inlineStr"/>
      <c r="O66" t="inlineStr"/>
      <c r="P66" t="inlineStr">
        <is>
          <t>CS202-CNA</t>
        </is>
      </c>
      <c r="Q66">
        <f>IF(I66="ENFASIS","ÉNFASIS "&amp;M66,IFERROR(VLOOKUP(J66,Grupos!$A$2:$D$100,4,FALSE),J66))</f>
        <v/>
      </c>
      <c r="R66">
        <f>O66&amp;IF(N66&lt;&gt;"",IF(O66&lt;&gt;""," · ","")&amp;"Con: "&amp;N66,"")</f>
        <v/>
      </c>
      <c r="S66">
        <f>C66&amp;"|"&amp;D66</f>
        <v/>
      </c>
      <c r="T66">
        <f>COUNTIF($S$2:S66,S66)</f>
        <v/>
      </c>
      <c r="U66">
        <f>S66&amp;"|"&amp;T66</f>
        <v/>
      </c>
      <c r="V66">
        <f>IFERROR(VLOOKUP(IF(I66="ENFASIS",LEFT(M66,FIND("+",M66&amp;"+")-1),J66),Direccion_Grupo!$A$2:$G$100,7,FALSE),"")</f>
        <v/>
      </c>
    </row>
    <row r="67">
      <c r="A67" t="n">
        <v>7</v>
      </c>
      <c r="B67" t="inlineStr">
        <is>
          <t>Casanova Casanova Johana Andrea</t>
        </is>
      </c>
      <c r="C67" t="inlineStr">
        <is>
          <t>LUNES</t>
        </is>
      </c>
      <c r="D67" t="n">
        <v>2</v>
      </c>
      <c r="E67" t="n">
        <v>1</v>
      </c>
      <c r="F67" t="n">
        <v>2</v>
      </c>
      <c r="G67" t="inlineStr">
        <is>
          <t>07:15</t>
        </is>
      </c>
      <c r="H67" t="inlineStr">
        <is>
          <t>08:00</t>
        </is>
      </c>
      <c r="I67" t="inlineStr">
        <is>
          <t>ORIENTACION</t>
        </is>
      </c>
      <c r="J67" t="inlineStr">
        <is>
          <t>ORIENT</t>
        </is>
      </c>
      <c r="K67" t="inlineStr">
        <is>
          <t>ORIENTACIÓN ESCOLAR</t>
        </is>
      </c>
      <c r="L67" t="inlineStr"/>
      <c r="M67" t="inlineStr"/>
      <c r="N67" t="inlineStr"/>
      <c r="O67" t="inlineStr">
        <is>
          <t>Jornada 07:30 a 14:30</t>
        </is>
      </c>
      <c r="P67" t="inlineStr"/>
      <c r="Q67">
        <f>IF(I67="ENFASIS","ÉNFASIS "&amp;M67,IFERROR(VLOOKUP(J67,Grupos!$A$2:$D$100,4,FALSE),J67))</f>
        <v/>
      </c>
      <c r="R67">
        <f>O67&amp;IF(N67&lt;&gt;"",IF(O67&lt;&gt;""," · ","")&amp;"Con: "&amp;N67,"")</f>
        <v/>
      </c>
      <c r="S67">
        <f>C67&amp;"|"&amp;D67</f>
        <v/>
      </c>
      <c r="T67">
        <f>COUNTIF($S$2:S67,S67)</f>
        <v/>
      </c>
      <c r="U67">
        <f>S67&amp;"|"&amp;T67</f>
        <v/>
      </c>
      <c r="V67">
        <f>IFERROR(VLOOKUP(IF(I67="ENFASIS",LEFT(M67,FIND("+",M67&amp;"+")-1),J67),Direccion_Grupo!$A$2:$G$100,7,FALSE),"")</f>
        <v/>
      </c>
    </row>
    <row r="68">
      <c r="A68" t="n">
        <v>56</v>
      </c>
      <c r="B68" t="inlineStr">
        <is>
          <t>Ortiz Estacio Martha Cecilia</t>
        </is>
      </c>
      <c r="C68" t="inlineStr">
        <is>
          <t>LUNES</t>
        </is>
      </c>
      <c r="D68" t="n">
        <v>2</v>
      </c>
      <c r="E68" t="n">
        <v>1</v>
      </c>
      <c r="F68" t="n">
        <v>2</v>
      </c>
      <c r="G68" t="inlineStr">
        <is>
          <t>07:15</t>
        </is>
      </c>
      <c r="H68" t="inlineStr">
        <is>
          <t>08:00</t>
        </is>
      </c>
      <c r="I68" t="inlineStr">
        <is>
          <t>TUTORIA</t>
        </is>
      </c>
      <c r="J68" t="inlineStr">
        <is>
          <t>PTAFI</t>
        </is>
      </c>
      <c r="K68" t="inlineStr">
        <is>
          <t>TUTORÍA PTAFI</t>
        </is>
      </c>
      <c r="L68" t="inlineStr"/>
      <c r="M68" t="inlineStr"/>
      <c r="N68" t="inlineStr"/>
      <c r="O68" t="inlineStr">
        <is>
          <t>Jornada 06:30 a 12:00</t>
        </is>
      </c>
      <c r="P68" t="inlineStr"/>
      <c r="Q68">
        <f>IF(I68="ENFASIS","ÉNFASIS "&amp;M68,IFERROR(VLOOKUP(J68,Grupos!$A$2:$D$100,4,FALSE),J68))</f>
        <v/>
      </c>
      <c r="R68">
        <f>O68&amp;IF(N68&lt;&gt;"",IF(O68&lt;&gt;""," · ","")&amp;"Con: "&amp;N68,"")</f>
        <v/>
      </c>
      <c r="S68">
        <f>C68&amp;"|"&amp;D68</f>
        <v/>
      </c>
      <c r="T68">
        <f>COUNTIF($S$2:S68,S68)</f>
        <v/>
      </c>
      <c r="U68">
        <f>S68&amp;"|"&amp;T68</f>
        <v/>
      </c>
      <c r="V68">
        <f>IFERROR(VLOOKUP(IF(I68="ENFASIS",LEFT(M68,FIND("+",M68&amp;"+")-1),J68),Direccion_Grupo!$A$2:$G$100,7,FALSE),"")</f>
        <v/>
      </c>
    </row>
    <row r="69">
      <c r="A69" t="n">
        <v>44</v>
      </c>
      <c r="B69" t="inlineStr">
        <is>
          <t>Samaniego Angulo Flor Mireya</t>
        </is>
      </c>
      <c r="C69" t="inlineStr">
        <is>
          <t>LUNES</t>
        </is>
      </c>
      <c r="D69" t="n">
        <v>2</v>
      </c>
      <c r="E69" t="n">
        <v>1</v>
      </c>
      <c r="F69" t="n">
        <v>2</v>
      </c>
      <c r="G69" t="inlineStr">
        <is>
          <t>07:15</t>
        </is>
      </c>
      <c r="H69" t="inlineStr">
        <is>
          <t>08:00</t>
        </is>
      </c>
      <c r="I69" t="inlineStr">
        <is>
          <t>ENFASIS</t>
        </is>
      </c>
      <c r="J69" t="inlineStr"/>
      <c r="K69" t="inlineStr">
        <is>
          <t>ART</t>
        </is>
      </c>
      <c r="L69" t="inlineStr">
        <is>
          <t>0701</t>
        </is>
      </c>
      <c r="M69" t="inlineStr">
        <is>
          <t>0701</t>
        </is>
      </c>
      <c r="N69" t="inlineStr">
        <is>
          <t>Valverde Montaño María Teresa (CAS)</t>
        </is>
      </c>
      <c r="O69" t="inlineStr">
        <is>
          <t>PAREJA: comparten el énfasis y alternan por semana</t>
        </is>
      </c>
      <c r="P69" t="inlineStr">
        <is>
          <t>ENFASIS-0701</t>
        </is>
      </c>
      <c r="Q69">
        <f>IF(I69="ENFASIS","ÉNFASIS "&amp;M69,IFERROR(VLOOKUP(J69,Grupos!$A$2:$D$100,4,FALSE),J69))</f>
        <v/>
      </c>
      <c r="R69">
        <f>O69&amp;IF(N69&lt;&gt;"",IF(O69&lt;&gt;""," · ","")&amp;"Con: "&amp;N69,"")</f>
        <v/>
      </c>
      <c r="S69">
        <f>C69&amp;"|"&amp;D69</f>
        <v/>
      </c>
      <c r="T69">
        <f>COUNTIF($S$2:S69,S69)</f>
        <v/>
      </c>
      <c r="U69">
        <f>S69&amp;"|"&amp;T69</f>
        <v/>
      </c>
      <c r="V69">
        <f>IFERROR(VLOOKUP(IF(I69="ENFASIS",LEFT(M69,FIND("+",M69&amp;"+")-1),J69),Direccion_Grupo!$A$2:$G$100,7,FALSE),"")</f>
        <v/>
      </c>
    </row>
    <row r="70">
      <c r="A70" t="n">
        <v>51</v>
      </c>
      <c r="B70" t="inlineStr">
        <is>
          <t>Valverde Montaño María Teresa</t>
        </is>
      </c>
      <c r="C70" t="inlineStr">
        <is>
          <t>LUNES</t>
        </is>
      </c>
      <c r="D70" t="n">
        <v>2</v>
      </c>
      <c r="E70" t="n">
        <v>1</v>
      </c>
      <c r="F70" t="n">
        <v>2</v>
      </c>
      <c r="G70" t="inlineStr">
        <is>
          <t>07:15</t>
        </is>
      </c>
      <c r="H70" t="inlineStr">
        <is>
          <t>08:00</t>
        </is>
      </c>
      <c r="I70" t="inlineStr">
        <is>
          <t>ENFASIS</t>
        </is>
      </c>
      <c r="J70" t="inlineStr"/>
      <c r="K70" t="inlineStr">
        <is>
          <t>CAS</t>
        </is>
      </c>
      <c r="L70" t="inlineStr">
        <is>
          <t>0701</t>
        </is>
      </c>
      <c r="M70" t="inlineStr">
        <is>
          <t>0701</t>
        </is>
      </c>
      <c r="N70" t="inlineStr">
        <is>
          <t>Samaniego Angulo Flor Mireya (ART)</t>
        </is>
      </c>
      <c r="O70" t="inlineStr">
        <is>
          <t>PAREJA: comparten el énfasis y alternan por semana</t>
        </is>
      </c>
      <c r="P70" t="inlineStr">
        <is>
          <t>ENFASIS-0701</t>
        </is>
      </c>
      <c r="Q70">
        <f>IF(I70="ENFASIS","ÉNFASIS "&amp;M70,IFERROR(VLOOKUP(J70,Grupos!$A$2:$D$100,4,FALSE),J70))</f>
        <v/>
      </c>
      <c r="R70">
        <f>O70&amp;IF(N70&lt;&gt;"",IF(O70&lt;&gt;""," · ","")&amp;"Con: "&amp;N70,"")</f>
        <v/>
      </c>
      <c r="S70">
        <f>C70&amp;"|"&amp;D70</f>
        <v/>
      </c>
      <c r="T70">
        <f>COUNTIF($S$2:S70,S70)</f>
        <v/>
      </c>
      <c r="U70">
        <f>S70&amp;"|"&amp;T70</f>
        <v/>
      </c>
      <c r="V70">
        <f>IFERROR(VLOOKUP(IF(I70="ENFASIS",LEFT(M70,FIND("+",M70&amp;"+")-1),J70),Direccion_Grupo!$A$2:$G$100,7,FALSE),"")</f>
        <v/>
      </c>
    </row>
    <row r="71">
      <c r="A71" t="n">
        <v>34</v>
      </c>
      <c r="B71" t="inlineStr">
        <is>
          <t>Ordóñez Tenorio Jaime Marcial</t>
        </is>
      </c>
      <c r="C71" t="inlineStr">
        <is>
          <t>LUNES</t>
        </is>
      </c>
      <c r="D71" t="n">
        <v>2</v>
      </c>
      <c r="E71" t="n">
        <v>1</v>
      </c>
      <c r="F71" t="n">
        <v>2</v>
      </c>
      <c r="G71" t="inlineStr">
        <is>
          <t>07:15</t>
        </is>
      </c>
      <c r="H71" t="inlineStr">
        <is>
          <t>08:00</t>
        </is>
      </c>
      <c r="I71" t="inlineStr">
        <is>
          <t>ENFASIS</t>
        </is>
      </c>
      <c r="J71" t="inlineStr"/>
      <c r="K71" t="inlineStr">
        <is>
          <t>CNA</t>
        </is>
      </c>
      <c r="L71" t="inlineStr">
        <is>
          <t>0702</t>
        </is>
      </c>
      <c r="M71" t="inlineStr">
        <is>
          <t>0702</t>
        </is>
      </c>
      <c r="N71" t="inlineStr">
        <is>
          <t>Armero Dájome Jesús (ERD)</t>
        </is>
      </c>
      <c r="O71" t="inlineStr">
        <is>
          <t>PAREJA: comparten el énfasis y alternan por semana</t>
        </is>
      </c>
      <c r="P71" t="inlineStr">
        <is>
          <t>ENFASIS-0702</t>
        </is>
      </c>
      <c r="Q71">
        <f>IF(I71="ENFASIS","ÉNFASIS "&amp;M71,IFERROR(VLOOKUP(J71,Grupos!$A$2:$D$100,4,FALSE),J71))</f>
        <v/>
      </c>
      <c r="R71">
        <f>O71&amp;IF(N71&lt;&gt;"",IF(O71&lt;&gt;""," · ","")&amp;"Con: "&amp;N71,"")</f>
        <v/>
      </c>
      <c r="S71">
        <f>C71&amp;"|"&amp;D71</f>
        <v/>
      </c>
      <c r="T71">
        <f>COUNTIF($S$2:S71,S71)</f>
        <v/>
      </c>
      <c r="U71">
        <f>S71&amp;"|"&amp;T71</f>
        <v/>
      </c>
      <c r="V71">
        <f>IFERROR(VLOOKUP(IF(I71="ENFASIS",LEFT(M71,FIND("+",M71&amp;"+")-1),J71),Direccion_Grupo!$A$2:$G$100,7,FALSE),"")</f>
        <v/>
      </c>
    </row>
    <row r="72">
      <c r="A72" t="n">
        <v>4</v>
      </c>
      <c r="B72" t="inlineStr">
        <is>
          <t>Arizala Castro Roberto Carlos</t>
        </is>
      </c>
      <c r="C72" t="inlineStr">
        <is>
          <t>LUNES</t>
        </is>
      </c>
      <c r="D72" t="n">
        <v>2</v>
      </c>
      <c r="E72" t="n">
        <v>1</v>
      </c>
      <c r="F72" t="n">
        <v>2</v>
      </c>
      <c r="G72" t="inlineStr">
        <is>
          <t>07:15</t>
        </is>
      </c>
      <c r="H72" t="inlineStr">
        <is>
          <t>08:00</t>
        </is>
      </c>
      <c r="I72" t="inlineStr">
        <is>
          <t>ENFASIS</t>
        </is>
      </c>
      <c r="J72" t="inlineStr"/>
      <c r="K72" t="inlineStr">
        <is>
          <t>ERD</t>
        </is>
      </c>
      <c r="L72" t="inlineStr">
        <is>
          <t>0702</t>
        </is>
      </c>
      <c r="M72" t="inlineStr">
        <is>
          <t>0702</t>
        </is>
      </c>
      <c r="N72" t="inlineStr">
        <is>
          <t>Ordóñez Tenorio Jaime Marcial (CNA)</t>
        </is>
      </c>
      <c r="O72" t="inlineStr">
        <is>
          <t>PAREJA: comparten el énfasis y alternan por semana</t>
        </is>
      </c>
      <c r="P72" t="inlineStr">
        <is>
          <t>ENFASIS-0702</t>
        </is>
      </c>
      <c r="Q72">
        <f>IF(I72="ENFASIS","ÉNFASIS "&amp;M72,IFERROR(VLOOKUP(J72,Grupos!$A$2:$D$100,4,FALSE),J72))</f>
        <v/>
      </c>
      <c r="R72">
        <f>O72&amp;IF(N72&lt;&gt;"",IF(O72&lt;&gt;""," · ","")&amp;"Con: "&amp;N72,"")</f>
        <v/>
      </c>
      <c r="S72">
        <f>C72&amp;"|"&amp;D72</f>
        <v/>
      </c>
      <c r="T72">
        <f>COUNTIF($S$2:S72,S72)</f>
        <v/>
      </c>
      <c r="U72">
        <f>S72&amp;"|"&amp;T72</f>
        <v/>
      </c>
      <c r="V72">
        <f>IFERROR(VLOOKUP(IF(I72="ENFASIS",LEFT(M72,FIND("+",M72&amp;"+")-1),J72),Direccion_Grupo!$A$2:$G$100,7,FALSE),"")</f>
        <v/>
      </c>
    </row>
    <row r="73">
      <c r="A73" t="n">
        <v>8</v>
      </c>
      <c r="B73" t="inlineStr">
        <is>
          <t>Casanova Quiñones Yoli del Carmen</t>
        </is>
      </c>
      <c r="C73" t="inlineStr">
        <is>
          <t>LUNES</t>
        </is>
      </c>
      <c r="D73" t="n">
        <v>2</v>
      </c>
      <c r="E73" t="n">
        <v>1</v>
      </c>
      <c r="F73" t="n">
        <v>2</v>
      </c>
      <c r="G73" t="inlineStr">
        <is>
          <t>07:15</t>
        </is>
      </c>
      <c r="H73" t="inlineStr">
        <is>
          <t>08:00</t>
        </is>
      </c>
      <c r="I73" t="inlineStr">
        <is>
          <t>ENFASIS</t>
        </is>
      </c>
      <c r="J73" t="inlineStr"/>
      <c r="K73" t="inlineStr">
        <is>
          <t>ETR</t>
        </is>
      </c>
      <c r="L73" t="inlineStr">
        <is>
          <t>0703</t>
        </is>
      </c>
      <c r="M73" t="inlineStr">
        <is>
          <t>0703</t>
        </is>
      </c>
      <c r="N73" t="inlineStr">
        <is>
          <t>Quintero Ramírez María del Carmen (CSI)</t>
        </is>
      </c>
      <c r="O73" t="inlineStr">
        <is>
          <t>PAREJA: comparten el énfasis y alternan por semana</t>
        </is>
      </c>
      <c r="P73" t="inlineStr">
        <is>
          <t>ENFASIS-0703</t>
        </is>
      </c>
      <c r="Q73">
        <f>IF(I73="ENFASIS","ÉNFASIS "&amp;M73,IFERROR(VLOOKUP(J73,Grupos!$A$2:$D$100,4,FALSE),J73))</f>
        <v/>
      </c>
      <c r="R73">
        <f>O73&amp;IF(N73&lt;&gt;"",IF(O73&lt;&gt;""," · ","")&amp;"Con: "&amp;N73,"")</f>
        <v/>
      </c>
      <c r="S73">
        <f>C73&amp;"|"&amp;D73</f>
        <v/>
      </c>
      <c r="T73">
        <f>COUNTIF($S$2:S73,S73)</f>
        <v/>
      </c>
      <c r="U73">
        <f>S73&amp;"|"&amp;T73</f>
        <v/>
      </c>
      <c r="V73">
        <f>IFERROR(VLOOKUP(IF(I73="ENFASIS",LEFT(M73,FIND("+",M73&amp;"+")-1),J73),Direccion_Grupo!$A$2:$G$100,7,FALSE),"")</f>
        <v/>
      </c>
    </row>
    <row r="74">
      <c r="A74" t="n">
        <v>41</v>
      </c>
      <c r="B74" t="inlineStr">
        <is>
          <t>Quintero Ramírez María del Carmen</t>
        </is>
      </c>
      <c r="C74" t="inlineStr">
        <is>
          <t>LUNES</t>
        </is>
      </c>
      <c r="D74" t="n">
        <v>2</v>
      </c>
      <c r="E74" t="n">
        <v>1</v>
      </c>
      <c r="F74" t="n">
        <v>2</v>
      </c>
      <c r="G74" t="inlineStr">
        <is>
          <t>07:15</t>
        </is>
      </c>
      <c r="H74" t="inlineStr">
        <is>
          <t>08:00</t>
        </is>
      </c>
      <c r="I74" t="inlineStr">
        <is>
          <t>ENFASIS</t>
        </is>
      </c>
      <c r="J74" t="inlineStr"/>
      <c r="K74" t="inlineStr">
        <is>
          <t>CSI</t>
        </is>
      </c>
      <c r="L74" t="inlineStr">
        <is>
          <t>0703</t>
        </is>
      </c>
      <c r="M74" t="inlineStr">
        <is>
          <t>0703</t>
        </is>
      </c>
      <c r="N74" t="inlineStr">
        <is>
          <t>Casanova Quiñones Yoli del Carmen (ETR)</t>
        </is>
      </c>
      <c r="O74" t="inlineStr">
        <is>
          <t>PAREJA: comparten el énfasis y alternan por semana</t>
        </is>
      </c>
      <c r="P74" t="inlineStr">
        <is>
          <t>ENFASIS-0703</t>
        </is>
      </c>
      <c r="Q74">
        <f>IF(I74="ENFASIS","ÉNFASIS "&amp;M74,IFERROR(VLOOKUP(J74,Grupos!$A$2:$D$100,4,FALSE),J74))</f>
        <v/>
      </c>
      <c r="R74">
        <f>O74&amp;IF(N74&lt;&gt;"",IF(O74&lt;&gt;""," · ","")&amp;"Con: "&amp;N74,"")</f>
        <v/>
      </c>
      <c r="S74">
        <f>C74&amp;"|"&amp;D74</f>
        <v/>
      </c>
      <c r="T74">
        <f>COUNTIF($S$2:S74,S74)</f>
        <v/>
      </c>
      <c r="U74">
        <f>S74&amp;"|"&amp;T74</f>
        <v/>
      </c>
      <c r="V74">
        <f>IFERROR(VLOOKUP(IF(I74="ENFASIS",LEFT(M74,FIND("+",M74&amp;"+")-1),J74),Direccion_Grupo!$A$2:$G$100,7,FALSE),"")</f>
        <v/>
      </c>
    </row>
    <row r="75">
      <c r="A75" t="n">
        <v>3</v>
      </c>
      <c r="B75" t="inlineStr">
        <is>
          <t>Arboleda Ortiz Luz América</t>
        </is>
      </c>
      <c r="C75" t="inlineStr">
        <is>
          <t>LUNES</t>
        </is>
      </c>
      <c r="D75" t="n">
        <v>2</v>
      </c>
      <c r="E75" t="n">
        <v>1</v>
      </c>
      <c r="F75" t="n">
        <v>2</v>
      </c>
      <c r="G75" t="inlineStr">
        <is>
          <t>07:15</t>
        </is>
      </c>
      <c r="H75" t="inlineStr">
        <is>
          <t>08:00</t>
        </is>
      </c>
      <c r="I75" t="inlineStr">
        <is>
          <t>ENFASIS</t>
        </is>
      </c>
      <c r="J75" t="inlineStr"/>
      <c r="K75" t="inlineStr">
        <is>
          <t>ART</t>
        </is>
      </c>
      <c r="L75" t="inlineStr">
        <is>
          <t>D5-10°</t>
        </is>
      </c>
      <c r="M75" t="inlineStr">
        <is>
          <t>1001</t>
        </is>
      </c>
      <c r="N75" t="inlineStr">
        <is>
          <t>Montaño Anchico Favio Héctor (CAS); Ramírez Guerra Jimmy Eduardo (ERD); Villota Rubio Héctor Hugo (CNA)</t>
        </is>
      </c>
      <c r="O75" t="inlineStr">
        <is>
          <t>EQUIPO DE 4: cada docente atiende un grupo de estudiantes en su área</t>
        </is>
      </c>
      <c r="P75" t="inlineStr">
        <is>
          <t>ENFASIS-D5-10°</t>
        </is>
      </c>
      <c r="Q75">
        <f>IF(I75="ENFASIS","ÉNFASIS "&amp;M75,IFERROR(VLOOKUP(J75,Grupos!$A$2:$D$100,4,FALSE),J75))</f>
        <v/>
      </c>
      <c r="R75">
        <f>O75&amp;IF(N75&lt;&gt;"",IF(O75&lt;&gt;""," · ","")&amp;"Con: "&amp;N75,"")</f>
        <v/>
      </c>
      <c r="S75">
        <f>C75&amp;"|"&amp;D75</f>
        <v/>
      </c>
      <c r="T75">
        <f>COUNTIF($S$2:S75,S75)</f>
        <v/>
      </c>
      <c r="U75">
        <f>S75&amp;"|"&amp;T75</f>
        <v/>
      </c>
      <c r="V75">
        <f>IFERROR(VLOOKUP(IF(I75="ENFASIS",LEFT(M75,FIND("+",M75&amp;"+")-1),J75),Direccion_Grupo!$A$2:$G$100,7,FALSE),"")</f>
        <v/>
      </c>
    </row>
    <row r="76">
      <c r="A76" t="n">
        <v>30</v>
      </c>
      <c r="B76" t="inlineStr">
        <is>
          <t>Montaño Anchico Favio Héctor</t>
        </is>
      </c>
      <c r="C76" t="inlineStr">
        <is>
          <t>LUNES</t>
        </is>
      </c>
      <c r="D76" t="n">
        <v>2</v>
      </c>
      <c r="E76" t="n">
        <v>1</v>
      </c>
      <c r="F76" t="n">
        <v>2</v>
      </c>
      <c r="G76" t="inlineStr">
        <is>
          <t>07:15</t>
        </is>
      </c>
      <c r="H76" t="inlineStr">
        <is>
          <t>08:00</t>
        </is>
      </c>
      <c r="I76" t="inlineStr">
        <is>
          <t>ENFASIS</t>
        </is>
      </c>
      <c r="J76" t="inlineStr"/>
      <c r="K76" t="inlineStr">
        <is>
          <t>CAS</t>
        </is>
      </c>
      <c r="L76" t="inlineStr">
        <is>
          <t>D5-10°</t>
        </is>
      </c>
      <c r="M76" t="inlineStr">
        <is>
          <t>1001</t>
        </is>
      </c>
      <c r="N76" t="inlineStr">
        <is>
          <t>Arboleda Ortiz Luz América (ART); Ramírez Guerra Jimmy Eduardo (ERD); Villota Rubio Héctor Hugo (CNA)</t>
        </is>
      </c>
      <c r="O76" t="inlineStr">
        <is>
          <t>EQUIPO DE 4: cada docente atiende un grupo de estudiantes en su área</t>
        </is>
      </c>
      <c r="P76" t="inlineStr">
        <is>
          <t>ENFASIS-D5-10°</t>
        </is>
      </c>
      <c r="Q76">
        <f>IF(I76="ENFASIS","ÉNFASIS "&amp;M76,IFERROR(VLOOKUP(J76,Grupos!$A$2:$D$100,4,FALSE),J76))</f>
        <v/>
      </c>
      <c r="R76">
        <f>O76&amp;IF(N76&lt;&gt;"",IF(O76&lt;&gt;""," · ","")&amp;"Con: "&amp;N76,"")</f>
        <v/>
      </c>
      <c r="S76">
        <f>C76&amp;"|"&amp;D76</f>
        <v/>
      </c>
      <c r="T76">
        <f>COUNTIF($S$2:S76,S76)</f>
        <v/>
      </c>
      <c r="U76">
        <f>S76&amp;"|"&amp;T76</f>
        <v/>
      </c>
      <c r="V76">
        <f>IFERROR(VLOOKUP(IF(I76="ENFASIS",LEFT(M76,FIND("+",M76&amp;"+")-1),J76),Direccion_Grupo!$A$2:$G$100,7,FALSE),"")</f>
        <v/>
      </c>
    </row>
    <row r="77">
      <c r="A77" t="n">
        <v>43</v>
      </c>
      <c r="B77" t="inlineStr">
        <is>
          <t>Ramírez Guerra Jimmy Eduardo</t>
        </is>
      </c>
      <c r="C77" t="inlineStr">
        <is>
          <t>LUNES</t>
        </is>
      </c>
      <c r="D77" t="n">
        <v>2</v>
      </c>
      <c r="E77" t="n">
        <v>1</v>
      </c>
      <c r="F77" t="n">
        <v>2</v>
      </c>
      <c r="G77" t="inlineStr">
        <is>
          <t>07:15</t>
        </is>
      </c>
      <c r="H77" t="inlineStr">
        <is>
          <t>08:00</t>
        </is>
      </c>
      <c r="I77" t="inlineStr">
        <is>
          <t>ENFASIS</t>
        </is>
      </c>
      <c r="J77" t="inlineStr"/>
      <c r="K77" t="inlineStr">
        <is>
          <t>ERD</t>
        </is>
      </c>
      <c r="L77" t="inlineStr">
        <is>
          <t>D5-10°</t>
        </is>
      </c>
      <c r="M77" t="inlineStr">
        <is>
          <t>1001</t>
        </is>
      </c>
      <c r="N77" t="inlineStr">
        <is>
          <t>Arboleda Ortiz Luz América (ART); Montaño Anchico Favio Héctor (CAS); Villota Rubio Héctor Hugo (CNA)</t>
        </is>
      </c>
      <c r="O77" t="inlineStr">
        <is>
          <t>EQUIPO DE 4: cada docente atiende un grupo de estudiantes en su área</t>
        </is>
      </c>
      <c r="P77" t="inlineStr">
        <is>
          <t>ENFASIS-D5-10°</t>
        </is>
      </c>
      <c r="Q77">
        <f>IF(I77="ENFASIS","ÉNFASIS "&amp;M77,IFERROR(VLOOKUP(J77,Grupos!$A$2:$D$100,4,FALSE),J77))</f>
        <v/>
      </c>
      <c r="R77">
        <f>O77&amp;IF(N77&lt;&gt;"",IF(O77&lt;&gt;""," · ","")&amp;"Con: "&amp;N77,"")</f>
        <v/>
      </c>
      <c r="S77">
        <f>C77&amp;"|"&amp;D77</f>
        <v/>
      </c>
      <c r="T77">
        <f>COUNTIF($S$2:S77,S77)</f>
        <v/>
      </c>
      <c r="U77">
        <f>S77&amp;"|"&amp;T77</f>
        <v/>
      </c>
      <c r="V77">
        <f>IFERROR(VLOOKUP(IF(I77="ENFASIS",LEFT(M77,FIND("+",M77&amp;"+")-1),J77),Direccion_Grupo!$A$2:$G$100,7,FALSE),"")</f>
        <v/>
      </c>
    </row>
    <row r="78">
      <c r="A78" t="n">
        <v>53</v>
      </c>
      <c r="B78" t="inlineStr">
        <is>
          <t>Villota Rubio Héctor Hugo</t>
        </is>
      </c>
      <c r="C78" t="inlineStr">
        <is>
          <t>LUNES</t>
        </is>
      </c>
      <c r="D78" t="n">
        <v>2</v>
      </c>
      <c r="E78" t="n">
        <v>1</v>
      </c>
      <c r="F78" t="n">
        <v>2</v>
      </c>
      <c r="G78" t="inlineStr">
        <is>
          <t>07:15</t>
        </is>
      </c>
      <c r="H78" t="inlineStr">
        <is>
          <t>08:00</t>
        </is>
      </c>
      <c r="I78" t="inlineStr">
        <is>
          <t>ENFASIS</t>
        </is>
      </c>
      <c r="J78" t="inlineStr"/>
      <c r="K78" t="inlineStr">
        <is>
          <t>CNA</t>
        </is>
      </c>
      <c r="L78" t="inlineStr">
        <is>
          <t>D5-10°</t>
        </is>
      </c>
      <c r="M78" t="inlineStr">
        <is>
          <t>1001</t>
        </is>
      </c>
      <c r="N78" t="inlineStr">
        <is>
          <t>Arboleda Ortiz Luz América (ART); Montaño Anchico Favio Héctor (CAS); Ramírez Guerra Jimmy Eduardo (ERD)</t>
        </is>
      </c>
      <c r="O78" t="inlineStr">
        <is>
          <t>EQUIPO DE 4: cada docente atiende un grupo de estudiantes en su área</t>
        </is>
      </c>
      <c r="P78" t="inlineStr">
        <is>
          <t>ENFASIS-D5-10°</t>
        </is>
      </c>
      <c r="Q78">
        <f>IF(I78="ENFASIS","ÉNFASIS "&amp;M78,IFERROR(VLOOKUP(J78,Grupos!$A$2:$D$100,4,FALSE),J78))</f>
        <v/>
      </c>
      <c r="R78">
        <f>O78&amp;IF(N78&lt;&gt;"",IF(O78&lt;&gt;""," · ","")&amp;"Con: "&amp;N78,"")</f>
        <v/>
      </c>
      <c r="S78">
        <f>C78&amp;"|"&amp;D78</f>
        <v/>
      </c>
      <c r="T78">
        <f>COUNTIF($S$2:S78,S78)</f>
        <v/>
      </c>
      <c r="U78">
        <f>S78&amp;"|"&amp;T78</f>
        <v/>
      </c>
      <c r="V78">
        <f>IFERROR(VLOOKUP(IF(I78="ENFASIS",LEFT(M78,FIND("+",M78&amp;"+")-1),J78),Direccion_Grupo!$A$2:$G$100,7,FALSE),"")</f>
        <v/>
      </c>
    </row>
    <row r="79">
      <c r="A79" t="n">
        <v>50</v>
      </c>
      <c r="B79" t="inlineStr">
        <is>
          <t>Valencia Solís Gloria Alexa</t>
        </is>
      </c>
      <c r="C79" t="inlineStr">
        <is>
          <t>LUNES</t>
        </is>
      </c>
      <c r="D79" t="n">
        <v>3</v>
      </c>
      <c r="E79" t="n">
        <v>2</v>
      </c>
      <c r="F79" t="n">
        <v>1</v>
      </c>
      <c r="G79" t="inlineStr">
        <is>
          <t>07:30</t>
        </is>
      </c>
      <c r="H79" t="inlineStr">
        <is>
          <t>08:30</t>
        </is>
      </c>
      <c r="I79" t="inlineStr">
        <is>
          <t>AREAS_MULTIPLES</t>
        </is>
      </c>
      <c r="J79" t="inlineStr">
        <is>
          <t>0001</t>
        </is>
      </c>
      <c r="K79" t="inlineStr">
        <is>
          <t>ÁREAS MÚLTIPLES</t>
        </is>
      </c>
      <c r="L79" t="inlineStr"/>
      <c r="M79" t="inlineStr"/>
      <c r="N79" t="inlineStr"/>
      <c r="O79" t="inlineStr">
        <is>
          <t>Maestro de aula: todas las áreas con su grupo</t>
        </is>
      </c>
      <c r="P79" t="inlineStr"/>
      <c r="Q79">
        <f>IF(I79="ENFASIS","ÉNFASIS "&amp;M79,IFERROR(VLOOKUP(J79,Grupos!$A$2:$D$100,4,FALSE),J79))</f>
        <v/>
      </c>
      <c r="R79">
        <f>O79&amp;IF(N79&lt;&gt;"",IF(O79&lt;&gt;""," · ","")&amp;"Con: "&amp;N79,"")</f>
        <v/>
      </c>
      <c r="S79">
        <f>C79&amp;"|"&amp;D79</f>
        <v/>
      </c>
      <c r="T79">
        <f>COUNTIF($S$2:S79,S79)</f>
        <v/>
      </c>
      <c r="U79">
        <f>S79&amp;"|"&amp;T79</f>
        <v/>
      </c>
      <c r="V79">
        <f>IFERROR(VLOOKUP(IF(I79="ENFASIS",LEFT(M79,FIND("+",M79&amp;"+")-1),J79),Direccion_Grupo!$A$2:$G$100,7,FALSE),"")</f>
        <v/>
      </c>
    </row>
    <row r="80">
      <c r="A80" t="n">
        <v>27</v>
      </c>
      <c r="B80" t="inlineStr">
        <is>
          <t>Martínez Álvarez Andrea Ascención</t>
        </is>
      </c>
      <c r="C80" t="inlineStr">
        <is>
          <t>LUNES</t>
        </is>
      </c>
      <c r="D80" t="n">
        <v>3</v>
      </c>
      <c r="E80" t="n">
        <v>2</v>
      </c>
      <c r="F80" t="n">
        <v>1</v>
      </c>
      <c r="G80" t="inlineStr">
        <is>
          <t>07:30</t>
        </is>
      </c>
      <c r="H80" t="inlineStr">
        <is>
          <t>08:30</t>
        </is>
      </c>
      <c r="I80" t="inlineStr">
        <is>
          <t>AREAS_MULTIPLES</t>
        </is>
      </c>
      <c r="J80" t="inlineStr">
        <is>
          <t>0002</t>
        </is>
      </c>
      <c r="K80" t="inlineStr">
        <is>
          <t>ÁREAS MÚLTIPLES</t>
        </is>
      </c>
      <c r="L80" t="inlineStr"/>
      <c r="M80" t="inlineStr"/>
      <c r="N80" t="inlineStr"/>
      <c r="O80" t="inlineStr">
        <is>
          <t>Maestro de aula: todas las áreas con su grupo</t>
        </is>
      </c>
      <c r="P80" t="inlineStr"/>
      <c r="Q80">
        <f>IF(I80="ENFASIS","ÉNFASIS "&amp;M80,IFERROR(VLOOKUP(J80,Grupos!$A$2:$D$100,4,FALSE),J80))</f>
        <v/>
      </c>
      <c r="R80">
        <f>O80&amp;IF(N80&lt;&gt;"",IF(O80&lt;&gt;""," · ","")&amp;"Con: "&amp;N80,"")</f>
        <v/>
      </c>
      <c r="S80">
        <f>C80&amp;"|"&amp;D80</f>
        <v/>
      </c>
      <c r="T80">
        <f>COUNTIF($S$2:S80,S80)</f>
        <v/>
      </c>
      <c r="U80">
        <f>S80&amp;"|"&amp;T80</f>
        <v/>
      </c>
      <c r="V80">
        <f>IFERROR(VLOOKUP(IF(I80="ENFASIS",LEFT(M80,FIND("+",M80&amp;"+")-1),J80),Direccion_Grupo!$A$2:$G$100,7,FALSE),"")</f>
        <v/>
      </c>
    </row>
    <row r="81">
      <c r="A81" t="n">
        <v>23</v>
      </c>
      <c r="B81" t="inlineStr">
        <is>
          <t>Landázuri Quiñones María Elia</t>
        </is>
      </c>
      <c r="C81" t="inlineStr">
        <is>
          <t>LUNES</t>
        </is>
      </c>
      <c r="D81" t="n">
        <v>3</v>
      </c>
      <c r="E81" t="n">
        <v>2</v>
      </c>
      <c r="F81" t="n">
        <v>1</v>
      </c>
      <c r="G81" t="inlineStr">
        <is>
          <t>08:20</t>
        </is>
      </c>
      <c r="H81" t="inlineStr">
        <is>
          <t>09:05</t>
        </is>
      </c>
      <c r="I81" t="inlineStr">
        <is>
          <t>AREAS_MULTIPLES</t>
        </is>
      </c>
      <c r="J81" t="inlineStr">
        <is>
          <t>0101</t>
        </is>
      </c>
      <c r="K81" t="inlineStr">
        <is>
          <t>ÁREAS MÚLTIPLES</t>
        </is>
      </c>
      <c r="L81" t="inlineStr"/>
      <c r="M81" t="inlineStr"/>
      <c r="N81" t="inlineStr"/>
      <c r="O81" t="inlineStr">
        <is>
          <t>Maestro de aula: todas las áreas con su grupo</t>
        </is>
      </c>
      <c r="P81" t="inlineStr"/>
      <c r="Q81">
        <f>IF(I81="ENFASIS","ÉNFASIS "&amp;M81,IFERROR(VLOOKUP(J81,Grupos!$A$2:$D$100,4,FALSE),J81))</f>
        <v/>
      </c>
      <c r="R81">
        <f>O81&amp;IF(N81&lt;&gt;"",IF(O81&lt;&gt;""," · ","")&amp;"Con: "&amp;N81,"")</f>
        <v/>
      </c>
      <c r="S81">
        <f>C81&amp;"|"&amp;D81</f>
        <v/>
      </c>
      <c r="T81">
        <f>COUNTIF($S$2:S81,S81)</f>
        <v/>
      </c>
      <c r="U81">
        <f>S81&amp;"|"&amp;T81</f>
        <v/>
      </c>
      <c r="V81">
        <f>IFERROR(VLOOKUP(IF(I81="ENFASIS",LEFT(M81,FIND("+",M81&amp;"+")-1),J81),Direccion_Grupo!$A$2:$G$100,7,FALSE),"")</f>
        <v/>
      </c>
    </row>
    <row r="82">
      <c r="A82" t="n">
        <v>45</v>
      </c>
      <c r="B82" t="inlineStr">
        <is>
          <t>Sinisterra Ana Lucía</t>
        </is>
      </c>
      <c r="C82" t="inlineStr">
        <is>
          <t>LUNES</t>
        </is>
      </c>
      <c r="D82" t="n">
        <v>3</v>
      </c>
      <c r="E82" t="n">
        <v>2</v>
      </c>
      <c r="F82" t="n">
        <v>1</v>
      </c>
      <c r="G82" t="inlineStr">
        <is>
          <t>08:20</t>
        </is>
      </c>
      <c r="H82" t="inlineStr">
        <is>
          <t>09:05</t>
        </is>
      </c>
      <c r="I82" t="inlineStr">
        <is>
          <t>AREAS_MULTIPLES</t>
        </is>
      </c>
      <c r="J82" t="inlineStr">
        <is>
          <t>0102</t>
        </is>
      </c>
      <c r="K82" t="inlineStr">
        <is>
          <t>ÁREAS MÚLTIPLES</t>
        </is>
      </c>
      <c r="L82" t="inlineStr"/>
      <c r="M82" t="inlineStr"/>
      <c r="N82" t="inlineStr"/>
      <c r="O82" t="inlineStr">
        <is>
          <t>Maestro de aula: todas las áreas con su grupo</t>
        </is>
      </c>
      <c r="P82" t="inlineStr"/>
      <c r="Q82">
        <f>IF(I82="ENFASIS","ÉNFASIS "&amp;M82,IFERROR(VLOOKUP(J82,Grupos!$A$2:$D$100,4,FALSE),J82))</f>
        <v/>
      </c>
      <c r="R82">
        <f>O82&amp;IF(N82&lt;&gt;"",IF(O82&lt;&gt;""," · ","")&amp;"Con: "&amp;N82,"")</f>
        <v/>
      </c>
      <c r="S82">
        <f>C82&amp;"|"&amp;D82</f>
        <v/>
      </c>
      <c r="T82">
        <f>COUNTIF($S$2:S82,S82)</f>
        <v/>
      </c>
      <c r="U82">
        <f>S82&amp;"|"&amp;T82</f>
        <v/>
      </c>
      <c r="V82">
        <f>IFERROR(VLOOKUP(IF(I82="ENFASIS",LEFT(M82,FIND("+",M82&amp;"+")-1),J82),Direccion_Grupo!$A$2:$G$100,7,FALSE),"")</f>
        <v/>
      </c>
    </row>
    <row r="83">
      <c r="A83" t="n">
        <v>13</v>
      </c>
      <c r="B83" t="inlineStr">
        <is>
          <t>Cortés Salazar María Ebelice</t>
        </is>
      </c>
      <c r="C83" t="inlineStr">
        <is>
          <t>LUNES</t>
        </is>
      </c>
      <c r="D83" t="n">
        <v>3</v>
      </c>
      <c r="E83" t="n">
        <v>2</v>
      </c>
      <c r="F83" t="n">
        <v>1</v>
      </c>
      <c r="G83" t="inlineStr">
        <is>
          <t>08:20</t>
        </is>
      </c>
      <c r="H83" t="inlineStr">
        <is>
          <t>09:05</t>
        </is>
      </c>
      <c r="I83" t="inlineStr">
        <is>
          <t>AREAS_MULTIPLES</t>
        </is>
      </c>
      <c r="J83" t="inlineStr">
        <is>
          <t>0201</t>
        </is>
      </c>
      <c r="K83" t="inlineStr">
        <is>
          <t>ÁREAS MÚLTIPLES</t>
        </is>
      </c>
      <c r="L83" t="inlineStr"/>
      <c r="M83" t="inlineStr"/>
      <c r="N83" t="inlineStr"/>
      <c r="O83" t="inlineStr">
        <is>
          <t>Maestro de aula: todas las áreas con su grupo</t>
        </is>
      </c>
      <c r="P83" t="inlineStr"/>
      <c r="Q83">
        <f>IF(I83="ENFASIS","ÉNFASIS "&amp;M83,IFERROR(VLOOKUP(J83,Grupos!$A$2:$D$100,4,FALSE),J83))</f>
        <v/>
      </c>
      <c r="R83">
        <f>O83&amp;IF(N83&lt;&gt;"",IF(O83&lt;&gt;""," · ","")&amp;"Con: "&amp;N83,"")</f>
        <v/>
      </c>
      <c r="S83">
        <f>C83&amp;"|"&amp;D83</f>
        <v/>
      </c>
      <c r="T83">
        <f>COUNTIF($S$2:S83,S83)</f>
        <v/>
      </c>
      <c r="U83">
        <f>S83&amp;"|"&amp;T83</f>
        <v/>
      </c>
      <c r="V83">
        <f>IFERROR(VLOOKUP(IF(I83="ENFASIS",LEFT(M83,FIND("+",M83&amp;"+")-1),J83),Direccion_Grupo!$A$2:$G$100,7,FALSE),"")</f>
        <v/>
      </c>
    </row>
    <row r="84">
      <c r="A84" t="n">
        <v>21</v>
      </c>
      <c r="B84" t="inlineStr">
        <is>
          <t>Garzón Quiñones Sixta Janina</t>
        </is>
      </c>
      <c r="C84" t="inlineStr">
        <is>
          <t>LUNES</t>
        </is>
      </c>
      <c r="D84" t="n">
        <v>3</v>
      </c>
      <c r="E84" t="n">
        <v>2</v>
      </c>
      <c r="F84" t="n">
        <v>1</v>
      </c>
      <c r="G84" t="inlineStr">
        <is>
          <t>08:20</t>
        </is>
      </c>
      <c r="H84" t="inlineStr">
        <is>
          <t>09:05</t>
        </is>
      </c>
      <c r="I84" t="inlineStr">
        <is>
          <t>AREAS_MULTIPLES</t>
        </is>
      </c>
      <c r="J84" t="inlineStr">
        <is>
          <t>0202</t>
        </is>
      </c>
      <c r="K84" t="inlineStr">
        <is>
          <t>ÁREAS MÚLTIPLES</t>
        </is>
      </c>
      <c r="L84" t="inlineStr"/>
      <c r="M84" t="inlineStr"/>
      <c r="N84" t="inlineStr"/>
      <c r="O84" t="inlineStr">
        <is>
          <t>Maestro de aula: todas las áreas con su grupo</t>
        </is>
      </c>
      <c r="P84" t="inlineStr"/>
      <c r="Q84">
        <f>IF(I84="ENFASIS","ÉNFASIS "&amp;M84,IFERROR(VLOOKUP(J84,Grupos!$A$2:$D$100,4,FALSE),J84))</f>
        <v/>
      </c>
      <c r="R84">
        <f>O84&amp;IF(N84&lt;&gt;"",IF(O84&lt;&gt;""," · ","")&amp;"Con: "&amp;N84,"")</f>
        <v/>
      </c>
      <c r="S84">
        <f>C84&amp;"|"&amp;D84</f>
        <v/>
      </c>
      <c r="T84">
        <f>COUNTIF($S$2:S84,S84)</f>
        <v/>
      </c>
      <c r="U84">
        <f>S84&amp;"|"&amp;T84</f>
        <v/>
      </c>
      <c r="V84">
        <f>IFERROR(VLOOKUP(IF(I84="ENFASIS",LEFT(M84,FIND("+",M84&amp;"+")-1),J84),Direccion_Grupo!$A$2:$G$100,7,FALSE),"")</f>
        <v/>
      </c>
    </row>
    <row r="85">
      <c r="A85" t="n">
        <v>46</v>
      </c>
      <c r="B85" t="inlineStr">
        <is>
          <t>Tenorio Cuero Lucy Bivian</t>
        </is>
      </c>
      <c r="C85" t="inlineStr">
        <is>
          <t>LUNES</t>
        </is>
      </c>
      <c r="D85" t="n">
        <v>3</v>
      </c>
      <c r="E85" t="n">
        <v>2</v>
      </c>
      <c r="F85" t="n">
        <v>1</v>
      </c>
      <c r="G85" t="inlineStr">
        <is>
          <t>08:20</t>
        </is>
      </c>
      <c r="H85" t="inlineStr">
        <is>
          <t>09:05</t>
        </is>
      </c>
      <c r="I85" t="inlineStr">
        <is>
          <t>AREAS_MULTIPLES</t>
        </is>
      </c>
      <c r="J85" t="inlineStr">
        <is>
          <t>0203</t>
        </is>
      </c>
      <c r="K85" t="inlineStr">
        <is>
          <t>ÁREAS MÚLTIPLES</t>
        </is>
      </c>
      <c r="L85" t="inlineStr"/>
      <c r="M85" t="inlineStr"/>
      <c r="N85" t="inlineStr"/>
      <c r="O85" t="inlineStr">
        <is>
          <t>Maestro de aula: todas las áreas con su grupo</t>
        </is>
      </c>
      <c r="P85" t="inlineStr"/>
      <c r="Q85">
        <f>IF(I85="ENFASIS","ÉNFASIS "&amp;M85,IFERROR(VLOOKUP(J85,Grupos!$A$2:$D$100,4,FALSE),J85))</f>
        <v/>
      </c>
      <c r="R85">
        <f>O85&amp;IF(N85&lt;&gt;"",IF(O85&lt;&gt;""," · ","")&amp;"Con: "&amp;N85,"")</f>
        <v/>
      </c>
      <c r="S85">
        <f>C85&amp;"|"&amp;D85</f>
        <v/>
      </c>
      <c r="T85">
        <f>COUNTIF($S$2:S85,S85)</f>
        <v/>
      </c>
      <c r="U85">
        <f>S85&amp;"|"&amp;T85</f>
        <v/>
      </c>
      <c r="V85">
        <f>IFERROR(VLOOKUP(IF(I85="ENFASIS",LEFT(M85,FIND("+",M85&amp;"+")-1),J85),Direccion_Grupo!$A$2:$G$100,7,FALSE),"")</f>
        <v/>
      </c>
    </row>
    <row r="86">
      <c r="A86" t="n">
        <v>48</v>
      </c>
      <c r="B86" t="inlineStr">
        <is>
          <t>Torres Segura Encarnación</t>
        </is>
      </c>
      <c r="C86" t="inlineStr">
        <is>
          <t>LUNES</t>
        </is>
      </c>
      <c r="D86" t="n">
        <v>3</v>
      </c>
      <c r="E86" t="n">
        <v>2</v>
      </c>
      <c r="F86" t="n">
        <v>1</v>
      </c>
      <c r="G86" t="inlineStr">
        <is>
          <t>08:20</t>
        </is>
      </c>
      <c r="H86" t="inlineStr">
        <is>
          <t>09:05</t>
        </is>
      </c>
      <c r="I86" t="inlineStr">
        <is>
          <t>AREAS_MULTIPLES</t>
        </is>
      </c>
      <c r="J86" t="inlineStr">
        <is>
          <t>0301</t>
        </is>
      </c>
      <c r="K86" t="inlineStr">
        <is>
          <t>ÁREAS MÚLTIPLES</t>
        </is>
      </c>
      <c r="L86" t="inlineStr"/>
      <c r="M86" t="inlineStr"/>
      <c r="N86" t="inlineStr"/>
      <c r="O86" t="inlineStr">
        <is>
          <t>Maestro de aula: todas las áreas con su grupo</t>
        </is>
      </c>
      <c r="P86" t="inlineStr"/>
      <c r="Q86">
        <f>IF(I86="ENFASIS","ÉNFASIS "&amp;M86,IFERROR(VLOOKUP(J86,Grupos!$A$2:$D$100,4,FALSE),J86))</f>
        <v/>
      </c>
      <c r="R86">
        <f>O86&amp;IF(N86&lt;&gt;"",IF(O86&lt;&gt;""," · ","")&amp;"Con: "&amp;N86,"")</f>
        <v/>
      </c>
      <c r="S86">
        <f>C86&amp;"|"&amp;D86</f>
        <v/>
      </c>
      <c r="T86">
        <f>COUNTIF($S$2:S86,S86)</f>
        <v/>
      </c>
      <c r="U86">
        <f>S86&amp;"|"&amp;T86</f>
        <v/>
      </c>
      <c r="V86">
        <f>IFERROR(VLOOKUP(IF(I86="ENFASIS",LEFT(M86,FIND("+",M86&amp;"+")-1),J86),Direccion_Grupo!$A$2:$G$100,7,FALSE),"")</f>
        <v/>
      </c>
    </row>
    <row r="87">
      <c r="A87" t="n">
        <v>24</v>
      </c>
      <c r="B87" t="inlineStr">
        <is>
          <t>Landázuri Gallón Teresa</t>
        </is>
      </c>
      <c r="C87" t="inlineStr">
        <is>
          <t>LUNES</t>
        </is>
      </c>
      <c r="D87" t="n">
        <v>3</v>
      </c>
      <c r="E87" t="n">
        <v>2</v>
      </c>
      <c r="F87" t="n">
        <v>1</v>
      </c>
      <c r="G87" t="inlineStr">
        <is>
          <t>08:20</t>
        </is>
      </c>
      <c r="H87" t="inlineStr">
        <is>
          <t>09:05</t>
        </is>
      </c>
      <c r="I87" t="inlineStr">
        <is>
          <t>AREAS_MULTIPLES</t>
        </is>
      </c>
      <c r="J87" t="inlineStr">
        <is>
          <t>0302</t>
        </is>
      </c>
      <c r="K87" t="inlineStr">
        <is>
          <t>ÁREAS MÚLTIPLES</t>
        </is>
      </c>
      <c r="L87" t="inlineStr"/>
      <c r="M87" t="inlineStr"/>
      <c r="N87" t="inlineStr"/>
      <c r="O87" t="inlineStr">
        <is>
          <t>Maestro de aula: todas las áreas con su grupo</t>
        </is>
      </c>
      <c r="P87" t="inlineStr"/>
      <c r="Q87">
        <f>IF(I87="ENFASIS","ÉNFASIS "&amp;M87,IFERROR(VLOOKUP(J87,Grupos!$A$2:$D$100,4,FALSE),J87))</f>
        <v/>
      </c>
      <c r="R87">
        <f>O87&amp;IF(N87&lt;&gt;"",IF(O87&lt;&gt;""," · ","")&amp;"Con: "&amp;N87,"")</f>
        <v/>
      </c>
      <c r="S87">
        <f>C87&amp;"|"&amp;D87</f>
        <v/>
      </c>
      <c r="T87">
        <f>COUNTIF($S$2:S87,S87)</f>
        <v/>
      </c>
      <c r="U87">
        <f>S87&amp;"|"&amp;T87</f>
        <v/>
      </c>
      <c r="V87">
        <f>IFERROR(VLOOKUP(IF(I87="ENFASIS",LEFT(M87,FIND("+",M87&amp;"+")-1),J87),Direccion_Grupo!$A$2:$G$100,7,FALSE),"")</f>
        <v/>
      </c>
    </row>
    <row r="88">
      <c r="A88" t="n">
        <v>55</v>
      </c>
      <c r="B88" t="inlineStr">
        <is>
          <t>Zamora Ordóñez Celia Pastora</t>
        </is>
      </c>
      <c r="C88" t="inlineStr">
        <is>
          <t>LUNES</t>
        </is>
      </c>
      <c r="D88" t="n">
        <v>3</v>
      </c>
      <c r="E88" t="n">
        <v>2</v>
      </c>
      <c r="F88" t="n">
        <v>1</v>
      </c>
      <c r="G88" t="inlineStr">
        <is>
          <t>08:20</t>
        </is>
      </c>
      <c r="H88" t="inlineStr">
        <is>
          <t>09:05</t>
        </is>
      </c>
      <c r="I88" t="inlineStr">
        <is>
          <t>AREAS_MULTIPLES</t>
        </is>
      </c>
      <c r="J88" t="inlineStr">
        <is>
          <t>0401</t>
        </is>
      </c>
      <c r="K88" t="inlineStr">
        <is>
          <t>ÁREAS MÚLTIPLES</t>
        </is>
      </c>
      <c r="L88" t="inlineStr"/>
      <c r="M88" t="inlineStr"/>
      <c r="N88" t="inlineStr"/>
      <c r="O88" t="inlineStr">
        <is>
          <t>Maestro de aula: todas las áreas con su grupo</t>
        </is>
      </c>
      <c r="P88" t="inlineStr"/>
      <c r="Q88">
        <f>IF(I88="ENFASIS","ÉNFASIS "&amp;M88,IFERROR(VLOOKUP(J88,Grupos!$A$2:$D$100,4,FALSE),J88))</f>
        <v/>
      </c>
      <c r="R88">
        <f>O88&amp;IF(N88&lt;&gt;"",IF(O88&lt;&gt;""," · ","")&amp;"Con: "&amp;N88,"")</f>
        <v/>
      </c>
      <c r="S88">
        <f>C88&amp;"|"&amp;D88</f>
        <v/>
      </c>
      <c r="T88">
        <f>COUNTIF($S$2:S88,S88)</f>
        <v/>
      </c>
      <c r="U88">
        <f>S88&amp;"|"&amp;T88</f>
        <v/>
      </c>
      <c r="V88">
        <f>IFERROR(VLOOKUP(IF(I88="ENFASIS",LEFT(M88,FIND("+",M88&amp;"+")-1),J88),Direccion_Grupo!$A$2:$G$100,7,FALSE),"")</f>
        <v/>
      </c>
    </row>
    <row r="89">
      <c r="A89" t="n">
        <v>33</v>
      </c>
      <c r="B89" t="inlineStr">
        <is>
          <t>Núñez Perlaza Elcy</t>
        </is>
      </c>
      <c r="C89" t="inlineStr">
        <is>
          <t>LUNES</t>
        </is>
      </c>
      <c r="D89" t="n">
        <v>3</v>
      </c>
      <c r="E89" t="n">
        <v>2</v>
      </c>
      <c r="F89" t="n">
        <v>1</v>
      </c>
      <c r="G89" t="inlineStr">
        <is>
          <t>08:20</t>
        </is>
      </c>
      <c r="H89" t="inlineStr">
        <is>
          <t>09:05</t>
        </is>
      </c>
      <c r="I89" t="inlineStr">
        <is>
          <t>AREAS_MULTIPLES</t>
        </is>
      </c>
      <c r="J89" t="inlineStr">
        <is>
          <t>0402</t>
        </is>
      </c>
      <c r="K89" t="inlineStr">
        <is>
          <t>ÁREAS MÚLTIPLES</t>
        </is>
      </c>
      <c r="L89" t="inlineStr"/>
      <c r="M89" t="inlineStr"/>
      <c r="N89" t="inlineStr"/>
      <c r="O89" t="inlineStr">
        <is>
          <t>Maestro de aula: todas las áreas con su grupo</t>
        </is>
      </c>
      <c r="P89" t="inlineStr"/>
      <c r="Q89">
        <f>IF(I89="ENFASIS","ÉNFASIS "&amp;M89,IFERROR(VLOOKUP(J89,Grupos!$A$2:$D$100,4,FALSE),J89))</f>
        <v/>
      </c>
      <c r="R89">
        <f>O89&amp;IF(N89&lt;&gt;"",IF(O89&lt;&gt;""," · ","")&amp;"Con: "&amp;N89,"")</f>
        <v/>
      </c>
      <c r="S89">
        <f>C89&amp;"|"&amp;D89</f>
        <v/>
      </c>
      <c r="T89">
        <f>COUNTIF($S$2:S89,S89)</f>
        <v/>
      </c>
      <c r="U89">
        <f>S89&amp;"|"&amp;T89</f>
        <v/>
      </c>
      <c r="V89">
        <f>IFERROR(VLOOKUP(IF(I89="ENFASIS",LEFT(M89,FIND("+",M89&amp;"+")-1),J89),Direccion_Grupo!$A$2:$G$100,7,FALSE),"")</f>
        <v/>
      </c>
    </row>
    <row r="90">
      <c r="A90" t="n">
        <v>14</v>
      </c>
      <c r="B90" t="inlineStr">
        <is>
          <t>Cuéllar Gallo Nemesia</t>
        </is>
      </c>
      <c r="C90" t="inlineStr">
        <is>
          <t>LUNES</t>
        </is>
      </c>
      <c r="D90" t="n">
        <v>3</v>
      </c>
      <c r="E90" t="n">
        <v>2</v>
      </c>
      <c r="F90" t="n">
        <v>1</v>
      </c>
      <c r="G90" t="inlineStr">
        <is>
          <t>08:20</t>
        </is>
      </c>
      <c r="H90" t="inlineStr">
        <is>
          <t>09:05</t>
        </is>
      </c>
      <c r="I90" t="inlineStr">
        <is>
          <t>AREAS_MULTIPLES</t>
        </is>
      </c>
      <c r="J90" t="inlineStr">
        <is>
          <t>0501</t>
        </is>
      </c>
      <c r="K90" t="inlineStr">
        <is>
          <t>ÁREAS MÚLTIPLES</t>
        </is>
      </c>
      <c r="L90" t="inlineStr"/>
      <c r="M90" t="inlineStr"/>
      <c r="N90" t="inlineStr"/>
      <c r="O90" t="inlineStr">
        <is>
          <t>Maestro de aula: todas las áreas con su grupo</t>
        </is>
      </c>
      <c r="P90" t="inlineStr"/>
      <c r="Q90">
        <f>IF(I90="ENFASIS","ÉNFASIS "&amp;M90,IFERROR(VLOOKUP(J90,Grupos!$A$2:$D$100,4,FALSE),J90))</f>
        <v/>
      </c>
      <c r="R90">
        <f>O90&amp;IF(N90&lt;&gt;"",IF(O90&lt;&gt;""," · ","")&amp;"Con: "&amp;N90,"")</f>
        <v/>
      </c>
      <c r="S90">
        <f>C90&amp;"|"&amp;D90</f>
        <v/>
      </c>
      <c r="T90">
        <f>COUNTIF($S$2:S90,S90)</f>
        <v/>
      </c>
      <c r="U90">
        <f>S90&amp;"|"&amp;T90</f>
        <v/>
      </c>
      <c r="V90">
        <f>IFERROR(VLOOKUP(IF(I90="ENFASIS",LEFT(M90,FIND("+",M90&amp;"+")-1),J90),Direccion_Grupo!$A$2:$G$100,7,FALSE),"")</f>
        <v/>
      </c>
    </row>
    <row r="91">
      <c r="A91" t="n">
        <v>11</v>
      </c>
      <c r="B91" t="inlineStr">
        <is>
          <t>Centeno Zúñiga Claudia Patricia</t>
        </is>
      </c>
      <c r="C91" t="inlineStr">
        <is>
          <t>LUNES</t>
        </is>
      </c>
      <c r="D91" t="n">
        <v>3</v>
      </c>
      <c r="E91" t="n">
        <v>2</v>
      </c>
      <c r="F91" t="n">
        <v>1</v>
      </c>
      <c r="G91" t="inlineStr">
        <is>
          <t>08:20</t>
        </is>
      </c>
      <c r="H91" t="inlineStr">
        <is>
          <t>09:05</t>
        </is>
      </c>
      <c r="I91" t="inlineStr">
        <is>
          <t>AREAS_MULTIPLES</t>
        </is>
      </c>
      <c r="J91" t="inlineStr">
        <is>
          <t>0502</t>
        </is>
      </c>
      <c r="K91" t="inlineStr">
        <is>
          <t>ÁREAS MÚLTIPLES</t>
        </is>
      </c>
      <c r="L91" t="inlineStr"/>
      <c r="M91" t="inlineStr"/>
      <c r="N91" t="inlineStr"/>
      <c r="O91" t="inlineStr">
        <is>
          <t>Maestro de aula: todas las áreas con su grupo</t>
        </is>
      </c>
      <c r="P91" t="inlineStr"/>
      <c r="Q91">
        <f>IF(I91="ENFASIS","ÉNFASIS "&amp;M91,IFERROR(VLOOKUP(J91,Grupos!$A$2:$D$100,4,FALSE),J91))</f>
        <v/>
      </c>
      <c r="R91">
        <f>O91&amp;IF(N91&lt;&gt;"",IF(O91&lt;&gt;""," · ","")&amp;"Con: "&amp;N91,"")</f>
        <v/>
      </c>
      <c r="S91">
        <f>C91&amp;"|"&amp;D91</f>
        <v/>
      </c>
      <c r="T91">
        <f>COUNTIF($S$2:S91,S91)</f>
        <v/>
      </c>
      <c r="U91">
        <f>S91&amp;"|"&amp;T91</f>
        <v/>
      </c>
      <c r="V91">
        <f>IFERROR(VLOOKUP(IF(I91="ENFASIS",LEFT(M91,FIND("+",M91&amp;"+")-1),J91),Direccion_Grupo!$A$2:$G$100,7,FALSE),"")</f>
        <v/>
      </c>
    </row>
    <row r="92">
      <c r="A92" t="n">
        <v>32</v>
      </c>
      <c r="B92" t="inlineStr">
        <is>
          <t>Narváez Sánchez Dora Alejandra</t>
        </is>
      </c>
      <c r="C92" t="inlineStr">
        <is>
          <t>LUNES</t>
        </is>
      </c>
      <c r="D92" t="n">
        <v>3</v>
      </c>
      <c r="E92" t="n">
        <v>2</v>
      </c>
      <c r="F92" t="n">
        <v>1</v>
      </c>
      <c r="G92" t="inlineStr">
        <is>
          <t>08:20</t>
        </is>
      </c>
      <c r="H92" t="inlineStr">
        <is>
          <t>09:05</t>
        </is>
      </c>
      <c r="I92" t="inlineStr">
        <is>
          <t>AREAS_MULTIPLES</t>
        </is>
      </c>
      <c r="J92" t="inlineStr">
        <is>
          <t>0503</t>
        </is>
      </c>
      <c r="K92" t="inlineStr">
        <is>
          <t>ÁREAS MÚLTIPLES</t>
        </is>
      </c>
      <c r="L92" t="inlineStr"/>
      <c r="M92" t="inlineStr"/>
      <c r="N92" t="inlineStr"/>
      <c r="O92" t="inlineStr">
        <is>
          <t>Maestro de aula: todas las áreas con su grupo</t>
        </is>
      </c>
      <c r="P92" t="inlineStr"/>
      <c r="Q92">
        <f>IF(I92="ENFASIS","ÉNFASIS "&amp;M92,IFERROR(VLOOKUP(J92,Grupos!$A$2:$D$100,4,FALSE),J92))</f>
        <v/>
      </c>
      <c r="R92">
        <f>O92&amp;IF(N92&lt;&gt;"",IF(O92&lt;&gt;""," · ","")&amp;"Con: "&amp;N92,"")</f>
        <v/>
      </c>
      <c r="S92">
        <f>C92&amp;"|"&amp;D92</f>
        <v/>
      </c>
      <c r="T92">
        <f>COUNTIF($S$2:S92,S92)</f>
        <v/>
      </c>
      <c r="U92">
        <f>S92&amp;"|"&amp;T92</f>
        <v/>
      </c>
      <c r="V92">
        <f>IFERROR(VLOOKUP(IF(I92="ENFASIS",LEFT(M92,FIND("+",M92&amp;"+")-1),J92),Direccion_Grupo!$A$2:$G$100,7,FALSE),"")</f>
        <v/>
      </c>
    </row>
    <row r="93">
      <c r="A93" t="n">
        <v>17</v>
      </c>
      <c r="B93" t="inlineStr">
        <is>
          <t>Escobar Cortés Liliana</t>
        </is>
      </c>
      <c r="C93" t="inlineStr">
        <is>
          <t>LUNES</t>
        </is>
      </c>
      <c r="D93" t="n">
        <v>3</v>
      </c>
      <c r="E93" t="n">
        <v>2</v>
      </c>
      <c r="F93" t="n">
        <v>1</v>
      </c>
      <c r="G93" t="inlineStr">
        <is>
          <t>08:20</t>
        </is>
      </c>
      <c r="H93" t="inlineStr">
        <is>
          <t>09:05</t>
        </is>
      </c>
      <c r="I93" t="inlineStr">
        <is>
          <t>AREAS_MULTIPLES</t>
        </is>
      </c>
      <c r="J93" t="inlineStr">
        <is>
          <t>0504</t>
        </is>
      </c>
      <c r="K93" t="inlineStr">
        <is>
          <t>ÁREAS MÚLTIPLES</t>
        </is>
      </c>
      <c r="L93" t="inlineStr"/>
      <c r="M93" t="inlineStr"/>
      <c r="N93" t="inlineStr"/>
      <c r="O93" t="inlineStr">
        <is>
          <t>Maestro de aula: todas las áreas con su grupo</t>
        </is>
      </c>
      <c r="P93" t="inlineStr"/>
      <c r="Q93">
        <f>IF(I93="ENFASIS","ÉNFASIS "&amp;M93,IFERROR(VLOOKUP(J93,Grupos!$A$2:$D$100,4,FALSE),J93))</f>
        <v/>
      </c>
      <c r="R93">
        <f>O93&amp;IF(N93&lt;&gt;"",IF(O93&lt;&gt;""," · ","")&amp;"Con: "&amp;N93,"")</f>
        <v/>
      </c>
      <c r="S93">
        <f>C93&amp;"|"&amp;D93</f>
        <v/>
      </c>
      <c r="T93">
        <f>COUNTIF($S$2:S93,S93)</f>
        <v/>
      </c>
      <c r="U93">
        <f>S93&amp;"|"&amp;T93</f>
        <v/>
      </c>
      <c r="V93">
        <f>IFERROR(VLOOKUP(IF(I93="ENFASIS",LEFT(M93,FIND("+",M93&amp;"+")-1),J93),Direccion_Grupo!$A$2:$G$100,7,FALSE),"")</f>
        <v/>
      </c>
    </row>
    <row r="94">
      <c r="A94" t="n">
        <v>16</v>
      </c>
      <c r="B94" t="inlineStr">
        <is>
          <t>Cuero Rincón Hernando Jesús</t>
        </is>
      </c>
      <c r="C94" t="inlineStr">
        <is>
          <t>LUNES</t>
        </is>
      </c>
      <c r="D94" t="n">
        <v>3</v>
      </c>
      <c r="E94" t="n">
        <v>2</v>
      </c>
      <c r="F94" t="n">
        <v>1</v>
      </c>
      <c r="G94" t="inlineStr">
        <is>
          <t>08:20</t>
        </is>
      </c>
      <c r="H94" t="inlineStr">
        <is>
          <t>09:05</t>
        </is>
      </c>
      <c r="I94" t="inlineStr">
        <is>
          <t>CLASE</t>
        </is>
      </c>
      <c r="J94" t="inlineStr">
        <is>
          <t>0601</t>
        </is>
      </c>
      <c r="K94" t="inlineStr">
        <is>
          <t>CAS</t>
        </is>
      </c>
      <c r="L94" t="inlineStr"/>
      <c r="M94" t="inlineStr"/>
      <c r="N94" t="inlineStr"/>
      <c r="O94" t="inlineStr"/>
      <c r="P94" t="inlineStr">
        <is>
          <t>0601-CAS</t>
        </is>
      </c>
      <c r="Q94">
        <f>IF(I94="ENFASIS","ÉNFASIS "&amp;M94,IFERROR(VLOOKUP(J94,Grupos!$A$2:$D$100,4,FALSE),J94))</f>
        <v/>
      </c>
      <c r="R94">
        <f>O94&amp;IF(N94&lt;&gt;"",IF(O94&lt;&gt;""," · ","")&amp;"Con: "&amp;N94,"")</f>
        <v/>
      </c>
      <c r="S94">
        <f>C94&amp;"|"&amp;D94</f>
        <v/>
      </c>
      <c r="T94">
        <f>COUNTIF($S$2:S94,S94)</f>
        <v/>
      </c>
      <c r="U94">
        <f>S94&amp;"|"&amp;T94</f>
        <v/>
      </c>
      <c r="V94">
        <f>IFERROR(VLOOKUP(IF(I94="ENFASIS",LEFT(M94,FIND("+",M94&amp;"+")-1),J94),Direccion_Grupo!$A$2:$G$100,7,FALSE),"")</f>
        <v/>
      </c>
    </row>
    <row r="95">
      <c r="A95" t="n">
        <v>37</v>
      </c>
      <c r="B95" t="inlineStr">
        <is>
          <t>Prado Quiñones Genís Maribel</t>
        </is>
      </c>
      <c r="C95" t="inlineStr">
        <is>
          <t>LUNES</t>
        </is>
      </c>
      <c r="D95" t="n">
        <v>3</v>
      </c>
      <c r="E95" t="n">
        <v>2</v>
      </c>
      <c r="F95" t="n">
        <v>1</v>
      </c>
      <c r="G95" t="inlineStr">
        <is>
          <t>08:20</t>
        </is>
      </c>
      <c r="H95" t="inlineStr">
        <is>
          <t>09:05</t>
        </is>
      </c>
      <c r="I95" t="inlineStr">
        <is>
          <t>CLASE</t>
        </is>
      </c>
      <c r="J95" t="inlineStr">
        <is>
          <t>0602</t>
        </is>
      </c>
      <c r="K95" t="inlineStr">
        <is>
          <t>ART</t>
        </is>
      </c>
      <c r="L95" t="inlineStr"/>
      <c r="M95" t="inlineStr"/>
      <c r="N95" t="inlineStr"/>
      <c r="O95" t="inlineStr"/>
      <c r="P95" t="inlineStr">
        <is>
          <t>0602-ART</t>
        </is>
      </c>
      <c r="Q95">
        <f>IF(I95="ENFASIS","ÉNFASIS "&amp;M95,IFERROR(VLOOKUP(J95,Grupos!$A$2:$D$100,4,FALSE),J95))</f>
        <v/>
      </c>
      <c r="R95">
        <f>O95&amp;IF(N95&lt;&gt;"",IF(O95&lt;&gt;""," · ","")&amp;"Con: "&amp;N95,"")</f>
        <v/>
      </c>
      <c r="S95">
        <f>C95&amp;"|"&amp;D95</f>
        <v/>
      </c>
      <c r="T95">
        <f>COUNTIF($S$2:S95,S95)</f>
        <v/>
      </c>
      <c r="U95">
        <f>S95&amp;"|"&amp;T95</f>
        <v/>
      </c>
      <c r="V95">
        <f>IFERROR(VLOOKUP(IF(I95="ENFASIS",LEFT(M95,FIND("+",M95&amp;"+")-1),J95),Direccion_Grupo!$A$2:$G$100,7,FALSE),"")</f>
        <v/>
      </c>
    </row>
    <row r="96">
      <c r="A96" t="n">
        <v>52</v>
      </c>
      <c r="B96" t="inlineStr">
        <is>
          <t>Vásquez Valencia Segundo Leoncio</t>
        </is>
      </c>
      <c r="C96" t="inlineStr">
        <is>
          <t>LUNES</t>
        </is>
      </c>
      <c r="D96" t="n">
        <v>3</v>
      </c>
      <c r="E96" t="n">
        <v>2</v>
      </c>
      <c r="F96" t="n">
        <v>1</v>
      </c>
      <c r="G96" t="inlineStr">
        <is>
          <t>08:20</t>
        </is>
      </c>
      <c r="H96" t="inlineStr">
        <is>
          <t>09:05</t>
        </is>
      </c>
      <c r="I96" t="inlineStr">
        <is>
          <t>CLASE</t>
        </is>
      </c>
      <c r="J96" t="inlineStr">
        <is>
          <t>0701</t>
        </is>
      </c>
      <c r="K96" t="inlineStr">
        <is>
          <t>MAT</t>
        </is>
      </c>
      <c r="L96" t="inlineStr"/>
      <c r="M96" t="inlineStr"/>
      <c r="N96" t="inlineStr"/>
      <c r="O96" t="inlineStr"/>
      <c r="P96" t="inlineStr">
        <is>
          <t>0701-MAT</t>
        </is>
      </c>
      <c r="Q96">
        <f>IF(I96="ENFASIS","ÉNFASIS "&amp;M96,IFERROR(VLOOKUP(J96,Grupos!$A$2:$D$100,4,FALSE),J96))</f>
        <v/>
      </c>
      <c r="R96">
        <f>O96&amp;IF(N96&lt;&gt;"",IF(O96&lt;&gt;""," · ","")&amp;"Con: "&amp;N96,"")</f>
        <v/>
      </c>
      <c r="S96">
        <f>C96&amp;"|"&amp;D96</f>
        <v/>
      </c>
      <c r="T96">
        <f>COUNTIF($S$2:S96,S96)</f>
        <v/>
      </c>
      <c r="U96">
        <f>S96&amp;"|"&amp;T96</f>
        <v/>
      </c>
      <c r="V96">
        <f>IFERROR(VLOOKUP(IF(I96="ENFASIS",LEFT(M96,FIND("+",M96&amp;"+")-1),J96),Direccion_Grupo!$A$2:$G$100,7,FALSE),"")</f>
        <v/>
      </c>
    </row>
    <row r="97">
      <c r="A97" t="n">
        <v>4</v>
      </c>
      <c r="B97" t="inlineStr">
        <is>
          <t>Arizala Castro Roberto Carlos</t>
        </is>
      </c>
      <c r="C97" t="inlineStr">
        <is>
          <t>LUNES</t>
        </is>
      </c>
      <c r="D97" t="n">
        <v>3</v>
      </c>
      <c r="E97" t="n">
        <v>2</v>
      </c>
      <c r="F97" t="n">
        <v>1</v>
      </c>
      <c r="G97" t="inlineStr">
        <is>
          <t>08:20</t>
        </is>
      </c>
      <c r="H97" t="inlineStr">
        <is>
          <t>09:05</t>
        </is>
      </c>
      <c r="I97" t="inlineStr">
        <is>
          <t>CLASE</t>
        </is>
      </c>
      <c r="J97" t="inlineStr">
        <is>
          <t>0702</t>
        </is>
      </c>
      <c r="K97" t="inlineStr">
        <is>
          <t>ERD</t>
        </is>
      </c>
      <c r="L97" t="inlineStr"/>
      <c r="M97" t="inlineStr"/>
      <c r="N97" t="inlineStr"/>
      <c r="O97" t="inlineStr"/>
      <c r="P97" t="inlineStr">
        <is>
          <t>0702-ERD</t>
        </is>
      </c>
      <c r="Q97">
        <f>IF(I97="ENFASIS","ÉNFASIS "&amp;M97,IFERROR(VLOOKUP(J97,Grupos!$A$2:$D$100,4,FALSE),J97))</f>
        <v/>
      </c>
      <c r="R97">
        <f>O97&amp;IF(N97&lt;&gt;"",IF(O97&lt;&gt;""," · ","")&amp;"Con: "&amp;N97,"")</f>
        <v/>
      </c>
      <c r="S97">
        <f>C97&amp;"|"&amp;D97</f>
        <v/>
      </c>
      <c r="T97">
        <f>COUNTIF($S$2:S97,S97)</f>
        <v/>
      </c>
      <c r="U97">
        <f>S97&amp;"|"&amp;T97</f>
        <v/>
      </c>
      <c r="V97">
        <f>IFERROR(VLOOKUP(IF(I97="ENFASIS",LEFT(M97,FIND("+",M97&amp;"+")-1),J97),Direccion_Grupo!$A$2:$G$100,7,FALSE),"")</f>
        <v/>
      </c>
    </row>
    <row r="98">
      <c r="A98" t="n">
        <v>34</v>
      </c>
      <c r="B98" t="inlineStr">
        <is>
          <t>Ordóñez Tenorio Jaime Marcial</t>
        </is>
      </c>
      <c r="C98" t="inlineStr">
        <is>
          <t>LUNES</t>
        </is>
      </c>
      <c r="D98" t="n">
        <v>3</v>
      </c>
      <c r="E98" t="n">
        <v>2</v>
      </c>
      <c r="F98" t="n">
        <v>1</v>
      </c>
      <c r="G98" t="inlineStr">
        <is>
          <t>08:20</t>
        </is>
      </c>
      <c r="H98" t="inlineStr">
        <is>
          <t>09:05</t>
        </is>
      </c>
      <c r="I98" t="inlineStr">
        <is>
          <t>CLASE</t>
        </is>
      </c>
      <c r="J98" t="inlineStr">
        <is>
          <t>0703</t>
        </is>
      </c>
      <c r="K98" t="inlineStr">
        <is>
          <t>CNA</t>
        </is>
      </c>
      <c r="L98" t="inlineStr"/>
      <c r="M98" t="inlineStr"/>
      <c r="N98" t="inlineStr"/>
      <c r="O98" t="inlineStr"/>
      <c r="P98" t="inlineStr">
        <is>
          <t>0703-CNA</t>
        </is>
      </c>
      <c r="Q98">
        <f>IF(I98="ENFASIS","ÉNFASIS "&amp;M98,IFERROR(VLOOKUP(J98,Grupos!$A$2:$D$100,4,FALSE),J98))</f>
        <v/>
      </c>
      <c r="R98">
        <f>O98&amp;IF(N98&lt;&gt;"",IF(O98&lt;&gt;""," · ","")&amp;"Con: "&amp;N98,"")</f>
        <v/>
      </c>
      <c r="S98">
        <f>C98&amp;"|"&amp;D98</f>
        <v/>
      </c>
      <c r="T98">
        <f>COUNTIF($S$2:S98,S98)</f>
        <v/>
      </c>
      <c r="U98">
        <f>S98&amp;"|"&amp;T98</f>
        <v/>
      </c>
      <c r="V98">
        <f>IFERROR(VLOOKUP(IF(I98="ENFASIS",LEFT(M98,FIND("+",M98&amp;"+")-1),J98),Direccion_Grupo!$A$2:$G$100,7,FALSE),"")</f>
        <v/>
      </c>
    </row>
    <row r="99">
      <c r="A99" t="n">
        <v>8</v>
      </c>
      <c r="B99" t="inlineStr">
        <is>
          <t>Casanova Quiñones Yoli del Carmen</t>
        </is>
      </c>
      <c r="C99" t="inlineStr">
        <is>
          <t>LUNES</t>
        </is>
      </c>
      <c r="D99" t="n">
        <v>3</v>
      </c>
      <c r="E99" t="n">
        <v>2</v>
      </c>
      <c r="F99" t="n">
        <v>1</v>
      </c>
      <c r="G99" t="inlineStr">
        <is>
          <t>08:20</t>
        </is>
      </c>
      <c r="H99" t="inlineStr">
        <is>
          <t>09:05</t>
        </is>
      </c>
      <c r="I99" t="inlineStr">
        <is>
          <t>CLASE</t>
        </is>
      </c>
      <c r="J99" t="inlineStr">
        <is>
          <t>0704</t>
        </is>
      </c>
      <c r="K99" t="inlineStr">
        <is>
          <t>ETR</t>
        </is>
      </c>
      <c r="L99" t="inlineStr"/>
      <c r="M99" t="inlineStr"/>
      <c r="N99" t="inlineStr"/>
      <c r="O99" t="inlineStr">
        <is>
          <t>Ética / Religión (alternan cada semana)</t>
        </is>
      </c>
      <c r="P99" t="inlineStr">
        <is>
          <t>0704-ETR</t>
        </is>
      </c>
      <c r="Q99">
        <f>IF(I99="ENFASIS","ÉNFASIS "&amp;M99,IFERROR(VLOOKUP(J99,Grupos!$A$2:$D$100,4,FALSE),J99))</f>
        <v/>
      </c>
      <c r="R99">
        <f>O99&amp;IF(N99&lt;&gt;"",IF(O99&lt;&gt;""," · ","")&amp;"Con: "&amp;N99,"")</f>
        <v/>
      </c>
      <c r="S99">
        <f>C99&amp;"|"&amp;D99</f>
        <v/>
      </c>
      <c r="T99">
        <f>COUNTIF($S$2:S99,S99)</f>
        <v/>
      </c>
      <c r="U99">
        <f>S99&amp;"|"&amp;T99</f>
        <v/>
      </c>
      <c r="V99">
        <f>IFERROR(VLOOKUP(IF(I99="ENFASIS",LEFT(M99,FIND("+",M99&amp;"+")-1),J99),Direccion_Grupo!$A$2:$G$100,7,FALSE),"")</f>
        <v/>
      </c>
    </row>
    <row r="100">
      <c r="A100" t="n">
        <v>19</v>
      </c>
      <c r="B100" t="inlineStr">
        <is>
          <t>Fernández Vélez Alfredo Enrique</t>
        </is>
      </c>
      <c r="C100" t="inlineStr">
        <is>
          <t>LUNES</t>
        </is>
      </c>
      <c r="D100" t="n">
        <v>3</v>
      </c>
      <c r="E100" t="n">
        <v>2</v>
      </c>
      <c r="F100" t="n">
        <v>1</v>
      </c>
      <c r="G100" t="inlineStr">
        <is>
          <t>08:20</t>
        </is>
      </c>
      <c r="H100" t="inlineStr">
        <is>
          <t>09:05</t>
        </is>
      </c>
      <c r="I100" t="inlineStr">
        <is>
          <t>CLASE</t>
        </is>
      </c>
      <c r="J100" t="inlineStr">
        <is>
          <t>0801</t>
        </is>
      </c>
      <c r="K100" t="inlineStr">
        <is>
          <t>TEI</t>
        </is>
      </c>
      <c r="L100" t="inlineStr"/>
      <c r="M100" t="inlineStr"/>
      <c r="N100" t="inlineStr"/>
      <c r="O100" t="inlineStr"/>
      <c r="P100" t="inlineStr">
        <is>
          <t>0801-TEI</t>
        </is>
      </c>
      <c r="Q100">
        <f>IF(I100="ENFASIS","ÉNFASIS "&amp;M100,IFERROR(VLOOKUP(J100,Grupos!$A$2:$D$100,4,FALSE),J100))</f>
        <v/>
      </c>
      <c r="R100">
        <f>O100&amp;IF(N100&lt;&gt;"",IF(O100&lt;&gt;""," · ","")&amp;"Con: "&amp;N100,"")</f>
        <v/>
      </c>
      <c r="S100">
        <f>C100&amp;"|"&amp;D100</f>
        <v/>
      </c>
      <c r="T100">
        <f>COUNTIF($S$2:S100,S100)</f>
        <v/>
      </c>
      <c r="U100">
        <f>S100&amp;"|"&amp;T100</f>
        <v/>
      </c>
      <c r="V100">
        <f>IFERROR(VLOOKUP(IF(I100="ENFASIS",LEFT(M100,FIND("+",M100&amp;"+")-1),J100),Direccion_Grupo!$A$2:$G$100,7,FALSE),"")</f>
        <v/>
      </c>
    </row>
    <row r="101">
      <c r="A101" t="n">
        <v>51</v>
      </c>
      <c r="B101" t="inlineStr">
        <is>
          <t>Valverde Montaño María Teresa</t>
        </is>
      </c>
      <c r="C101" t="inlineStr">
        <is>
          <t>LUNES</t>
        </is>
      </c>
      <c r="D101" t="n">
        <v>3</v>
      </c>
      <c r="E101" t="n">
        <v>2</v>
      </c>
      <c r="F101" t="n">
        <v>1</v>
      </c>
      <c r="G101" t="inlineStr">
        <is>
          <t>08:20</t>
        </is>
      </c>
      <c r="H101" t="inlineStr">
        <is>
          <t>09:05</t>
        </is>
      </c>
      <c r="I101" t="inlineStr">
        <is>
          <t>CLASE</t>
        </is>
      </c>
      <c r="J101" t="inlineStr">
        <is>
          <t>0802</t>
        </is>
      </c>
      <c r="K101" t="inlineStr">
        <is>
          <t>CAS</t>
        </is>
      </c>
      <c r="L101" t="inlineStr"/>
      <c r="M101" t="inlineStr"/>
      <c r="N101" t="inlineStr"/>
      <c r="O101" t="inlineStr"/>
      <c r="P101" t="inlineStr">
        <is>
          <t>0802-CAS</t>
        </is>
      </c>
      <c r="Q101">
        <f>IF(I101="ENFASIS","ÉNFASIS "&amp;M101,IFERROR(VLOOKUP(J101,Grupos!$A$2:$D$100,4,FALSE),J101))</f>
        <v/>
      </c>
      <c r="R101">
        <f>O101&amp;IF(N101&lt;&gt;"",IF(O101&lt;&gt;""," · ","")&amp;"Con: "&amp;N101,"")</f>
        <v/>
      </c>
      <c r="S101">
        <f>C101&amp;"|"&amp;D101</f>
        <v/>
      </c>
      <c r="T101">
        <f>COUNTIF($S$2:S101,S101)</f>
        <v/>
      </c>
      <c r="U101">
        <f>S101&amp;"|"&amp;T101</f>
        <v/>
      </c>
      <c r="V101">
        <f>IFERROR(VLOOKUP(IF(I101="ENFASIS",LEFT(M101,FIND("+",M101&amp;"+")-1),J101),Direccion_Grupo!$A$2:$G$100,7,FALSE),"")</f>
        <v/>
      </c>
    </row>
    <row r="102">
      <c r="A102" t="n">
        <v>29</v>
      </c>
      <c r="B102" t="inlineStr">
        <is>
          <t>Mindineros Satizábal John Jáver</t>
        </is>
      </c>
      <c r="C102" t="inlineStr">
        <is>
          <t>LUNES</t>
        </is>
      </c>
      <c r="D102" t="n">
        <v>3</v>
      </c>
      <c r="E102" t="n">
        <v>2</v>
      </c>
      <c r="F102" t="n">
        <v>1</v>
      </c>
      <c r="G102" t="inlineStr">
        <is>
          <t>08:20</t>
        </is>
      </c>
      <c r="H102" t="inlineStr">
        <is>
          <t>09:05</t>
        </is>
      </c>
      <c r="I102" t="inlineStr">
        <is>
          <t>CLASE</t>
        </is>
      </c>
      <c r="J102" t="inlineStr">
        <is>
          <t>0902</t>
        </is>
      </c>
      <c r="K102" t="inlineStr">
        <is>
          <t>TEI</t>
        </is>
      </c>
      <c r="L102" t="inlineStr"/>
      <c r="M102" t="inlineStr"/>
      <c r="N102" t="inlineStr"/>
      <c r="O102" t="inlineStr"/>
      <c r="P102" t="inlineStr">
        <is>
          <t>0902-TEI</t>
        </is>
      </c>
      <c r="Q102">
        <f>IF(I102="ENFASIS","ÉNFASIS "&amp;M102,IFERROR(VLOOKUP(J102,Grupos!$A$2:$D$100,4,FALSE),J102))</f>
        <v/>
      </c>
      <c r="R102">
        <f>O102&amp;IF(N102&lt;&gt;"",IF(O102&lt;&gt;""," · ","")&amp;"Con: "&amp;N102,"")</f>
        <v/>
      </c>
      <c r="S102">
        <f>C102&amp;"|"&amp;D102</f>
        <v/>
      </c>
      <c r="T102">
        <f>COUNTIF($S$2:S102,S102)</f>
        <v/>
      </c>
      <c r="U102">
        <f>S102&amp;"|"&amp;T102</f>
        <v/>
      </c>
      <c r="V102">
        <f>IFERROR(VLOOKUP(IF(I102="ENFASIS",LEFT(M102,FIND("+",M102&amp;"+")-1),J102),Direccion_Grupo!$A$2:$G$100,7,FALSE),"")</f>
        <v/>
      </c>
    </row>
    <row r="103">
      <c r="A103" t="n">
        <v>6</v>
      </c>
      <c r="B103" t="inlineStr">
        <is>
          <t>Betancourth Ocampo Yohana Patricia</t>
        </is>
      </c>
      <c r="C103" t="inlineStr">
        <is>
          <t>LUNES</t>
        </is>
      </c>
      <c r="D103" t="n">
        <v>3</v>
      </c>
      <c r="E103" t="n">
        <v>2</v>
      </c>
      <c r="F103" t="n">
        <v>1</v>
      </c>
      <c r="G103" t="inlineStr">
        <is>
          <t>08:20</t>
        </is>
      </c>
      <c r="H103" t="inlineStr">
        <is>
          <t>09:05</t>
        </is>
      </c>
      <c r="I103" t="inlineStr">
        <is>
          <t>CLASE</t>
        </is>
      </c>
      <c r="J103" t="inlineStr">
        <is>
          <t>1001</t>
        </is>
      </c>
      <c r="K103" t="inlineStr">
        <is>
          <t>CSI</t>
        </is>
      </c>
      <c r="L103" t="inlineStr"/>
      <c r="M103" t="inlineStr"/>
      <c r="N103" t="inlineStr"/>
      <c r="O103" t="inlineStr">
        <is>
          <t>Sociales / Inglés (alternan cada semana)</t>
        </is>
      </c>
      <c r="P103" t="inlineStr">
        <is>
          <t>1001-CSI</t>
        </is>
      </c>
      <c r="Q103">
        <f>IF(I103="ENFASIS","ÉNFASIS "&amp;M103,IFERROR(VLOOKUP(J103,Grupos!$A$2:$D$100,4,FALSE),J103))</f>
        <v/>
      </c>
      <c r="R103">
        <f>O103&amp;IF(N103&lt;&gt;"",IF(O103&lt;&gt;""," · ","")&amp;"Con: "&amp;N103,"")</f>
        <v/>
      </c>
      <c r="S103">
        <f>C103&amp;"|"&amp;D103</f>
        <v/>
      </c>
      <c r="T103">
        <f>COUNTIF($S$2:S103,S103)</f>
        <v/>
      </c>
      <c r="U103">
        <f>S103&amp;"|"&amp;T103</f>
        <v/>
      </c>
      <c r="V103">
        <f>IFERROR(VLOOKUP(IF(I103="ENFASIS",LEFT(M103,FIND("+",M103&amp;"+")-1),J103),Direccion_Grupo!$A$2:$G$100,7,FALSE),"")</f>
        <v/>
      </c>
    </row>
    <row r="104">
      <c r="A104" t="n">
        <v>3</v>
      </c>
      <c r="B104" t="inlineStr">
        <is>
          <t>Arboleda Ortiz Luz América</t>
        </is>
      </c>
      <c r="C104" t="inlineStr">
        <is>
          <t>LUNES</t>
        </is>
      </c>
      <c r="D104" t="n">
        <v>3</v>
      </c>
      <c r="E104" t="n">
        <v>2</v>
      </c>
      <c r="F104" t="n">
        <v>1</v>
      </c>
      <c r="G104" t="inlineStr">
        <is>
          <t>08:20</t>
        </is>
      </c>
      <c r="H104" t="inlineStr">
        <is>
          <t>09:05</t>
        </is>
      </c>
      <c r="I104" t="inlineStr">
        <is>
          <t>CLASE</t>
        </is>
      </c>
      <c r="J104" t="inlineStr">
        <is>
          <t>1002</t>
        </is>
      </c>
      <c r="K104" t="inlineStr">
        <is>
          <t>ART</t>
        </is>
      </c>
      <c r="L104" t="inlineStr"/>
      <c r="M104" t="inlineStr"/>
      <c r="N104" t="inlineStr"/>
      <c r="O104" t="inlineStr"/>
      <c r="P104" t="inlineStr">
        <is>
          <t>1002-ART</t>
        </is>
      </c>
      <c r="Q104">
        <f>IF(I104="ENFASIS","ÉNFASIS "&amp;M104,IFERROR(VLOOKUP(J104,Grupos!$A$2:$D$100,4,FALSE),J104))</f>
        <v/>
      </c>
      <c r="R104">
        <f>O104&amp;IF(N104&lt;&gt;"",IF(O104&lt;&gt;""," · ","")&amp;"Con: "&amp;N104,"")</f>
        <v/>
      </c>
      <c r="S104">
        <f>C104&amp;"|"&amp;D104</f>
        <v/>
      </c>
      <c r="T104">
        <f>COUNTIF($S$2:S104,S104)</f>
        <v/>
      </c>
      <c r="U104">
        <f>S104&amp;"|"&amp;T104</f>
        <v/>
      </c>
      <c r="V104">
        <f>IFERROR(VLOOKUP(IF(I104="ENFASIS",LEFT(M104,FIND("+",M104&amp;"+")-1),J104),Direccion_Grupo!$A$2:$G$100,7,FALSE),"")</f>
        <v/>
      </c>
    </row>
    <row r="105">
      <c r="A105" t="n">
        <v>53</v>
      </c>
      <c r="B105" t="inlineStr">
        <is>
          <t>Villota Rubio Héctor Hugo</t>
        </is>
      </c>
      <c r="C105" t="inlineStr">
        <is>
          <t>LUNES</t>
        </is>
      </c>
      <c r="D105" t="n">
        <v>3</v>
      </c>
      <c r="E105" t="n">
        <v>2</v>
      </c>
      <c r="F105" t="n">
        <v>1</v>
      </c>
      <c r="G105" t="inlineStr">
        <is>
          <t>08:20</t>
        </is>
      </c>
      <c r="H105" t="inlineStr">
        <is>
          <t>09:05</t>
        </is>
      </c>
      <c r="I105" t="inlineStr">
        <is>
          <t>CLASE</t>
        </is>
      </c>
      <c r="J105" t="inlineStr">
        <is>
          <t>1101</t>
        </is>
      </c>
      <c r="K105" t="inlineStr">
        <is>
          <t>CNA</t>
        </is>
      </c>
      <c r="L105" t="inlineStr"/>
      <c r="M105" t="inlineStr"/>
      <c r="N105" t="inlineStr"/>
      <c r="O105" t="inlineStr"/>
      <c r="P105" t="inlineStr">
        <is>
          <t>1101-CNA</t>
        </is>
      </c>
      <c r="Q105">
        <f>IF(I105="ENFASIS","ÉNFASIS "&amp;M105,IFERROR(VLOOKUP(J105,Grupos!$A$2:$D$100,4,FALSE),J105))</f>
        <v/>
      </c>
      <c r="R105">
        <f>O105&amp;IF(N105&lt;&gt;"",IF(O105&lt;&gt;""," · ","")&amp;"Con: "&amp;N105,"")</f>
        <v/>
      </c>
      <c r="S105">
        <f>C105&amp;"|"&amp;D105</f>
        <v/>
      </c>
      <c r="T105">
        <f>COUNTIF($S$2:S105,S105)</f>
        <v/>
      </c>
      <c r="U105">
        <f>S105&amp;"|"&amp;T105</f>
        <v/>
      </c>
      <c r="V105">
        <f>IFERROR(VLOOKUP(IF(I105="ENFASIS",LEFT(M105,FIND("+",M105&amp;"+")-1),J105),Direccion_Grupo!$A$2:$G$100,7,FALSE),"")</f>
        <v/>
      </c>
    </row>
    <row r="106">
      <c r="A106" t="n">
        <v>26</v>
      </c>
      <c r="B106" t="inlineStr">
        <is>
          <t>Lozano Torres Amanda Inés</t>
        </is>
      </c>
      <c r="C106" t="inlineStr">
        <is>
          <t>LUNES</t>
        </is>
      </c>
      <c r="D106" t="n">
        <v>3</v>
      </c>
      <c r="E106" t="n">
        <v>2</v>
      </c>
      <c r="F106" t="n">
        <v>1</v>
      </c>
      <c r="G106" t="inlineStr">
        <is>
          <t>08:20</t>
        </is>
      </c>
      <c r="H106" t="inlineStr">
        <is>
          <t>09:05</t>
        </is>
      </c>
      <c r="I106" t="inlineStr">
        <is>
          <t>CLASE</t>
        </is>
      </c>
      <c r="J106" t="inlineStr">
        <is>
          <t>CS101</t>
        </is>
      </c>
      <c r="K106" t="inlineStr">
        <is>
          <t>ETR</t>
        </is>
      </c>
      <c r="L106" t="inlineStr"/>
      <c r="M106" t="inlineStr"/>
      <c r="N106" t="inlineStr"/>
      <c r="O106" t="inlineStr">
        <is>
          <t>Ética / Religión (alternan cada semana)</t>
        </is>
      </c>
      <c r="P106" t="inlineStr">
        <is>
          <t>CS101-ETR</t>
        </is>
      </c>
      <c r="Q106">
        <f>IF(I106="ENFASIS","ÉNFASIS "&amp;M106,IFERROR(VLOOKUP(J106,Grupos!$A$2:$D$100,4,FALSE),J106))</f>
        <v/>
      </c>
      <c r="R106">
        <f>O106&amp;IF(N106&lt;&gt;"",IF(O106&lt;&gt;""," · ","")&amp;"Con: "&amp;N106,"")</f>
        <v/>
      </c>
      <c r="S106">
        <f>C106&amp;"|"&amp;D106</f>
        <v/>
      </c>
      <c r="T106">
        <f>COUNTIF($S$2:S106,S106)</f>
        <v/>
      </c>
      <c r="U106">
        <f>S106&amp;"|"&amp;T106</f>
        <v/>
      </c>
      <c r="V106">
        <f>IFERROR(VLOOKUP(IF(I106="ENFASIS",LEFT(M106,FIND("+",M106&amp;"+")-1),J106),Direccion_Grupo!$A$2:$G$100,7,FALSE),"")</f>
        <v/>
      </c>
    </row>
    <row r="107">
      <c r="A107" t="n">
        <v>57</v>
      </c>
      <c r="B107" t="inlineStr">
        <is>
          <t>Armero Dájome Jesús</t>
        </is>
      </c>
      <c r="C107" t="inlineStr">
        <is>
          <t>LUNES</t>
        </is>
      </c>
      <c r="D107" t="n">
        <v>3</v>
      </c>
      <c r="E107" t="n">
        <v>2</v>
      </c>
      <c r="F107" t="n">
        <v>1</v>
      </c>
      <c r="G107" t="inlineStr">
        <is>
          <t>08:20</t>
        </is>
      </c>
      <c r="H107" t="inlineStr">
        <is>
          <t>09:05</t>
        </is>
      </c>
      <c r="I107" t="inlineStr">
        <is>
          <t>CLASE</t>
        </is>
      </c>
      <c r="J107" t="inlineStr">
        <is>
          <t>CS102</t>
        </is>
      </c>
      <c r="K107" t="inlineStr">
        <is>
          <t>ERD</t>
        </is>
      </c>
      <c r="L107" t="inlineStr"/>
      <c r="M107" t="inlineStr"/>
      <c r="N107" t="inlineStr"/>
      <c r="O107" t="inlineStr"/>
      <c r="P107" t="inlineStr">
        <is>
          <t>CS102-ERD</t>
        </is>
      </c>
      <c r="Q107">
        <f>IF(I107="ENFASIS","ÉNFASIS "&amp;M107,IFERROR(VLOOKUP(J107,Grupos!$A$2:$D$100,4,FALSE),J107))</f>
        <v/>
      </c>
      <c r="R107">
        <f>O107&amp;IF(N107&lt;&gt;"",IF(O107&lt;&gt;""," · ","")&amp;"Con: "&amp;N107,"")</f>
        <v/>
      </c>
      <c r="S107">
        <f>C107&amp;"|"&amp;D107</f>
        <v/>
      </c>
      <c r="T107">
        <f>COUNTIF($S$2:S107,S107)</f>
        <v/>
      </c>
      <c r="U107">
        <f>S107&amp;"|"&amp;T107</f>
        <v/>
      </c>
      <c r="V107">
        <f>IFERROR(VLOOKUP(IF(I107="ENFASIS",LEFT(M107,FIND("+",M107&amp;"+")-1),J107),Direccion_Grupo!$A$2:$G$100,7,FALSE),"")</f>
        <v/>
      </c>
    </row>
    <row r="108">
      <c r="A108" t="n">
        <v>44</v>
      </c>
      <c r="B108" t="inlineStr">
        <is>
          <t>Samaniego Angulo Flor Mireya</t>
        </is>
      </c>
      <c r="C108" t="inlineStr">
        <is>
          <t>LUNES</t>
        </is>
      </c>
      <c r="D108" t="n">
        <v>3</v>
      </c>
      <c r="E108" t="n">
        <v>2</v>
      </c>
      <c r="F108" t="n">
        <v>1</v>
      </c>
      <c r="G108" t="inlineStr">
        <is>
          <t>08:20</t>
        </is>
      </c>
      <c r="H108" t="inlineStr">
        <is>
          <t>09:05</t>
        </is>
      </c>
      <c r="I108" t="inlineStr">
        <is>
          <t>CLASE</t>
        </is>
      </c>
      <c r="J108" t="inlineStr">
        <is>
          <t>CS201</t>
        </is>
      </c>
      <c r="K108" t="inlineStr">
        <is>
          <t>ART</t>
        </is>
      </c>
      <c r="L108" t="inlineStr"/>
      <c r="M108" t="inlineStr"/>
      <c r="N108" t="inlineStr"/>
      <c r="O108" t="inlineStr"/>
      <c r="P108" t="inlineStr">
        <is>
          <t>CS201-ART</t>
        </is>
      </c>
      <c r="Q108">
        <f>IF(I108="ENFASIS","ÉNFASIS "&amp;M108,IFERROR(VLOOKUP(J108,Grupos!$A$2:$D$100,4,FALSE),J108))</f>
        <v/>
      </c>
      <c r="R108">
        <f>O108&amp;IF(N108&lt;&gt;"",IF(O108&lt;&gt;""," · ","")&amp;"Con: "&amp;N108,"")</f>
        <v/>
      </c>
      <c r="S108">
        <f>C108&amp;"|"&amp;D108</f>
        <v/>
      </c>
      <c r="T108">
        <f>COUNTIF($S$2:S108,S108)</f>
        <v/>
      </c>
      <c r="U108">
        <f>S108&amp;"|"&amp;T108</f>
        <v/>
      </c>
      <c r="V108">
        <f>IFERROR(VLOOKUP(IF(I108="ENFASIS",LEFT(M108,FIND("+",M108&amp;"+")-1),J108),Direccion_Grupo!$A$2:$G$100,7,FALSE),"")</f>
        <v/>
      </c>
    </row>
    <row r="109">
      <c r="A109" t="n">
        <v>38</v>
      </c>
      <c r="B109" t="inlineStr">
        <is>
          <t>Preciado Torres Oleisa</t>
        </is>
      </c>
      <c r="C109" t="inlineStr">
        <is>
          <t>LUNES</t>
        </is>
      </c>
      <c r="D109" t="n">
        <v>3</v>
      </c>
      <c r="E109" t="n">
        <v>2</v>
      </c>
      <c r="F109" t="n">
        <v>1</v>
      </c>
      <c r="G109" t="inlineStr">
        <is>
          <t>08:20</t>
        </is>
      </c>
      <c r="H109" t="inlineStr">
        <is>
          <t>09:05</t>
        </is>
      </c>
      <c r="I109" t="inlineStr">
        <is>
          <t>CLASE</t>
        </is>
      </c>
      <c r="J109" t="inlineStr">
        <is>
          <t>CS202</t>
        </is>
      </c>
      <c r="K109" t="inlineStr">
        <is>
          <t>MAT</t>
        </is>
      </c>
      <c r="L109" t="inlineStr"/>
      <c r="M109" t="inlineStr"/>
      <c r="N109" t="inlineStr"/>
      <c r="O109" t="inlineStr"/>
      <c r="P109" t="inlineStr">
        <is>
          <t>CS202-MAT</t>
        </is>
      </c>
      <c r="Q109">
        <f>IF(I109="ENFASIS","ÉNFASIS "&amp;M109,IFERROR(VLOOKUP(J109,Grupos!$A$2:$D$100,4,FALSE),J109))</f>
        <v/>
      </c>
      <c r="R109">
        <f>O109&amp;IF(N109&lt;&gt;"",IF(O109&lt;&gt;""," · ","")&amp;"Con: "&amp;N109,"")</f>
        <v/>
      </c>
      <c r="S109">
        <f>C109&amp;"|"&amp;D109</f>
        <v/>
      </c>
      <c r="T109">
        <f>COUNTIF($S$2:S109,S109)</f>
        <v/>
      </c>
      <c r="U109">
        <f>S109&amp;"|"&amp;T109</f>
        <v/>
      </c>
      <c r="V109">
        <f>IFERROR(VLOOKUP(IF(I109="ENFASIS",LEFT(M109,FIND("+",M109&amp;"+")-1),J109),Direccion_Grupo!$A$2:$G$100,7,FALSE),"")</f>
        <v/>
      </c>
    </row>
    <row r="110">
      <c r="A110" t="n">
        <v>7</v>
      </c>
      <c r="B110" t="inlineStr">
        <is>
          <t>Casanova Casanova Johana Andrea</t>
        </is>
      </c>
      <c r="C110" t="inlineStr">
        <is>
          <t>LUNES</t>
        </is>
      </c>
      <c r="D110" t="n">
        <v>3</v>
      </c>
      <c r="E110" t="n">
        <v>2</v>
      </c>
      <c r="F110" t="n">
        <v>1</v>
      </c>
      <c r="G110" t="inlineStr">
        <is>
          <t>08:20</t>
        </is>
      </c>
      <c r="H110" t="inlineStr">
        <is>
          <t>09:05</t>
        </is>
      </c>
      <c r="I110" t="inlineStr">
        <is>
          <t>ORIENTACION</t>
        </is>
      </c>
      <c r="J110" t="inlineStr">
        <is>
          <t>ORIENT</t>
        </is>
      </c>
      <c r="K110" t="inlineStr">
        <is>
          <t>ORIENTACIÓN ESCOLAR</t>
        </is>
      </c>
      <c r="L110" t="inlineStr"/>
      <c r="M110" t="inlineStr"/>
      <c r="N110" t="inlineStr"/>
      <c r="O110" t="inlineStr">
        <is>
          <t>Jornada 07:30 a 14:30</t>
        </is>
      </c>
      <c r="P110" t="inlineStr"/>
      <c r="Q110">
        <f>IF(I110="ENFASIS","ÉNFASIS "&amp;M110,IFERROR(VLOOKUP(J110,Grupos!$A$2:$D$100,4,FALSE),J110))</f>
        <v/>
      </c>
      <c r="R110">
        <f>O110&amp;IF(N110&lt;&gt;"",IF(O110&lt;&gt;""," · ","")&amp;"Con: "&amp;N110,"")</f>
        <v/>
      </c>
      <c r="S110">
        <f>C110&amp;"|"&amp;D110</f>
        <v/>
      </c>
      <c r="T110">
        <f>COUNTIF($S$2:S110,S110)</f>
        <v/>
      </c>
      <c r="U110">
        <f>S110&amp;"|"&amp;T110</f>
        <v/>
      </c>
      <c r="V110">
        <f>IFERROR(VLOOKUP(IF(I110="ENFASIS",LEFT(M110,FIND("+",M110&amp;"+")-1),J110),Direccion_Grupo!$A$2:$G$100,7,FALSE),"")</f>
        <v/>
      </c>
    </row>
    <row r="111">
      <c r="A111" t="n">
        <v>36</v>
      </c>
      <c r="B111" t="inlineStr">
        <is>
          <t>Ponce Moncayo Ángela Paola</t>
        </is>
      </c>
      <c r="C111" t="inlineStr">
        <is>
          <t>LUNES</t>
        </is>
      </c>
      <c r="D111" t="n">
        <v>3</v>
      </c>
      <c r="E111" t="n">
        <v>2</v>
      </c>
      <c r="F111" t="n">
        <v>1</v>
      </c>
      <c r="G111" t="inlineStr">
        <is>
          <t>08:20</t>
        </is>
      </c>
      <c r="H111" t="inlineStr">
        <is>
          <t>09:05</t>
        </is>
      </c>
      <c r="I111" t="inlineStr">
        <is>
          <t>ORIENTACION</t>
        </is>
      </c>
      <c r="J111" t="inlineStr">
        <is>
          <t>ORIENT</t>
        </is>
      </c>
      <c r="K111" t="inlineStr">
        <is>
          <t>ORIENTACIÓN ESCOLAR</t>
        </is>
      </c>
      <c r="L111" t="inlineStr"/>
      <c r="M111" t="inlineStr"/>
      <c r="N111" t="inlineStr"/>
      <c r="O111" t="inlineStr">
        <is>
          <t>Jornada 08:30 a 13:30</t>
        </is>
      </c>
      <c r="P111" t="inlineStr"/>
      <c r="Q111">
        <f>IF(I111="ENFASIS","ÉNFASIS "&amp;M111,IFERROR(VLOOKUP(J111,Grupos!$A$2:$D$100,4,FALSE),J111))</f>
        <v/>
      </c>
      <c r="R111">
        <f>O111&amp;IF(N111&lt;&gt;"",IF(O111&lt;&gt;""," · ","")&amp;"Con: "&amp;N111,"")</f>
        <v/>
      </c>
      <c r="S111">
        <f>C111&amp;"|"&amp;D111</f>
        <v/>
      </c>
      <c r="T111">
        <f>COUNTIF($S$2:S111,S111)</f>
        <v/>
      </c>
      <c r="U111">
        <f>S111&amp;"|"&amp;T111</f>
        <v/>
      </c>
      <c r="V111">
        <f>IFERROR(VLOOKUP(IF(I111="ENFASIS",LEFT(M111,FIND("+",M111&amp;"+")-1),J111),Direccion_Grupo!$A$2:$G$100,7,FALSE),"")</f>
        <v/>
      </c>
    </row>
    <row r="112">
      <c r="A112" t="n">
        <v>56</v>
      </c>
      <c r="B112" t="inlineStr">
        <is>
          <t>Ortiz Estacio Martha Cecilia</t>
        </is>
      </c>
      <c r="C112" t="inlineStr">
        <is>
          <t>LUNES</t>
        </is>
      </c>
      <c r="D112" t="n">
        <v>3</v>
      </c>
      <c r="E112" t="n">
        <v>2</v>
      </c>
      <c r="F112" t="n">
        <v>1</v>
      </c>
      <c r="G112" t="inlineStr">
        <is>
          <t>08:20</t>
        </is>
      </c>
      <c r="H112" t="inlineStr">
        <is>
          <t>09:05</t>
        </is>
      </c>
      <c r="I112" t="inlineStr">
        <is>
          <t>TUTORIA</t>
        </is>
      </c>
      <c r="J112" t="inlineStr">
        <is>
          <t>PTAFI</t>
        </is>
      </c>
      <c r="K112" t="inlineStr">
        <is>
          <t>TUTORÍA PTAFI</t>
        </is>
      </c>
      <c r="L112" t="inlineStr"/>
      <c r="M112" t="inlineStr"/>
      <c r="N112" t="inlineStr"/>
      <c r="O112" t="inlineStr">
        <is>
          <t>Jornada 06:30 a 12:00</t>
        </is>
      </c>
      <c r="P112" t="inlineStr"/>
      <c r="Q112">
        <f>IF(I112="ENFASIS","ÉNFASIS "&amp;M112,IFERROR(VLOOKUP(J112,Grupos!$A$2:$D$100,4,FALSE),J112))</f>
        <v/>
      </c>
      <c r="R112">
        <f>O112&amp;IF(N112&lt;&gt;"",IF(O112&lt;&gt;""," · ","")&amp;"Con: "&amp;N112,"")</f>
        <v/>
      </c>
      <c r="S112">
        <f>C112&amp;"|"&amp;D112</f>
        <v/>
      </c>
      <c r="T112">
        <f>COUNTIF($S$2:S112,S112)</f>
        <v/>
      </c>
      <c r="U112">
        <f>S112&amp;"|"&amp;T112</f>
        <v/>
      </c>
      <c r="V112">
        <f>IFERROR(VLOOKUP(IF(I112="ENFASIS",LEFT(M112,FIND("+",M112&amp;"+")-1),J112),Direccion_Grupo!$A$2:$G$100,7,FALSE),"")</f>
        <v/>
      </c>
    </row>
    <row r="113">
      <c r="A113" t="n">
        <v>22</v>
      </c>
      <c r="B113" t="inlineStr">
        <is>
          <t>González Castillo Jólmer Jimy</t>
        </is>
      </c>
      <c r="C113" t="inlineStr">
        <is>
          <t>LUNES</t>
        </is>
      </c>
      <c r="D113" t="n">
        <v>3</v>
      </c>
      <c r="E113" t="n">
        <v>2</v>
      </c>
      <c r="F113" t="n">
        <v>1</v>
      </c>
      <c r="G113" t="inlineStr">
        <is>
          <t>08:20</t>
        </is>
      </c>
      <c r="H113" t="inlineStr">
        <is>
          <t>09:05</t>
        </is>
      </c>
      <c r="I113" t="inlineStr">
        <is>
          <t>ENFASIS</t>
        </is>
      </c>
      <c r="J113" t="inlineStr"/>
      <c r="K113" t="inlineStr">
        <is>
          <t>ERD</t>
        </is>
      </c>
      <c r="L113" t="inlineStr">
        <is>
          <t>0901</t>
        </is>
      </c>
      <c r="M113" t="inlineStr">
        <is>
          <t>0901</t>
        </is>
      </c>
      <c r="N113" t="inlineStr">
        <is>
          <t>Valencia Marínez Saidy Eufemia (ART); Meza Banguera Gladys Alicia (CAS); Lemos Guancha Miriam (CNA)</t>
        </is>
      </c>
      <c r="O113" t="inlineStr">
        <is>
          <t>EQUIPO DE 4: cada docente atiende un grupo de estudiantes en su área</t>
        </is>
      </c>
      <c r="P113" t="inlineStr">
        <is>
          <t>ENFASIS-0901</t>
        </is>
      </c>
      <c r="Q113">
        <f>IF(I113="ENFASIS","ÉNFASIS "&amp;M113,IFERROR(VLOOKUP(J113,Grupos!$A$2:$D$100,4,FALSE),J113))</f>
        <v/>
      </c>
      <c r="R113">
        <f>O113&amp;IF(N113&lt;&gt;"",IF(O113&lt;&gt;""," · ","")&amp;"Con: "&amp;N113,"")</f>
        <v/>
      </c>
      <c r="S113">
        <f>C113&amp;"|"&amp;D113</f>
        <v/>
      </c>
      <c r="T113">
        <f>COUNTIF($S$2:S113,S113)</f>
        <v/>
      </c>
      <c r="U113">
        <f>S113&amp;"|"&amp;T113</f>
        <v/>
      </c>
      <c r="V113">
        <f>IFERROR(VLOOKUP(IF(I113="ENFASIS",LEFT(M113,FIND("+",M113&amp;"+")-1),J113),Direccion_Grupo!$A$2:$G$100,7,FALSE),"")</f>
        <v/>
      </c>
    </row>
    <row r="114">
      <c r="A114" t="n">
        <v>25</v>
      </c>
      <c r="B114" t="inlineStr">
        <is>
          <t>Lemos Guancha Miriam</t>
        </is>
      </c>
      <c r="C114" t="inlineStr">
        <is>
          <t>LUNES</t>
        </is>
      </c>
      <c r="D114" t="n">
        <v>3</v>
      </c>
      <c r="E114" t="n">
        <v>2</v>
      </c>
      <c r="F114" t="n">
        <v>1</v>
      </c>
      <c r="G114" t="inlineStr">
        <is>
          <t>08:20</t>
        </is>
      </c>
      <c r="H114" t="inlineStr">
        <is>
          <t>09:05</t>
        </is>
      </c>
      <c r="I114" t="inlineStr">
        <is>
          <t>ENFASIS</t>
        </is>
      </c>
      <c r="J114" t="inlineStr"/>
      <c r="K114" t="inlineStr">
        <is>
          <t>CNA</t>
        </is>
      </c>
      <c r="L114" t="inlineStr">
        <is>
          <t>0901</t>
        </is>
      </c>
      <c r="M114" t="inlineStr">
        <is>
          <t>0901</t>
        </is>
      </c>
      <c r="N114" t="inlineStr">
        <is>
          <t>Valencia Marínez Saidy Eufemia (ART); Meza Banguera Gladys Alicia (CAS); González Castillo Jólmer Jimy (ERD)</t>
        </is>
      </c>
      <c r="O114" t="inlineStr">
        <is>
          <t>EQUIPO DE 4: cada docente atiende un grupo de estudiantes en su área</t>
        </is>
      </c>
      <c r="P114" t="inlineStr">
        <is>
          <t>ENFASIS-0901</t>
        </is>
      </c>
      <c r="Q114">
        <f>IF(I114="ENFASIS","ÉNFASIS "&amp;M114,IFERROR(VLOOKUP(J114,Grupos!$A$2:$D$100,4,FALSE),J114))</f>
        <v/>
      </c>
      <c r="R114">
        <f>O114&amp;IF(N114&lt;&gt;"",IF(O114&lt;&gt;""," · ","")&amp;"Con: "&amp;N114,"")</f>
        <v/>
      </c>
      <c r="S114">
        <f>C114&amp;"|"&amp;D114</f>
        <v/>
      </c>
      <c r="T114">
        <f>COUNTIF($S$2:S114,S114)</f>
        <v/>
      </c>
      <c r="U114">
        <f>S114&amp;"|"&amp;T114</f>
        <v/>
      </c>
      <c r="V114">
        <f>IFERROR(VLOOKUP(IF(I114="ENFASIS",LEFT(M114,FIND("+",M114&amp;"+")-1),J114),Direccion_Grupo!$A$2:$G$100,7,FALSE),"")</f>
        <v/>
      </c>
    </row>
    <row r="115">
      <c r="A115" t="n">
        <v>28</v>
      </c>
      <c r="B115" t="inlineStr">
        <is>
          <t>Meza Banguera Gladys Alicia</t>
        </is>
      </c>
      <c r="C115" t="inlineStr">
        <is>
          <t>LUNES</t>
        </is>
      </c>
      <c r="D115" t="n">
        <v>3</v>
      </c>
      <c r="E115" t="n">
        <v>2</v>
      </c>
      <c r="F115" t="n">
        <v>1</v>
      </c>
      <c r="G115" t="inlineStr">
        <is>
          <t>08:20</t>
        </is>
      </c>
      <c r="H115" t="inlineStr">
        <is>
          <t>09:05</t>
        </is>
      </c>
      <c r="I115" t="inlineStr">
        <is>
          <t>ENFASIS</t>
        </is>
      </c>
      <c r="J115" t="inlineStr"/>
      <c r="K115" t="inlineStr">
        <is>
          <t>CAS</t>
        </is>
      </c>
      <c r="L115" t="inlineStr">
        <is>
          <t>0901</t>
        </is>
      </c>
      <c r="M115" t="inlineStr">
        <is>
          <t>0901</t>
        </is>
      </c>
      <c r="N115" t="inlineStr">
        <is>
          <t>Valencia Marínez Saidy Eufemia (ART); González Castillo Jólmer Jimy (ERD); Lemos Guancha Miriam (CNA)</t>
        </is>
      </c>
      <c r="O115" t="inlineStr">
        <is>
          <t>EQUIPO DE 4: cada docente atiende un grupo de estudiantes en su área</t>
        </is>
      </c>
      <c r="P115" t="inlineStr">
        <is>
          <t>ENFASIS-0901</t>
        </is>
      </c>
      <c r="Q115">
        <f>IF(I115="ENFASIS","ÉNFASIS "&amp;M115,IFERROR(VLOOKUP(J115,Grupos!$A$2:$D$100,4,FALSE),J115))</f>
        <v/>
      </c>
      <c r="R115">
        <f>O115&amp;IF(N115&lt;&gt;"",IF(O115&lt;&gt;""," · ","")&amp;"Con: "&amp;N115,"")</f>
        <v/>
      </c>
      <c r="S115">
        <f>C115&amp;"|"&amp;D115</f>
        <v/>
      </c>
      <c r="T115">
        <f>COUNTIF($S$2:S115,S115)</f>
        <v/>
      </c>
      <c r="U115">
        <f>S115&amp;"|"&amp;T115</f>
        <v/>
      </c>
      <c r="V115">
        <f>IFERROR(VLOOKUP(IF(I115="ENFASIS",LEFT(M115,FIND("+",M115&amp;"+")-1),J115),Direccion_Grupo!$A$2:$G$100,7,FALSE),"")</f>
        <v/>
      </c>
    </row>
    <row r="116">
      <c r="A116" t="n">
        <v>49</v>
      </c>
      <c r="B116" t="inlineStr">
        <is>
          <t>Valencia Marínez Saidy Eufemia</t>
        </is>
      </c>
      <c r="C116" t="inlineStr">
        <is>
          <t>LUNES</t>
        </is>
      </c>
      <c r="D116" t="n">
        <v>3</v>
      </c>
      <c r="E116" t="n">
        <v>2</v>
      </c>
      <c r="F116" t="n">
        <v>1</v>
      </c>
      <c r="G116" t="inlineStr">
        <is>
          <t>08:20</t>
        </is>
      </c>
      <c r="H116" t="inlineStr">
        <is>
          <t>09:05</t>
        </is>
      </c>
      <c r="I116" t="inlineStr">
        <is>
          <t>ENFASIS</t>
        </is>
      </c>
      <c r="J116" t="inlineStr"/>
      <c r="K116" t="inlineStr">
        <is>
          <t>ART</t>
        </is>
      </c>
      <c r="L116" t="inlineStr">
        <is>
          <t>0901</t>
        </is>
      </c>
      <c r="M116" t="inlineStr">
        <is>
          <t>0901</t>
        </is>
      </c>
      <c r="N116" t="inlineStr">
        <is>
          <t>Meza Banguera Gladys Alicia (CAS); González Castillo Jólmer Jimy (ERD); Lemos Guancha Miriam (CNA)</t>
        </is>
      </c>
      <c r="O116" t="inlineStr">
        <is>
          <t>EQUIPO DE 4: cada docente atiende un grupo de estudiantes en su área</t>
        </is>
      </c>
      <c r="P116" t="inlineStr">
        <is>
          <t>ENFASIS-0901</t>
        </is>
      </c>
      <c r="Q116">
        <f>IF(I116="ENFASIS","ÉNFASIS "&amp;M116,IFERROR(VLOOKUP(J116,Grupos!$A$2:$D$100,4,FALSE),J116))</f>
        <v/>
      </c>
      <c r="R116">
        <f>O116&amp;IF(N116&lt;&gt;"",IF(O116&lt;&gt;""," · ","")&amp;"Con: "&amp;N116,"")</f>
        <v/>
      </c>
      <c r="S116">
        <f>C116&amp;"|"&amp;D116</f>
        <v/>
      </c>
      <c r="T116">
        <f>COUNTIF($S$2:S116,S116)</f>
        <v/>
      </c>
      <c r="U116">
        <f>S116&amp;"|"&amp;T116</f>
        <v/>
      </c>
      <c r="V116">
        <f>IFERROR(VLOOKUP(IF(I116="ENFASIS",LEFT(M116,FIND("+",M116&amp;"+")-1),J116),Direccion_Grupo!$A$2:$G$100,7,FALSE),"")</f>
        <v/>
      </c>
    </row>
    <row r="117">
      <c r="A117" t="n">
        <v>2</v>
      </c>
      <c r="B117" t="inlineStr">
        <is>
          <t>Angulo Lucero Andrés Mauricio</t>
        </is>
      </c>
      <c r="C117" t="inlineStr">
        <is>
          <t>LUNES</t>
        </is>
      </c>
      <c r="D117" t="n">
        <v>3</v>
      </c>
      <c r="E117" t="n">
        <v>2</v>
      </c>
      <c r="F117" t="n">
        <v>1</v>
      </c>
      <c r="G117" t="inlineStr">
        <is>
          <t>08:20</t>
        </is>
      </c>
      <c r="H117" t="inlineStr">
        <is>
          <t>09:05</t>
        </is>
      </c>
      <c r="I117" t="inlineStr">
        <is>
          <t>ENFASIS</t>
        </is>
      </c>
      <c r="J117" t="inlineStr"/>
      <c r="K117" t="inlineStr">
        <is>
          <t>TEI</t>
        </is>
      </c>
      <c r="L117" t="inlineStr">
        <is>
          <t>D5-11°</t>
        </is>
      </c>
      <c r="M117" t="inlineStr">
        <is>
          <t>1102</t>
        </is>
      </c>
      <c r="N117" t="inlineStr">
        <is>
          <t>Pulgarín Ortiz César Marino (CSI); Montaño Arizala Leidis Claudina (ETR); Villota Rubio Janeth del Carmen (MAT)</t>
        </is>
      </c>
      <c r="O117" t="inlineStr">
        <is>
          <t>EQUIPO DE 4: cada docente atiende un grupo de estudiantes en su área</t>
        </is>
      </c>
      <c r="P117" t="inlineStr">
        <is>
          <t>ENFASIS-D5-11°</t>
        </is>
      </c>
      <c r="Q117">
        <f>IF(I117="ENFASIS","ÉNFASIS "&amp;M117,IFERROR(VLOOKUP(J117,Grupos!$A$2:$D$100,4,FALSE),J117))</f>
        <v/>
      </c>
      <c r="R117">
        <f>O117&amp;IF(N117&lt;&gt;"",IF(O117&lt;&gt;""," · ","")&amp;"Con: "&amp;N117,"")</f>
        <v/>
      </c>
      <c r="S117">
        <f>C117&amp;"|"&amp;D117</f>
        <v/>
      </c>
      <c r="T117">
        <f>COUNTIF($S$2:S117,S117)</f>
        <v/>
      </c>
      <c r="U117">
        <f>S117&amp;"|"&amp;T117</f>
        <v/>
      </c>
      <c r="V117">
        <f>IFERROR(VLOOKUP(IF(I117="ENFASIS",LEFT(M117,FIND("+",M117&amp;"+")-1),J117),Direccion_Grupo!$A$2:$G$100,7,FALSE),"")</f>
        <v/>
      </c>
    </row>
    <row r="118">
      <c r="A118" t="n">
        <v>31</v>
      </c>
      <c r="B118" t="inlineStr">
        <is>
          <t>Montaño Arizala Leidis Claudina</t>
        </is>
      </c>
      <c r="C118" t="inlineStr">
        <is>
          <t>LUNES</t>
        </is>
      </c>
      <c r="D118" t="n">
        <v>3</v>
      </c>
      <c r="E118" t="n">
        <v>2</v>
      </c>
      <c r="F118" t="n">
        <v>1</v>
      </c>
      <c r="G118" t="inlineStr">
        <is>
          <t>08:20</t>
        </is>
      </c>
      <c r="H118" t="inlineStr">
        <is>
          <t>09:05</t>
        </is>
      </c>
      <c r="I118" t="inlineStr">
        <is>
          <t>ENFASIS</t>
        </is>
      </c>
      <c r="J118" t="inlineStr"/>
      <c r="K118" t="inlineStr">
        <is>
          <t>ETR</t>
        </is>
      </c>
      <c r="L118" t="inlineStr">
        <is>
          <t>D5-11°</t>
        </is>
      </c>
      <c r="M118" t="inlineStr">
        <is>
          <t>1102</t>
        </is>
      </c>
      <c r="N118" t="inlineStr">
        <is>
          <t>Pulgarín Ortiz César Marino (CSI); Villota Rubio Janeth del Carmen (MAT); Angulo Lucero Andrés Mauricio (TEI)</t>
        </is>
      </c>
      <c r="O118" t="inlineStr">
        <is>
          <t>EQUIPO DE 4: cada docente atiende un grupo de estudiantes en su área</t>
        </is>
      </c>
      <c r="P118" t="inlineStr">
        <is>
          <t>ENFASIS-D5-11°</t>
        </is>
      </c>
      <c r="Q118">
        <f>IF(I118="ENFASIS","ÉNFASIS "&amp;M118,IFERROR(VLOOKUP(J118,Grupos!$A$2:$D$100,4,FALSE),J118))</f>
        <v/>
      </c>
      <c r="R118">
        <f>O118&amp;IF(N118&lt;&gt;"",IF(O118&lt;&gt;""," · ","")&amp;"Con: "&amp;N118,"")</f>
        <v/>
      </c>
      <c r="S118">
        <f>C118&amp;"|"&amp;D118</f>
        <v/>
      </c>
      <c r="T118">
        <f>COUNTIF($S$2:S118,S118)</f>
        <v/>
      </c>
      <c r="U118">
        <f>S118&amp;"|"&amp;T118</f>
        <v/>
      </c>
      <c r="V118">
        <f>IFERROR(VLOOKUP(IF(I118="ENFASIS",LEFT(M118,FIND("+",M118&amp;"+")-1),J118),Direccion_Grupo!$A$2:$G$100,7,FALSE),"")</f>
        <v/>
      </c>
    </row>
    <row r="119">
      <c r="A119" t="n">
        <v>40</v>
      </c>
      <c r="B119" t="inlineStr">
        <is>
          <t>Pulgarín Ortiz César Marino</t>
        </is>
      </c>
      <c r="C119" t="inlineStr">
        <is>
          <t>LUNES</t>
        </is>
      </c>
      <c r="D119" t="n">
        <v>3</v>
      </c>
      <c r="E119" t="n">
        <v>2</v>
      </c>
      <c r="F119" t="n">
        <v>1</v>
      </c>
      <c r="G119" t="inlineStr">
        <is>
          <t>08:20</t>
        </is>
      </c>
      <c r="H119" t="inlineStr">
        <is>
          <t>09:05</t>
        </is>
      </c>
      <c r="I119" t="inlineStr">
        <is>
          <t>ENFASIS</t>
        </is>
      </c>
      <c r="J119" t="inlineStr"/>
      <c r="K119" t="inlineStr">
        <is>
          <t>CSI</t>
        </is>
      </c>
      <c r="L119" t="inlineStr">
        <is>
          <t>D5-11°</t>
        </is>
      </c>
      <c r="M119" t="inlineStr">
        <is>
          <t>1102</t>
        </is>
      </c>
      <c r="N119" t="inlineStr">
        <is>
          <t>Montaño Arizala Leidis Claudina (ETR); Villota Rubio Janeth del Carmen (MAT); Angulo Lucero Andrés Mauricio (TEI)</t>
        </is>
      </c>
      <c r="O119" t="inlineStr">
        <is>
          <t>EQUIPO DE 4: cada docente atiende un grupo de estudiantes en su área</t>
        </is>
      </c>
      <c r="P119" t="inlineStr">
        <is>
          <t>ENFASIS-D5-11°</t>
        </is>
      </c>
      <c r="Q119">
        <f>IF(I119="ENFASIS","ÉNFASIS "&amp;M119,IFERROR(VLOOKUP(J119,Grupos!$A$2:$D$100,4,FALSE),J119))</f>
        <v/>
      </c>
      <c r="R119">
        <f>O119&amp;IF(N119&lt;&gt;"",IF(O119&lt;&gt;""," · ","")&amp;"Con: "&amp;N119,"")</f>
        <v/>
      </c>
      <c r="S119">
        <f>C119&amp;"|"&amp;D119</f>
        <v/>
      </c>
      <c r="T119">
        <f>COUNTIF($S$2:S119,S119)</f>
        <v/>
      </c>
      <c r="U119">
        <f>S119&amp;"|"&amp;T119</f>
        <v/>
      </c>
      <c r="V119">
        <f>IFERROR(VLOOKUP(IF(I119="ENFASIS",LEFT(M119,FIND("+",M119&amp;"+")-1),J119),Direccion_Grupo!$A$2:$G$100,7,FALSE),"")</f>
        <v/>
      </c>
    </row>
    <row r="120">
      <c r="A120" t="n">
        <v>54</v>
      </c>
      <c r="B120" t="inlineStr">
        <is>
          <t>Villota Rubio Janeth del Carmen</t>
        </is>
      </c>
      <c r="C120" t="inlineStr">
        <is>
          <t>LUNES</t>
        </is>
      </c>
      <c r="D120" t="n">
        <v>3</v>
      </c>
      <c r="E120" t="n">
        <v>2</v>
      </c>
      <c r="F120" t="n">
        <v>1</v>
      </c>
      <c r="G120" t="inlineStr">
        <is>
          <t>08:20</t>
        </is>
      </c>
      <c r="H120" t="inlineStr">
        <is>
          <t>09:05</t>
        </is>
      </c>
      <c r="I120" t="inlineStr">
        <is>
          <t>ENFASIS</t>
        </is>
      </c>
      <c r="J120" t="inlineStr"/>
      <c r="K120" t="inlineStr">
        <is>
          <t>MAT</t>
        </is>
      </c>
      <c r="L120" t="inlineStr">
        <is>
          <t>D5-11°</t>
        </is>
      </c>
      <c r="M120" t="inlineStr">
        <is>
          <t>1102</t>
        </is>
      </c>
      <c r="N120" t="inlineStr">
        <is>
          <t>Pulgarín Ortiz César Marino (CSI); Montaño Arizala Leidis Claudina (ETR); Angulo Lucero Andrés Mauricio (TEI)</t>
        </is>
      </c>
      <c r="O120" t="inlineStr">
        <is>
          <t>EQUIPO DE 4: cada docente atiende un grupo de estudiantes en su área</t>
        </is>
      </c>
      <c r="P120" t="inlineStr">
        <is>
          <t>ENFASIS-D5-11°</t>
        </is>
      </c>
      <c r="Q120">
        <f>IF(I120="ENFASIS","ÉNFASIS "&amp;M120,IFERROR(VLOOKUP(J120,Grupos!$A$2:$D$100,4,FALSE),J120))</f>
        <v/>
      </c>
      <c r="R120">
        <f>O120&amp;IF(N120&lt;&gt;"",IF(O120&lt;&gt;""," · ","")&amp;"Con: "&amp;N120,"")</f>
        <v/>
      </c>
      <c r="S120">
        <f>C120&amp;"|"&amp;D120</f>
        <v/>
      </c>
      <c r="T120">
        <f>COUNTIF($S$2:S120,S120)</f>
        <v/>
      </c>
      <c r="U120">
        <f>S120&amp;"|"&amp;T120</f>
        <v/>
      </c>
      <c r="V120">
        <f>IFERROR(VLOOKUP(IF(I120="ENFASIS",LEFT(M120,FIND("+",M120&amp;"+")-1),J120),Direccion_Grupo!$A$2:$G$100,7,FALSE),"")</f>
        <v/>
      </c>
    </row>
    <row r="121">
      <c r="A121" t="n">
        <v>50</v>
      </c>
      <c r="B121" t="inlineStr">
        <is>
          <t>Valencia Solís Gloria Alexa</t>
        </is>
      </c>
      <c r="C121" t="inlineStr">
        <is>
          <t>LUNES</t>
        </is>
      </c>
      <c r="D121" t="n">
        <v>4</v>
      </c>
      <c r="E121" t="n">
        <v>2</v>
      </c>
      <c r="F121" t="n">
        <v>2</v>
      </c>
      <c r="G121" t="inlineStr">
        <is>
          <t>08:30</t>
        </is>
      </c>
      <c r="H121" t="inlineStr">
        <is>
          <t>09:30</t>
        </is>
      </c>
      <c r="I121" t="inlineStr">
        <is>
          <t>AREAS_MULTIPLES</t>
        </is>
      </c>
      <c r="J121" t="inlineStr">
        <is>
          <t>0001</t>
        </is>
      </c>
      <c r="K121" t="inlineStr">
        <is>
          <t>ÁREAS MÚLTIPLES</t>
        </is>
      </c>
      <c r="L121" t="inlineStr"/>
      <c r="M121" t="inlineStr"/>
      <c r="N121" t="inlineStr"/>
      <c r="O121" t="inlineStr">
        <is>
          <t>Maestro de aula: todas las áreas con su grupo</t>
        </is>
      </c>
      <c r="P121" t="inlineStr"/>
      <c r="Q121">
        <f>IF(I121="ENFASIS","ÉNFASIS "&amp;M121,IFERROR(VLOOKUP(J121,Grupos!$A$2:$D$100,4,FALSE),J121))</f>
        <v/>
      </c>
      <c r="R121">
        <f>O121&amp;IF(N121&lt;&gt;"",IF(O121&lt;&gt;""," · ","")&amp;"Con: "&amp;N121,"")</f>
        <v/>
      </c>
      <c r="S121">
        <f>C121&amp;"|"&amp;D121</f>
        <v/>
      </c>
      <c r="T121">
        <f>COUNTIF($S$2:S121,S121)</f>
        <v/>
      </c>
      <c r="U121">
        <f>S121&amp;"|"&amp;T121</f>
        <v/>
      </c>
      <c r="V121">
        <f>IFERROR(VLOOKUP(IF(I121="ENFASIS",LEFT(M121,FIND("+",M121&amp;"+")-1),J121),Direccion_Grupo!$A$2:$G$100,7,FALSE),"")</f>
        <v/>
      </c>
    </row>
    <row r="122">
      <c r="A122" t="n">
        <v>27</v>
      </c>
      <c r="B122" t="inlineStr">
        <is>
          <t>Martínez Álvarez Andrea Ascención</t>
        </is>
      </c>
      <c r="C122" t="inlineStr">
        <is>
          <t>LUNES</t>
        </is>
      </c>
      <c r="D122" t="n">
        <v>4</v>
      </c>
      <c r="E122" t="n">
        <v>2</v>
      </c>
      <c r="F122" t="n">
        <v>2</v>
      </c>
      <c r="G122" t="inlineStr">
        <is>
          <t>08:30</t>
        </is>
      </c>
      <c r="H122" t="inlineStr">
        <is>
          <t>09:30</t>
        </is>
      </c>
      <c r="I122" t="inlineStr">
        <is>
          <t>AREAS_MULTIPLES</t>
        </is>
      </c>
      <c r="J122" t="inlineStr">
        <is>
          <t>0002</t>
        </is>
      </c>
      <c r="K122" t="inlineStr">
        <is>
          <t>ÁREAS MÚLTIPLES</t>
        </is>
      </c>
      <c r="L122" t="inlineStr"/>
      <c r="M122" t="inlineStr"/>
      <c r="N122" t="inlineStr"/>
      <c r="O122" t="inlineStr">
        <is>
          <t>Maestro de aula: todas las áreas con su grupo</t>
        </is>
      </c>
      <c r="P122" t="inlineStr"/>
      <c r="Q122">
        <f>IF(I122="ENFASIS","ÉNFASIS "&amp;M122,IFERROR(VLOOKUP(J122,Grupos!$A$2:$D$100,4,FALSE),J122))</f>
        <v/>
      </c>
      <c r="R122">
        <f>O122&amp;IF(N122&lt;&gt;"",IF(O122&lt;&gt;""," · ","")&amp;"Con: "&amp;N122,"")</f>
        <v/>
      </c>
      <c r="S122">
        <f>C122&amp;"|"&amp;D122</f>
        <v/>
      </c>
      <c r="T122">
        <f>COUNTIF($S$2:S122,S122)</f>
        <v/>
      </c>
      <c r="U122">
        <f>S122&amp;"|"&amp;T122</f>
        <v/>
      </c>
      <c r="V122">
        <f>IFERROR(VLOOKUP(IF(I122="ENFASIS",LEFT(M122,FIND("+",M122&amp;"+")-1),J122),Direccion_Grupo!$A$2:$G$100,7,FALSE),"")</f>
        <v/>
      </c>
    </row>
    <row r="123">
      <c r="A123" t="n">
        <v>23</v>
      </c>
      <c r="B123" t="inlineStr">
        <is>
          <t>Landázuri Quiñones María Elia</t>
        </is>
      </c>
      <c r="C123" t="inlineStr">
        <is>
          <t>LUNES</t>
        </is>
      </c>
      <c r="D123" t="n">
        <v>4</v>
      </c>
      <c r="E123" t="n">
        <v>2</v>
      </c>
      <c r="F123" t="n">
        <v>2</v>
      </c>
      <c r="G123" t="inlineStr">
        <is>
          <t>09:05</t>
        </is>
      </c>
      <c r="H123" t="inlineStr">
        <is>
          <t>09:50</t>
        </is>
      </c>
      <c r="I123" t="inlineStr">
        <is>
          <t>AREAS_MULTIPLES</t>
        </is>
      </c>
      <c r="J123" t="inlineStr">
        <is>
          <t>0101</t>
        </is>
      </c>
      <c r="K123" t="inlineStr">
        <is>
          <t>ÁREAS MÚLTIPLES</t>
        </is>
      </c>
      <c r="L123" t="inlineStr"/>
      <c r="M123" t="inlineStr"/>
      <c r="N123" t="inlineStr"/>
      <c r="O123" t="inlineStr">
        <is>
          <t>Maestro de aula: todas las áreas con su grupo</t>
        </is>
      </c>
      <c r="P123" t="inlineStr"/>
      <c r="Q123">
        <f>IF(I123="ENFASIS","ÉNFASIS "&amp;M123,IFERROR(VLOOKUP(J123,Grupos!$A$2:$D$100,4,FALSE),J123))</f>
        <v/>
      </c>
      <c r="R123">
        <f>O123&amp;IF(N123&lt;&gt;"",IF(O123&lt;&gt;""," · ","")&amp;"Con: "&amp;N123,"")</f>
        <v/>
      </c>
      <c r="S123">
        <f>C123&amp;"|"&amp;D123</f>
        <v/>
      </c>
      <c r="T123">
        <f>COUNTIF($S$2:S123,S123)</f>
        <v/>
      </c>
      <c r="U123">
        <f>S123&amp;"|"&amp;T123</f>
        <v/>
      </c>
      <c r="V123">
        <f>IFERROR(VLOOKUP(IF(I123="ENFASIS",LEFT(M123,FIND("+",M123&amp;"+")-1),J123),Direccion_Grupo!$A$2:$G$100,7,FALSE),"")</f>
        <v/>
      </c>
    </row>
    <row r="124">
      <c r="A124" t="n">
        <v>45</v>
      </c>
      <c r="B124" t="inlineStr">
        <is>
          <t>Sinisterra Ana Lucía</t>
        </is>
      </c>
      <c r="C124" t="inlineStr">
        <is>
          <t>LUNES</t>
        </is>
      </c>
      <c r="D124" t="n">
        <v>4</v>
      </c>
      <c r="E124" t="n">
        <v>2</v>
      </c>
      <c r="F124" t="n">
        <v>2</v>
      </c>
      <c r="G124" t="inlineStr">
        <is>
          <t>09:05</t>
        </is>
      </c>
      <c r="H124" t="inlineStr">
        <is>
          <t>09:50</t>
        </is>
      </c>
      <c r="I124" t="inlineStr">
        <is>
          <t>AREAS_MULTIPLES</t>
        </is>
      </c>
      <c r="J124" t="inlineStr">
        <is>
          <t>0102</t>
        </is>
      </c>
      <c r="K124" t="inlineStr">
        <is>
          <t>ÁREAS MÚLTIPLES</t>
        </is>
      </c>
      <c r="L124" t="inlineStr"/>
      <c r="M124" t="inlineStr"/>
      <c r="N124" t="inlineStr"/>
      <c r="O124" t="inlineStr">
        <is>
          <t>Maestro de aula: todas las áreas con su grupo</t>
        </is>
      </c>
      <c r="P124" t="inlineStr"/>
      <c r="Q124">
        <f>IF(I124="ENFASIS","ÉNFASIS "&amp;M124,IFERROR(VLOOKUP(J124,Grupos!$A$2:$D$100,4,FALSE),J124))</f>
        <v/>
      </c>
      <c r="R124">
        <f>O124&amp;IF(N124&lt;&gt;"",IF(O124&lt;&gt;""," · ","")&amp;"Con: "&amp;N124,"")</f>
        <v/>
      </c>
      <c r="S124">
        <f>C124&amp;"|"&amp;D124</f>
        <v/>
      </c>
      <c r="T124">
        <f>COUNTIF($S$2:S124,S124)</f>
        <v/>
      </c>
      <c r="U124">
        <f>S124&amp;"|"&amp;T124</f>
        <v/>
      </c>
      <c r="V124">
        <f>IFERROR(VLOOKUP(IF(I124="ENFASIS",LEFT(M124,FIND("+",M124&amp;"+")-1),J124),Direccion_Grupo!$A$2:$G$100,7,FALSE),"")</f>
        <v/>
      </c>
    </row>
    <row r="125">
      <c r="A125" t="n">
        <v>13</v>
      </c>
      <c r="B125" t="inlineStr">
        <is>
          <t>Cortés Salazar María Ebelice</t>
        </is>
      </c>
      <c r="C125" t="inlineStr">
        <is>
          <t>LUNES</t>
        </is>
      </c>
      <c r="D125" t="n">
        <v>4</v>
      </c>
      <c r="E125" t="n">
        <v>2</v>
      </c>
      <c r="F125" t="n">
        <v>2</v>
      </c>
      <c r="G125" t="inlineStr">
        <is>
          <t>09:05</t>
        </is>
      </c>
      <c r="H125" t="inlineStr">
        <is>
          <t>09:50</t>
        </is>
      </c>
      <c r="I125" t="inlineStr">
        <is>
          <t>AREAS_MULTIPLES</t>
        </is>
      </c>
      <c r="J125" t="inlineStr">
        <is>
          <t>0201</t>
        </is>
      </c>
      <c r="K125" t="inlineStr">
        <is>
          <t>ÁREAS MÚLTIPLES</t>
        </is>
      </c>
      <c r="L125" t="inlineStr"/>
      <c r="M125" t="inlineStr"/>
      <c r="N125" t="inlineStr"/>
      <c r="O125" t="inlineStr">
        <is>
          <t>Maestro de aula: todas las áreas con su grupo</t>
        </is>
      </c>
      <c r="P125" t="inlineStr"/>
      <c r="Q125">
        <f>IF(I125="ENFASIS","ÉNFASIS "&amp;M125,IFERROR(VLOOKUP(J125,Grupos!$A$2:$D$100,4,FALSE),J125))</f>
        <v/>
      </c>
      <c r="R125">
        <f>O125&amp;IF(N125&lt;&gt;"",IF(O125&lt;&gt;""," · ","")&amp;"Con: "&amp;N125,"")</f>
        <v/>
      </c>
      <c r="S125">
        <f>C125&amp;"|"&amp;D125</f>
        <v/>
      </c>
      <c r="T125">
        <f>COUNTIF($S$2:S125,S125)</f>
        <v/>
      </c>
      <c r="U125">
        <f>S125&amp;"|"&amp;T125</f>
        <v/>
      </c>
      <c r="V125">
        <f>IFERROR(VLOOKUP(IF(I125="ENFASIS",LEFT(M125,FIND("+",M125&amp;"+")-1),J125),Direccion_Grupo!$A$2:$G$100,7,FALSE),"")</f>
        <v/>
      </c>
    </row>
    <row r="126">
      <c r="A126" t="n">
        <v>21</v>
      </c>
      <c r="B126" t="inlineStr">
        <is>
          <t>Garzón Quiñones Sixta Janina</t>
        </is>
      </c>
      <c r="C126" t="inlineStr">
        <is>
          <t>LUNES</t>
        </is>
      </c>
      <c r="D126" t="n">
        <v>4</v>
      </c>
      <c r="E126" t="n">
        <v>2</v>
      </c>
      <c r="F126" t="n">
        <v>2</v>
      </c>
      <c r="G126" t="inlineStr">
        <is>
          <t>09:05</t>
        </is>
      </c>
      <c r="H126" t="inlineStr">
        <is>
          <t>09:50</t>
        </is>
      </c>
      <c r="I126" t="inlineStr">
        <is>
          <t>AREAS_MULTIPLES</t>
        </is>
      </c>
      <c r="J126" t="inlineStr">
        <is>
          <t>0202</t>
        </is>
      </c>
      <c r="K126" t="inlineStr">
        <is>
          <t>ÁREAS MÚLTIPLES</t>
        </is>
      </c>
      <c r="L126" t="inlineStr"/>
      <c r="M126" t="inlineStr"/>
      <c r="N126" t="inlineStr"/>
      <c r="O126" t="inlineStr">
        <is>
          <t>Maestro de aula: todas las áreas con su grupo</t>
        </is>
      </c>
      <c r="P126" t="inlineStr"/>
      <c r="Q126">
        <f>IF(I126="ENFASIS","ÉNFASIS "&amp;M126,IFERROR(VLOOKUP(J126,Grupos!$A$2:$D$100,4,FALSE),J126))</f>
        <v/>
      </c>
      <c r="R126">
        <f>O126&amp;IF(N126&lt;&gt;"",IF(O126&lt;&gt;""," · ","")&amp;"Con: "&amp;N126,"")</f>
        <v/>
      </c>
      <c r="S126">
        <f>C126&amp;"|"&amp;D126</f>
        <v/>
      </c>
      <c r="T126">
        <f>COUNTIF($S$2:S126,S126)</f>
        <v/>
      </c>
      <c r="U126">
        <f>S126&amp;"|"&amp;T126</f>
        <v/>
      </c>
      <c r="V126">
        <f>IFERROR(VLOOKUP(IF(I126="ENFASIS",LEFT(M126,FIND("+",M126&amp;"+")-1),J126),Direccion_Grupo!$A$2:$G$100,7,FALSE),"")</f>
        <v/>
      </c>
    </row>
    <row r="127">
      <c r="A127" t="n">
        <v>46</v>
      </c>
      <c r="B127" t="inlineStr">
        <is>
          <t>Tenorio Cuero Lucy Bivian</t>
        </is>
      </c>
      <c r="C127" t="inlineStr">
        <is>
          <t>LUNES</t>
        </is>
      </c>
      <c r="D127" t="n">
        <v>4</v>
      </c>
      <c r="E127" t="n">
        <v>2</v>
      </c>
      <c r="F127" t="n">
        <v>2</v>
      </c>
      <c r="G127" t="inlineStr">
        <is>
          <t>09:05</t>
        </is>
      </c>
      <c r="H127" t="inlineStr">
        <is>
          <t>09:50</t>
        </is>
      </c>
      <c r="I127" t="inlineStr">
        <is>
          <t>AREAS_MULTIPLES</t>
        </is>
      </c>
      <c r="J127" t="inlineStr">
        <is>
          <t>0203</t>
        </is>
      </c>
      <c r="K127" t="inlineStr">
        <is>
          <t>ÁREAS MÚLTIPLES</t>
        </is>
      </c>
      <c r="L127" t="inlineStr"/>
      <c r="M127" t="inlineStr"/>
      <c r="N127" t="inlineStr"/>
      <c r="O127" t="inlineStr">
        <is>
          <t>Maestro de aula: todas las áreas con su grupo</t>
        </is>
      </c>
      <c r="P127" t="inlineStr"/>
      <c r="Q127">
        <f>IF(I127="ENFASIS","ÉNFASIS "&amp;M127,IFERROR(VLOOKUP(J127,Grupos!$A$2:$D$100,4,FALSE),J127))</f>
        <v/>
      </c>
      <c r="R127">
        <f>O127&amp;IF(N127&lt;&gt;"",IF(O127&lt;&gt;""," · ","")&amp;"Con: "&amp;N127,"")</f>
        <v/>
      </c>
      <c r="S127">
        <f>C127&amp;"|"&amp;D127</f>
        <v/>
      </c>
      <c r="T127">
        <f>COUNTIF($S$2:S127,S127)</f>
        <v/>
      </c>
      <c r="U127">
        <f>S127&amp;"|"&amp;T127</f>
        <v/>
      </c>
      <c r="V127">
        <f>IFERROR(VLOOKUP(IF(I127="ENFASIS",LEFT(M127,FIND("+",M127&amp;"+")-1),J127),Direccion_Grupo!$A$2:$G$100,7,FALSE),"")</f>
        <v/>
      </c>
    </row>
    <row r="128">
      <c r="A128" t="n">
        <v>48</v>
      </c>
      <c r="B128" t="inlineStr">
        <is>
          <t>Torres Segura Encarnación</t>
        </is>
      </c>
      <c r="C128" t="inlineStr">
        <is>
          <t>LUNES</t>
        </is>
      </c>
      <c r="D128" t="n">
        <v>4</v>
      </c>
      <c r="E128" t="n">
        <v>2</v>
      </c>
      <c r="F128" t="n">
        <v>2</v>
      </c>
      <c r="G128" t="inlineStr">
        <is>
          <t>09:05</t>
        </is>
      </c>
      <c r="H128" t="inlineStr">
        <is>
          <t>09:50</t>
        </is>
      </c>
      <c r="I128" t="inlineStr">
        <is>
          <t>AREAS_MULTIPLES</t>
        </is>
      </c>
      <c r="J128" t="inlineStr">
        <is>
          <t>0301</t>
        </is>
      </c>
      <c r="K128" t="inlineStr">
        <is>
          <t>ÁREAS MÚLTIPLES</t>
        </is>
      </c>
      <c r="L128" t="inlineStr"/>
      <c r="M128" t="inlineStr"/>
      <c r="N128" t="inlineStr"/>
      <c r="O128" t="inlineStr">
        <is>
          <t>Maestro de aula: todas las áreas con su grupo</t>
        </is>
      </c>
      <c r="P128" t="inlineStr"/>
      <c r="Q128">
        <f>IF(I128="ENFASIS","ÉNFASIS "&amp;M128,IFERROR(VLOOKUP(J128,Grupos!$A$2:$D$100,4,FALSE),J128))</f>
        <v/>
      </c>
      <c r="R128">
        <f>O128&amp;IF(N128&lt;&gt;"",IF(O128&lt;&gt;""," · ","")&amp;"Con: "&amp;N128,"")</f>
        <v/>
      </c>
      <c r="S128">
        <f>C128&amp;"|"&amp;D128</f>
        <v/>
      </c>
      <c r="T128">
        <f>COUNTIF($S$2:S128,S128)</f>
        <v/>
      </c>
      <c r="U128">
        <f>S128&amp;"|"&amp;T128</f>
        <v/>
      </c>
      <c r="V128">
        <f>IFERROR(VLOOKUP(IF(I128="ENFASIS",LEFT(M128,FIND("+",M128&amp;"+")-1),J128),Direccion_Grupo!$A$2:$G$100,7,FALSE),"")</f>
        <v/>
      </c>
    </row>
    <row r="129">
      <c r="A129" t="n">
        <v>24</v>
      </c>
      <c r="B129" t="inlineStr">
        <is>
          <t>Landázuri Gallón Teresa</t>
        </is>
      </c>
      <c r="C129" t="inlineStr">
        <is>
          <t>LUNES</t>
        </is>
      </c>
      <c r="D129" t="n">
        <v>4</v>
      </c>
      <c r="E129" t="n">
        <v>2</v>
      </c>
      <c r="F129" t="n">
        <v>2</v>
      </c>
      <c r="G129" t="inlineStr">
        <is>
          <t>09:05</t>
        </is>
      </c>
      <c r="H129" t="inlineStr">
        <is>
          <t>09:50</t>
        </is>
      </c>
      <c r="I129" t="inlineStr">
        <is>
          <t>AREAS_MULTIPLES</t>
        </is>
      </c>
      <c r="J129" t="inlineStr">
        <is>
          <t>0302</t>
        </is>
      </c>
      <c r="K129" t="inlineStr">
        <is>
          <t>ÁREAS MÚLTIPLES</t>
        </is>
      </c>
      <c r="L129" t="inlineStr"/>
      <c r="M129" t="inlineStr"/>
      <c r="N129" t="inlineStr"/>
      <c r="O129" t="inlineStr">
        <is>
          <t>Maestro de aula: todas las áreas con su grupo</t>
        </is>
      </c>
      <c r="P129" t="inlineStr"/>
      <c r="Q129">
        <f>IF(I129="ENFASIS","ÉNFASIS "&amp;M129,IFERROR(VLOOKUP(J129,Grupos!$A$2:$D$100,4,FALSE),J129))</f>
        <v/>
      </c>
      <c r="R129">
        <f>O129&amp;IF(N129&lt;&gt;"",IF(O129&lt;&gt;""," · ","")&amp;"Con: "&amp;N129,"")</f>
        <v/>
      </c>
      <c r="S129">
        <f>C129&amp;"|"&amp;D129</f>
        <v/>
      </c>
      <c r="T129">
        <f>COUNTIF($S$2:S129,S129)</f>
        <v/>
      </c>
      <c r="U129">
        <f>S129&amp;"|"&amp;T129</f>
        <v/>
      </c>
      <c r="V129">
        <f>IFERROR(VLOOKUP(IF(I129="ENFASIS",LEFT(M129,FIND("+",M129&amp;"+")-1),J129),Direccion_Grupo!$A$2:$G$100,7,FALSE),"")</f>
        <v/>
      </c>
    </row>
    <row r="130">
      <c r="A130" t="n">
        <v>55</v>
      </c>
      <c r="B130" t="inlineStr">
        <is>
          <t>Zamora Ordóñez Celia Pastora</t>
        </is>
      </c>
      <c r="C130" t="inlineStr">
        <is>
          <t>LUNES</t>
        </is>
      </c>
      <c r="D130" t="n">
        <v>4</v>
      </c>
      <c r="E130" t="n">
        <v>2</v>
      </c>
      <c r="F130" t="n">
        <v>2</v>
      </c>
      <c r="G130" t="inlineStr">
        <is>
          <t>09:05</t>
        </is>
      </c>
      <c r="H130" t="inlineStr">
        <is>
          <t>09:50</t>
        </is>
      </c>
      <c r="I130" t="inlineStr">
        <is>
          <t>AREAS_MULTIPLES</t>
        </is>
      </c>
      <c r="J130" t="inlineStr">
        <is>
          <t>0401</t>
        </is>
      </c>
      <c r="K130" t="inlineStr">
        <is>
          <t>ÁREAS MÚLTIPLES</t>
        </is>
      </c>
      <c r="L130" t="inlineStr"/>
      <c r="M130" t="inlineStr"/>
      <c r="N130" t="inlineStr"/>
      <c r="O130" t="inlineStr">
        <is>
          <t>Maestro de aula: todas las áreas con su grupo</t>
        </is>
      </c>
      <c r="P130" t="inlineStr"/>
      <c r="Q130">
        <f>IF(I130="ENFASIS","ÉNFASIS "&amp;M130,IFERROR(VLOOKUP(J130,Grupos!$A$2:$D$100,4,FALSE),J130))</f>
        <v/>
      </c>
      <c r="R130">
        <f>O130&amp;IF(N130&lt;&gt;"",IF(O130&lt;&gt;""," · ","")&amp;"Con: "&amp;N130,"")</f>
        <v/>
      </c>
      <c r="S130">
        <f>C130&amp;"|"&amp;D130</f>
        <v/>
      </c>
      <c r="T130">
        <f>COUNTIF($S$2:S130,S130)</f>
        <v/>
      </c>
      <c r="U130">
        <f>S130&amp;"|"&amp;T130</f>
        <v/>
      </c>
      <c r="V130">
        <f>IFERROR(VLOOKUP(IF(I130="ENFASIS",LEFT(M130,FIND("+",M130&amp;"+")-1),J130),Direccion_Grupo!$A$2:$G$100,7,FALSE),"")</f>
        <v/>
      </c>
    </row>
    <row r="131">
      <c r="A131" t="n">
        <v>33</v>
      </c>
      <c r="B131" t="inlineStr">
        <is>
          <t>Núñez Perlaza Elcy</t>
        </is>
      </c>
      <c r="C131" t="inlineStr">
        <is>
          <t>LUNES</t>
        </is>
      </c>
      <c r="D131" t="n">
        <v>4</v>
      </c>
      <c r="E131" t="n">
        <v>2</v>
      </c>
      <c r="F131" t="n">
        <v>2</v>
      </c>
      <c r="G131" t="inlineStr">
        <is>
          <t>09:05</t>
        </is>
      </c>
      <c r="H131" t="inlineStr">
        <is>
          <t>09:50</t>
        </is>
      </c>
      <c r="I131" t="inlineStr">
        <is>
          <t>AREAS_MULTIPLES</t>
        </is>
      </c>
      <c r="J131" t="inlineStr">
        <is>
          <t>0402</t>
        </is>
      </c>
      <c r="K131" t="inlineStr">
        <is>
          <t>ÁREAS MÚLTIPLES</t>
        </is>
      </c>
      <c r="L131" t="inlineStr"/>
      <c r="M131" t="inlineStr"/>
      <c r="N131" t="inlineStr"/>
      <c r="O131" t="inlineStr">
        <is>
          <t>Maestro de aula: todas las áreas con su grupo</t>
        </is>
      </c>
      <c r="P131" t="inlineStr"/>
      <c r="Q131">
        <f>IF(I131="ENFASIS","ÉNFASIS "&amp;M131,IFERROR(VLOOKUP(J131,Grupos!$A$2:$D$100,4,FALSE),J131))</f>
        <v/>
      </c>
      <c r="R131">
        <f>O131&amp;IF(N131&lt;&gt;"",IF(O131&lt;&gt;""," · ","")&amp;"Con: "&amp;N131,"")</f>
        <v/>
      </c>
      <c r="S131">
        <f>C131&amp;"|"&amp;D131</f>
        <v/>
      </c>
      <c r="T131">
        <f>COUNTIF($S$2:S131,S131)</f>
        <v/>
      </c>
      <c r="U131">
        <f>S131&amp;"|"&amp;T131</f>
        <v/>
      </c>
      <c r="V131">
        <f>IFERROR(VLOOKUP(IF(I131="ENFASIS",LEFT(M131,FIND("+",M131&amp;"+")-1),J131),Direccion_Grupo!$A$2:$G$100,7,FALSE),"")</f>
        <v/>
      </c>
    </row>
    <row r="132">
      <c r="A132" t="n">
        <v>14</v>
      </c>
      <c r="B132" t="inlineStr">
        <is>
          <t>Cuéllar Gallo Nemesia</t>
        </is>
      </c>
      <c r="C132" t="inlineStr">
        <is>
          <t>LUNES</t>
        </is>
      </c>
      <c r="D132" t="n">
        <v>4</v>
      </c>
      <c r="E132" t="n">
        <v>2</v>
      </c>
      <c r="F132" t="n">
        <v>2</v>
      </c>
      <c r="G132" t="inlineStr">
        <is>
          <t>09:05</t>
        </is>
      </c>
      <c r="H132" t="inlineStr">
        <is>
          <t>09:50</t>
        </is>
      </c>
      <c r="I132" t="inlineStr">
        <is>
          <t>AREAS_MULTIPLES</t>
        </is>
      </c>
      <c r="J132" t="inlineStr">
        <is>
          <t>0501</t>
        </is>
      </c>
      <c r="K132" t="inlineStr">
        <is>
          <t>ÁREAS MÚLTIPLES</t>
        </is>
      </c>
      <c r="L132" t="inlineStr"/>
      <c r="M132" t="inlineStr"/>
      <c r="N132" t="inlineStr"/>
      <c r="O132" t="inlineStr">
        <is>
          <t>Maestro de aula: todas las áreas con su grupo</t>
        </is>
      </c>
      <c r="P132" t="inlineStr"/>
      <c r="Q132">
        <f>IF(I132="ENFASIS","ÉNFASIS "&amp;M132,IFERROR(VLOOKUP(J132,Grupos!$A$2:$D$100,4,FALSE),J132))</f>
        <v/>
      </c>
      <c r="R132">
        <f>O132&amp;IF(N132&lt;&gt;"",IF(O132&lt;&gt;""," · ","")&amp;"Con: "&amp;N132,"")</f>
        <v/>
      </c>
      <c r="S132">
        <f>C132&amp;"|"&amp;D132</f>
        <v/>
      </c>
      <c r="T132">
        <f>COUNTIF($S$2:S132,S132)</f>
        <v/>
      </c>
      <c r="U132">
        <f>S132&amp;"|"&amp;T132</f>
        <v/>
      </c>
      <c r="V132">
        <f>IFERROR(VLOOKUP(IF(I132="ENFASIS",LEFT(M132,FIND("+",M132&amp;"+")-1),J132),Direccion_Grupo!$A$2:$G$100,7,FALSE),"")</f>
        <v/>
      </c>
    </row>
    <row r="133">
      <c r="A133" t="n">
        <v>11</v>
      </c>
      <c r="B133" t="inlineStr">
        <is>
          <t>Centeno Zúñiga Claudia Patricia</t>
        </is>
      </c>
      <c r="C133" t="inlineStr">
        <is>
          <t>LUNES</t>
        </is>
      </c>
      <c r="D133" t="n">
        <v>4</v>
      </c>
      <c r="E133" t="n">
        <v>2</v>
      </c>
      <c r="F133" t="n">
        <v>2</v>
      </c>
      <c r="G133" t="inlineStr">
        <is>
          <t>09:05</t>
        </is>
      </c>
      <c r="H133" t="inlineStr">
        <is>
          <t>09:50</t>
        </is>
      </c>
      <c r="I133" t="inlineStr">
        <is>
          <t>AREAS_MULTIPLES</t>
        </is>
      </c>
      <c r="J133" t="inlineStr">
        <is>
          <t>0502</t>
        </is>
      </c>
      <c r="K133" t="inlineStr">
        <is>
          <t>ÁREAS MÚLTIPLES</t>
        </is>
      </c>
      <c r="L133" t="inlineStr"/>
      <c r="M133" t="inlineStr"/>
      <c r="N133" t="inlineStr"/>
      <c r="O133" t="inlineStr">
        <is>
          <t>Maestro de aula: todas las áreas con su grupo</t>
        </is>
      </c>
      <c r="P133" t="inlineStr"/>
      <c r="Q133">
        <f>IF(I133="ENFASIS","ÉNFASIS "&amp;M133,IFERROR(VLOOKUP(J133,Grupos!$A$2:$D$100,4,FALSE),J133))</f>
        <v/>
      </c>
      <c r="R133">
        <f>O133&amp;IF(N133&lt;&gt;"",IF(O133&lt;&gt;""," · ","")&amp;"Con: "&amp;N133,"")</f>
        <v/>
      </c>
      <c r="S133">
        <f>C133&amp;"|"&amp;D133</f>
        <v/>
      </c>
      <c r="T133">
        <f>COUNTIF($S$2:S133,S133)</f>
        <v/>
      </c>
      <c r="U133">
        <f>S133&amp;"|"&amp;T133</f>
        <v/>
      </c>
      <c r="V133">
        <f>IFERROR(VLOOKUP(IF(I133="ENFASIS",LEFT(M133,FIND("+",M133&amp;"+")-1),J133),Direccion_Grupo!$A$2:$G$100,7,FALSE),"")</f>
        <v/>
      </c>
    </row>
    <row r="134">
      <c r="A134" t="n">
        <v>32</v>
      </c>
      <c r="B134" t="inlineStr">
        <is>
          <t>Narváez Sánchez Dora Alejandra</t>
        </is>
      </c>
      <c r="C134" t="inlineStr">
        <is>
          <t>LUNES</t>
        </is>
      </c>
      <c r="D134" t="n">
        <v>4</v>
      </c>
      <c r="E134" t="n">
        <v>2</v>
      </c>
      <c r="F134" t="n">
        <v>2</v>
      </c>
      <c r="G134" t="inlineStr">
        <is>
          <t>09:05</t>
        </is>
      </c>
      <c r="H134" t="inlineStr">
        <is>
          <t>09:50</t>
        </is>
      </c>
      <c r="I134" t="inlineStr">
        <is>
          <t>AREAS_MULTIPLES</t>
        </is>
      </c>
      <c r="J134" t="inlineStr">
        <is>
          <t>0503</t>
        </is>
      </c>
      <c r="K134" t="inlineStr">
        <is>
          <t>ÁREAS MÚLTIPLES</t>
        </is>
      </c>
      <c r="L134" t="inlineStr"/>
      <c r="M134" t="inlineStr"/>
      <c r="N134" t="inlineStr"/>
      <c r="O134" t="inlineStr">
        <is>
          <t>Maestro de aula: todas las áreas con su grupo</t>
        </is>
      </c>
      <c r="P134" t="inlineStr"/>
      <c r="Q134">
        <f>IF(I134="ENFASIS","ÉNFASIS "&amp;M134,IFERROR(VLOOKUP(J134,Grupos!$A$2:$D$100,4,FALSE),J134))</f>
        <v/>
      </c>
      <c r="R134">
        <f>O134&amp;IF(N134&lt;&gt;"",IF(O134&lt;&gt;""," · ","")&amp;"Con: "&amp;N134,"")</f>
        <v/>
      </c>
      <c r="S134">
        <f>C134&amp;"|"&amp;D134</f>
        <v/>
      </c>
      <c r="T134">
        <f>COUNTIF($S$2:S134,S134)</f>
        <v/>
      </c>
      <c r="U134">
        <f>S134&amp;"|"&amp;T134</f>
        <v/>
      </c>
      <c r="V134">
        <f>IFERROR(VLOOKUP(IF(I134="ENFASIS",LEFT(M134,FIND("+",M134&amp;"+")-1),J134),Direccion_Grupo!$A$2:$G$100,7,FALSE),"")</f>
        <v/>
      </c>
    </row>
    <row r="135">
      <c r="A135" t="n">
        <v>17</v>
      </c>
      <c r="B135" t="inlineStr">
        <is>
          <t>Escobar Cortés Liliana</t>
        </is>
      </c>
      <c r="C135" t="inlineStr">
        <is>
          <t>LUNES</t>
        </is>
      </c>
      <c r="D135" t="n">
        <v>4</v>
      </c>
      <c r="E135" t="n">
        <v>2</v>
      </c>
      <c r="F135" t="n">
        <v>2</v>
      </c>
      <c r="G135" t="inlineStr">
        <is>
          <t>09:05</t>
        </is>
      </c>
      <c r="H135" t="inlineStr">
        <is>
          <t>09:50</t>
        </is>
      </c>
      <c r="I135" t="inlineStr">
        <is>
          <t>AREAS_MULTIPLES</t>
        </is>
      </c>
      <c r="J135" t="inlineStr">
        <is>
          <t>0504</t>
        </is>
      </c>
      <c r="K135" t="inlineStr">
        <is>
          <t>ÁREAS MÚLTIPLES</t>
        </is>
      </c>
      <c r="L135" t="inlineStr"/>
      <c r="M135" t="inlineStr"/>
      <c r="N135" t="inlineStr"/>
      <c r="O135" t="inlineStr">
        <is>
          <t>Maestro de aula: todas las áreas con su grupo</t>
        </is>
      </c>
      <c r="P135" t="inlineStr"/>
      <c r="Q135">
        <f>IF(I135="ENFASIS","ÉNFASIS "&amp;M135,IFERROR(VLOOKUP(J135,Grupos!$A$2:$D$100,4,FALSE),J135))</f>
        <v/>
      </c>
      <c r="R135">
        <f>O135&amp;IF(N135&lt;&gt;"",IF(O135&lt;&gt;""," · ","")&amp;"Con: "&amp;N135,"")</f>
        <v/>
      </c>
      <c r="S135">
        <f>C135&amp;"|"&amp;D135</f>
        <v/>
      </c>
      <c r="T135">
        <f>COUNTIF($S$2:S135,S135)</f>
        <v/>
      </c>
      <c r="U135">
        <f>S135&amp;"|"&amp;T135</f>
        <v/>
      </c>
      <c r="V135">
        <f>IFERROR(VLOOKUP(IF(I135="ENFASIS",LEFT(M135,FIND("+",M135&amp;"+")-1),J135),Direccion_Grupo!$A$2:$G$100,7,FALSE),"")</f>
        <v/>
      </c>
    </row>
    <row r="136">
      <c r="A136" t="n">
        <v>16</v>
      </c>
      <c r="B136" t="inlineStr">
        <is>
          <t>Cuero Rincón Hernando Jesús</t>
        </is>
      </c>
      <c r="C136" t="inlineStr">
        <is>
          <t>LUNES</t>
        </is>
      </c>
      <c r="D136" t="n">
        <v>4</v>
      </c>
      <c r="E136" t="n">
        <v>2</v>
      </c>
      <c r="F136" t="n">
        <v>2</v>
      </c>
      <c r="G136" t="inlineStr">
        <is>
          <t>09:05</t>
        </is>
      </c>
      <c r="H136" t="inlineStr">
        <is>
          <t>09:50</t>
        </is>
      </c>
      <c r="I136" t="inlineStr">
        <is>
          <t>CLASE</t>
        </is>
      </c>
      <c r="J136" t="inlineStr">
        <is>
          <t>0601</t>
        </is>
      </c>
      <c r="K136" t="inlineStr">
        <is>
          <t>CAS</t>
        </is>
      </c>
      <c r="L136" t="inlineStr"/>
      <c r="M136" t="inlineStr"/>
      <c r="N136" t="inlineStr"/>
      <c r="O136" t="inlineStr"/>
      <c r="P136" t="inlineStr">
        <is>
          <t>0601-CAS</t>
        </is>
      </c>
      <c r="Q136">
        <f>IF(I136="ENFASIS","ÉNFASIS "&amp;M136,IFERROR(VLOOKUP(J136,Grupos!$A$2:$D$100,4,FALSE),J136))</f>
        <v/>
      </c>
      <c r="R136">
        <f>O136&amp;IF(N136&lt;&gt;"",IF(O136&lt;&gt;""," · ","")&amp;"Con: "&amp;N136,"")</f>
        <v/>
      </c>
      <c r="S136">
        <f>C136&amp;"|"&amp;D136</f>
        <v/>
      </c>
      <c r="T136">
        <f>COUNTIF($S$2:S136,S136)</f>
        <v/>
      </c>
      <c r="U136">
        <f>S136&amp;"|"&amp;T136</f>
        <v/>
      </c>
      <c r="V136">
        <f>IFERROR(VLOOKUP(IF(I136="ENFASIS",LEFT(M136,FIND("+",M136&amp;"+")-1),J136),Direccion_Grupo!$A$2:$G$100,7,FALSE),"")</f>
        <v/>
      </c>
    </row>
    <row r="137">
      <c r="A137" t="n">
        <v>37</v>
      </c>
      <c r="B137" t="inlineStr">
        <is>
          <t>Prado Quiñones Genís Maribel</t>
        </is>
      </c>
      <c r="C137" t="inlineStr">
        <is>
          <t>LUNES</t>
        </is>
      </c>
      <c r="D137" t="n">
        <v>4</v>
      </c>
      <c r="E137" t="n">
        <v>2</v>
      </c>
      <c r="F137" t="n">
        <v>2</v>
      </c>
      <c r="G137" t="inlineStr">
        <is>
          <t>09:05</t>
        </is>
      </c>
      <c r="H137" t="inlineStr">
        <is>
          <t>09:50</t>
        </is>
      </c>
      <c r="I137" t="inlineStr">
        <is>
          <t>CLASE</t>
        </is>
      </c>
      <c r="J137" t="inlineStr">
        <is>
          <t>0602</t>
        </is>
      </c>
      <c r="K137" t="inlineStr">
        <is>
          <t>ART</t>
        </is>
      </c>
      <c r="L137" t="inlineStr"/>
      <c r="M137" t="inlineStr"/>
      <c r="N137" t="inlineStr"/>
      <c r="O137" t="inlineStr"/>
      <c r="P137" t="inlineStr">
        <is>
          <t>0602-ART</t>
        </is>
      </c>
      <c r="Q137">
        <f>IF(I137="ENFASIS","ÉNFASIS "&amp;M137,IFERROR(VLOOKUP(J137,Grupos!$A$2:$D$100,4,FALSE),J137))</f>
        <v/>
      </c>
      <c r="R137">
        <f>O137&amp;IF(N137&lt;&gt;"",IF(O137&lt;&gt;""," · ","")&amp;"Con: "&amp;N137,"")</f>
        <v/>
      </c>
      <c r="S137">
        <f>C137&amp;"|"&amp;D137</f>
        <v/>
      </c>
      <c r="T137">
        <f>COUNTIF($S$2:S137,S137)</f>
        <v/>
      </c>
      <c r="U137">
        <f>S137&amp;"|"&amp;T137</f>
        <v/>
      </c>
      <c r="V137">
        <f>IFERROR(VLOOKUP(IF(I137="ENFASIS",LEFT(M137,FIND("+",M137&amp;"+")-1),J137),Direccion_Grupo!$A$2:$G$100,7,FALSE),"")</f>
        <v/>
      </c>
    </row>
    <row r="138">
      <c r="A138" t="n">
        <v>52</v>
      </c>
      <c r="B138" t="inlineStr">
        <is>
          <t>Vásquez Valencia Segundo Leoncio</t>
        </is>
      </c>
      <c r="C138" t="inlineStr">
        <is>
          <t>LUNES</t>
        </is>
      </c>
      <c r="D138" t="n">
        <v>4</v>
      </c>
      <c r="E138" t="n">
        <v>2</v>
      </c>
      <c r="F138" t="n">
        <v>2</v>
      </c>
      <c r="G138" t="inlineStr">
        <is>
          <t>09:05</t>
        </is>
      </c>
      <c r="H138" t="inlineStr">
        <is>
          <t>09:50</t>
        </is>
      </c>
      <c r="I138" t="inlineStr">
        <is>
          <t>CLASE</t>
        </is>
      </c>
      <c r="J138" t="inlineStr">
        <is>
          <t>0701</t>
        </is>
      </c>
      <c r="K138" t="inlineStr">
        <is>
          <t>MAT</t>
        </is>
      </c>
      <c r="L138" t="inlineStr"/>
      <c r="M138" t="inlineStr"/>
      <c r="N138" t="inlineStr"/>
      <c r="O138" t="inlineStr"/>
      <c r="P138" t="inlineStr">
        <is>
          <t>0701-MAT</t>
        </is>
      </c>
      <c r="Q138">
        <f>IF(I138="ENFASIS","ÉNFASIS "&amp;M138,IFERROR(VLOOKUP(J138,Grupos!$A$2:$D$100,4,FALSE),J138))</f>
        <v/>
      </c>
      <c r="R138">
        <f>O138&amp;IF(N138&lt;&gt;"",IF(O138&lt;&gt;""," · ","")&amp;"Con: "&amp;N138,"")</f>
        <v/>
      </c>
      <c r="S138">
        <f>C138&amp;"|"&amp;D138</f>
        <v/>
      </c>
      <c r="T138">
        <f>COUNTIF($S$2:S138,S138)</f>
        <v/>
      </c>
      <c r="U138">
        <f>S138&amp;"|"&amp;T138</f>
        <v/>
      </c>
      <c r="V138">
        <f>IFERROR(VLOOKUP(IF(I138="ENFASIS",LEFT(M138,FIND("+",M138&amp;"+")-1),J138),Direccion_Grupo!$A$2:$G$100,7,FALSE),"")</f>
        <v/>
      </c>
    </row>
    <row r="139">
      <c r="A139" t="n">
        <v>4</v>
      </c>
      <c r="B139" t="inlineStr">
        <is>
          <t>Arizala Castro Roberto Carlos</t>
        </is>
      </c>
      <c r="C139" t="inlineStr">
        <is>
          <t>LUNES</t>
        </is>
      </c>
      <c r="D139" t="n">
        <v>4</v>
      </c>
      <c r="E139" t="n">
        <v>2</v>
      </c>
      <c r="F139" t="n">
        <v>2</v>
      </c>
      <c r="G139" t="inlineStr">
        <is>
          <t>09:05</t>
        </is>
      </c>
      <c r="H139" t="inlineStr">
        <is>
          <t>09:50</t>
        </is>
      </c>
      <c r="I139" t="inlineStr">
        <is>
          <t>CLASE</t>
        </is>
      </c>
      <c r="J139" t="inlineStr">
        <is>
          <t>0702</t>
        </is>
      </c>
      <c r="K139" t="inlineStr">
        <is>
          <t>ERD</t>
        </is>
      </c>
      <c r="L139" t="inlineStr"/>
      <c r="M139" t="inlineStr"/>
      <c r="N139" t="inlineStr"/>
      <c r="O139" t="inlineStr"/>
      <c r="P139" t="inlineStr">
        <is>
          <t>0702-ERD</t>
        </is>
      </c>
      <c r="Q139">
        <f>IF(I139="ENFASIS","ÉNFASIS "&amp;M139,IFERROR(VLOOKUP(J139,Grupos!$A$2:$D$100,4,FALSE),J139))</f>
        <v/>
      </c>
      <c r="R139">
        <f>O139&amp;IF(N139&lt;&gt;"",IF(O139&lt;&gt;""," · ","")&amp;"Con: "&amp;N139,"")</f>
        <v/>
      </c>
      <c r="S139">
        <f>C139&amp;"|"&amp;D139</f>
        <v/>
      </c>
      <c r="T139">
        <f>COUNTIF($S$2:S139,S139)</f>
        <v/>
      </c>
      <c r="U139">
        <f>S139&amp;"|"&amp;T139</f>
        <v/>
      </c>
      <c r="V139">
        <f>IFERROR(VLOOKUP(IF(I139="ENFASIS",LEFT(M139,FIND("+",M139&amp;"+")-1),J139),Direccion_Grupo!$A$2:$G$100,7,FALSE),"")</f>
        <v/>
      </c>
    </row>
    <row r="140">
      <c r="A140" t="n">
        <v>34</v>
      </c>
      <c r="B140" t="inlineStr">
        <is>
          <t>Ordóñez Tenorio Jaime Marcial</t>
        </is>
      </c>
      <c r="C140" t="inlineStr">
        <is>
          <t>LUNES</t>
        </is>
      </c>
      <c r="D140" t="n">
        <v>4</v>
      </c>
      <c r="E140" t="n">
        <v>2</v>
      </c>
      <c r="F140" t="n">
        <v>2</v>
      </c>
      <c r="G140" t="inlineStr">
        <is>
          <t>09:05</t>
        </is>
      </c>
      <c r="H140" t="inlineStr">
        <is>
          <t>09:50</t>
        </is>
      </c>
      <c r="I140" t="inlineStr">
        <is>
          <t>CLASE</t>
        </is>
      </c>
      <c r="J140" t="inlineStr">
        <is>
          <t>0703</t>
        </is>
      </c>
      <c r="K140" t="inlineStr">
        <is>
          <t>CNA</t>
        </is>
      </c>
      <c r="L140" t="inlineStr"/>
      <c r="M140" t="inlineStr"/>
      <c r="N140" t="inlineStr"/>
      <c r="O140" t="inlineStr"/>
      <c r="P140" t="inlineStr">
        <is>
          <t>0703-CNA</t>
        </is>
      </c>
      <c r="Q140">
        <f>IF(I140="ENFASIS","ÉNFASIS "&amp;M140,IFERROR(VLOOKUP(J140,Grupos!$A$2:$D$100,4,FALSE),J140))</f>
        <v/>
      </c>
      <c r="R140">
        <f>O140&amp;IF(N140&lt;&gt;"",IF(O140&lt;&gt;""," · ","")&amp;"Con: "&amp;N140,"")</f>
        <v/>
      </c>
      <c r="S140">
        <f>C140&amp;"|"&amp;D140</f>
        <v/>
      </c>
      <c r="T140">
        <f>COUNTIF($S$2:S140,S140)</f>
        <v/>
      </c>
      <c r="U140">
        <f>S140&amp;"|"&amp;T140</f>
        <v/>
      </c>
      <c r="V140">
        <f>IFERROR(VLOOKUP(IF(I140="ENFASIS",LEFT(M140,FIND("+",M140&amp;"+")-1),J140),Direccion_Grupo!$A$2:$G$100,7,FALSE),"")</f>
        <v/>
      </c>
    </row>
    <row r="141">
      <c r="A141" t="n">
        <v>8</v>
      </c>
      <c r="B141" t="inlineStr">
        <is>
          <t>Casanova Quiñones Yoli del Carmen</t>
        </is>
      </c>
      <c r="C141" t="inlineStr">
        <is>
          <t>LUNES</t>
        </is>
      </c>
      <c r="D141" t="n">
        <v>4</v>
      </c>
      <c r="E141" t="n">
        <v>2</v>
      </c>
      <c r="F141" t="n">
        <v>2</v>
      </c>
      <c r="G141" t="inlineStr">
        <is>
          <t>09:05</t>
        </is>
      </c>
      <c r="H141" t="inlineStr">
        <is>
          <t>09:50</t>
        </is>
      </c>
      <c r="I141" t="inlineStr">
        <is>
          <t>CLASE</t>
        </is>
      </c>
      <c r="J141" t="inlineStr">
        <is>
          <t>0704</t>
        </is>
      </c>
      <c r="K141" t="inlineStr">
        <is>
          <t>ETR</t>
        </is>
      </c>
      <c r="L141" t="inlineStr"/>
      <c r="M141" t="inlineStr"/>
      <c r="N141" t="inlineStr"/>
      <c r="O141" t="inlineStr">
        <is>
          <t>Ética / Religión (alternan cada semana)</t>
        </is>
      </c>
      <c r="P141" t="inlineStr">
        <is>
          <t>0704-ETR</t>
        </is>
      </c>
      <c r="Q141">
        <f>IF(I141="ENFASIS","ÉNFASIS "&amp;M141,IFERROR(VLOOKUP(J141,Grupos!$A$2:$D$100,4,FALSE),J141))</f>
        <v/>
      </c>
      <c r="R141">
        <f>O141&amp;IF(N141&lt;&gt;"",IF(O141&lt;&gt;""," · ","")&amp;"Con: "&amp;N141,"")</f>
        <v/>
      </c>
      <c r="S141">
        <f>C141&amp;"|"&amp;D141</f>
        <v/>
      </c>
      <c r="T141">
        <f>COUNTIF($S$2:S141,S141)</f>
        <v/>
      </c>
      <c r="U141">
        <f>S141&amp;"|"&amp;T141</f>
        <v/>
      </c>
      <c r="V141">
        <f>IFERROR(VLOOKUP(IF(I141="ENFASIS",LEFT(M141,FIND("+",M141&amp;"+")-1),J141),Direccion_Grupo!$A$2:$G$100,7,FALSE),"")</f>
        <v/>
      </c>
    </row>
    <row r="142">
      <c r="A142" t="n">
        <v>19</v>
      </c>
      <c r="B142" t="inlineStr">
        <is>
          <t>Fernández Vélez Alfredo Enrique</t>
        </is>
      </c>
      <c r="C142" t="inlineStr">
        <is>
          <t>LUNES</t>
        </is>
      </c>
      <c r="D142" t="n">
        <v>4</v>
      </c>
      <c r="E142" t="n">
        <v>2</v>
      </c>
      <c r="F142" t="n">
        <v>2</v>
      </c>
      <c r="G142" t="inlineStr">
        <is>
          <t>09:05</t>
        </is>
      </c>
      <c r="H142" t="inlineStr">
        <is>
          <t>09:50</t>
        </is>
      </c>
      <c r="I142" t="inlineStr">
        <is>
          <t>CLASE</t>
        </is>
      </c>
      <c r="J142" t="inlineStr">
        <is>
          <t>0801</t>
        </is>
      </c>
      <c r="K142" t="inlineStr">
        <is>
          <t>TEI</t>
        </is>
      </c>
      <c r="L142" t="inlineStr"/>
      <c r="M142" t="inlineStr"/>
      <c r="N142" t="inlineStr"/>
      <c r="O142" t="inlineStr"/>
      <c r="P142" t="inlineStr">
        <is>
          <t>0801-TEI</t>
        </is>
      </c>
      <c r="Q142">
        <f>IF(I142="ENFASIS","ÉNFASIS "&amp;M142,IFERROR(VLOOKUP(J142,Grupos!$A$2:$D$100,4,FALSE),J142))</f>
        <v/>
      </c>
      <c r="R142">
        <f>O142&amp;IF(N142&lt;&gt;"",IF(O142&lt;&gt;""," · ","")&amp;"Con: "&amp;N142,"")</f>
        <v/>
      </c>
      <c r="S142">
        <f>C142&amp;"|"&amp;D142</f>
        <v/>
      </c>
      <c r="T142">
        <f>COUNTIF($S$2:S142,S142)</f>
        <v/>
      </c>
      <c r="U142">
        <f>S142&amp;"|"&amp;T142</f>
        <v/>
      </c>
      <c r="V142">
        <f>IFERROR(VLOOKUP(IF(I142="ENFASIS",LEFT(M142,FIND("+",M142&amp;"+")-1),J142),Direccion_Grupo!$A$2:$G$100,7,FALSE),"")</f>
        <v/>
      </c>
    </row>
    <row r="143">
      <c r="A143" t="n">
        <v>51</v>
      </c>
      <c r="B143" t="inlineStr">
        <is>
          <t>Valverde Montaño María Teresa</t>
        </is>
      </c>
      <c r="C143" t="inlineStr">
        <is>
          <t>LUNES</t>
        </is>
      </c>
      <c r="D143" t="n">
        <v>4</v>
      </c>
      <c r="E143" t="n">
        <v>2</v>
      </c>
      <c r="F143" t="n">
        <v>2</v>
      </c>
      <c r="G143" t="inlineStr">
        <is>
          <t>09:05</t>
        </is>
      </c>
      <c r="H143" t="inlineStr">
        <is>
          <t>09:50</t>
        </is>
      </c>
      <c r="I143" t="inlineStr">
        <is>
          <t>CLASE</t>
        </is>
      </c>
      <c r="J143" t="inlineStr">
        <is>
          <t>0802</t>
        </is>
      </c>
      <c r="K143" t="inlineStr">
        <is>
          <t>CAS</t>
        </is>
      </c>
      <c r="L143" t="inlineStr"/>
      <c r="M143" t="inlineStr"/>
      <c r="N143" t="inlineStr"/>
      <c r="O143" t="inlineStr"/>
      <c r="P143" t="inlineStr">
        <is>
          <t>0802-CAS</t>
        </is>
      </c>
      <c r="Q143">
        <f>IF(I143="ENFASIS","ÉNFASIS "&amp;M143,IFERROR(VLOOKUP(J143,Grupos!$A$2:$D$100,4,FALSE),J143))</f>
        <v/>
      </c>
      <c r="R143">
        <f>O143&amp;IF(N143&lt;&gt;"",IF(O143&lt;&gt;""," · ","")&amp;"Con: "&amp;N143,"")</f>
        <v/>
      </c>
      <c r="S143">
        <f>C143&amp;"|"&amp;D143</f>
        <v/>
      </c>
      <c r="T143">
        <f>COUNTIF($S$2:S143,S143)</f>
        <v/>
      </c>
      <c r="U143">
        <f>S143&amp;"|"&amp;T143</f>
        <v/>
      </c>
      <c r="V143">
        <f>IFERROR(VLOOKUP(IF(I143="ENFASIS",LEFT(M143,FIND("+",M143&amp;"+")-1),J143),Direccion_Grupo!$A$2:$G$100,7,FALSE),"")</f>
        <v/>
      </c>
    </row>
    <row r="144">
      <c r="A144" t="n">
        <v>29</v>
      </c>
      <c r="B144" t="inlineStr">
        <is>
          <t>Mindineros Satizábal John Jáver</t>
        </is>
      </c>
      <c r="C144" t="inlineStr">
        <is>
          <t>LUNES</t>
        </is>
      </c>
      <c r="D144" t="n">
        <v>4</v>
      </c>
      <c r="E144" t="n">
        <v>2</v>
      </c>
      <c r="F144" t="n">
        <v>2</v>
      </c>
      <c r="G144" t="inlineStr">
        <is>
          <t>09:05</t>
        </is>
      </c>
      <c r="H144" t="inlineStr">
        <is>
          <t>09:50</t>
        </is>
      </c>
      <c r="I144" t="inlineStr">
        <is>
          <t>CLASE</t>
        </is>
      </c>
      <c r="J144" t="inlineStr">
        <is>
          <t>0902</t>
        </is>
      </c>
      <c r="K144" t="inlineStr">
        <is>
          <t>TEI</t>
        </is>
      </c>
      <c r="L144" t="inlineStr"/>
      <c r="M144" t="inlineStr"/>
      <c r="N144" t="inlineStr"/>
      <c r="O144" t="inlineStr"/>
      <c r="P144" t="inlineStr">
        <is>
          <t>0902-TEI</t>
        </is>
      </c>
      <c r="Q144">
        <f>IF(I144="ENFASIS","ÉNFASIS "&amp;M144,IFERROR(VLOOKUP(J144,Grupos!$A$2:$D$100,4,FALSE),J144))</f>
        <v/>
      </c>
      <c r="R144">
        <f>O144&amp;IF(N144&lt;&gt;"",IF(O144&lt;&gt;""," · ","")&amp;"Con: "&amp;N144,"")</f>
        <v/>
      </c>
      <c r="S144">
        <f>C144&amp;"|"&amp;D144</f>
        <v/>
      </c>
      <c r="T144">
        <f>COUNTIF($S$2:S144,S144)</f>
        <v/>
      </c>
      <c r="U144">
        <f>S144&amp;"|"&amp;T144</f>
        <v/>
      </c>
      <c r="V144">
        <f>IFERROR(VLOOKUP(IF(I144="ENFASIS",LEFT(M144,FIND("+",M144&amp;"+")-1),J144),Direccion_Grupo!$A$2:$G$100,7,FALSE),"")</f>
        <v/>
      </c>
    </row>
    <row r="145">
      <c r="A145" t="n">
        <v>6</v>
      </c>
      <c r="B145" t="inlineStr">
        <is>
          <t>Betancourth Ocampo Yohana Patricia</t>
        </is>
      </c>
      <c r="C145" t="inlineStr">
        <is>
          <t>LUNES</t>
        </is>
      </c>
      <c r="D145" t="n">
        <v>4</v>
      </c>
      <c r="E145" t="n">
        <v>2</v>
      </c>
      <c r="F145" t="n">
        <v>2</v>
      </c>
      <c r="G145" t="inlineStr">
        <is>
          <t>09:05</t>
        </is>
      </c>
      <c r="H145" t="inlineStr">
        <is>
          <t>09:50</t>
        </is>
      </c>
      <c r="I145" t="inlineStr">
        <is>
          <t>CLASE</t>
        </is>
      </c>
      <c r="J145" t="inlineStr">
        <is>
          <t>1001</t>
        </is>
      </c>
      <c r="K145" t="inlineStr">
        <is>
          <t>CSI</t>
        </is>
      </c>
      <c r="L145" t="inlineStr"/>
      <c r="M145" t="inlineStr"/>
      <c r="N145" t="inlineStr"/>
      <c r="O145" t="inlineStr">
        <is>
          <t>Sociales / Inglés (alternan cada semana)</t>
        </is>
      </c>
      <c r="P145" t="inlineStr">
        <is>
          <t>1001-CSI</t>
        </is>
      </c>
      <c r="Q145">
        <f>IF(I145="ENFASIS","ÉNFASIS "&amp;M145,IFERROR(VLOOKUP(J145,Grupos!$A$2:$D$100,4,FALSE),J145))</f>
        <v/>
      </c>
      <c r="R145">
        <f>O145&amp;IF(N145&lt;&gt;"",IF(O145&lt;&gt;""," · ","")&amp;"Con: "&amp;N145,"")</f>
        <v/>
      </c>
      <c r="S145">
        <f>C145&amp;"|"&amp;D145</f>
        <v/>
      </c>
      <c r="T145">
        <f>COUNTIF($S$2:S145,S145)</f>
        <v/>
      </c>
      <c r="U145">
        <f>S145&amp;"|"&amp;T145</f>
        <v/>
      </c>
      <c r="V145">
        <f>IFERROR(VLOOKUP(IF(I145="ENFASIS",LEFT(M145,FIND("+",M145&amp;"+")-1),J145),Direccion_Grupo!$A$2:$G$100,7,FALSE),"")</f>
        <v/>
      </c>
    </row>
    <row r="146">
      <c r="A146" t="n">
        <v>3</v>
      </c>
      <c r="B146" t="inlineStr">
        <is>
          <t>Arboleda Ortiz Luz América</t>
        </is>
      </c>
      <c r="C146" t="inlineStr">
        <is>
          <t>LUNES</t>
        </is>
      </c>
      <c r="D146" t="n">
        <v>4</v>
      </c>
      <c r="E146" t="n">
        <v>2</v>
      </c>
      <c r="F146" t="n">
        <v>2</v>
      </c>
      <c r="G146" t="inlineStr">
        <is>
          <t>09:05</t>
        </is>
      </c>
      <c r="H146" t="inlineStr">
        <is>
          <t>09:50</t>
        </is>
      </c>
      <c r="I146" t="inlineStr">
        <is>
          <t>CLASE</t>
        </is>
      </c>
      <c r="J146" t="inlineStr">
        <is>
          <t>1002</t>
        </is>
      </c>
      <c r="K146" t="inlineStr">
        <is>
          <t>ART</t>
        </is>
      </c>
      <c r="L146" t="inlineStr"/>
      <c r="M146" t="inlineStr"/>
      <c r="N146" t="inlineStr"/>
      <c r="O146" t="inlineStr"/>
      <c r="P146" t="inlineStr">
        <is>
          <t>1002-ART</t>
        </is>
      </c>
      <c r="Q146">
        <f>IF(I146="ENFASIS","ÉNFASIS "&amp;M146,IFERROR(VLOOKUP(J146,Grupos!$A$2:$D$100,4,FALSE),J146))</f>
        <v/>
      </c>
      <c r="R146">
        <f>O146&amp;IF(N146&lt;&gt;"",IF(O146&lt;&gt;""," · ","")&amp;"Con: "&amp;N146,"")</f>
        <v/>
      </c>
      <c r="S146">
        <f>C146&amp;"|"&amp;D146</f>
        <v/>
      </c>
      <c r="T146">
        <f>COUNTIF($S$2:S146,S146)</f>
        <v/>
      </c>
      <c r="U146">
        <f>S146&amp;"|"&amp;T146</f>
        <v/>
      </c>
      <c r="V146">
        <f>IFERROR(VLOOKUP(IF(I146="ENFASIS",LEFT(M146,FIND("+",M146&amp;"+")-1),J146),Direccion_Grupo!$A$2:$G$100,7,FALSE),"")</f>
        <v/>
      </c>
    </row>
    <row r="147">
      <c r="A147" t="n">
        <v>53</v>
      </c>
      <c r="B147" t="inlineStr">
        <is>
          <t>Villota Rubio Héctor Hugo</t>
        </is>
      </c>
      <c r="C147" t="inlineStr">
        <is>
          <t>LUNES</t>
        </is>
      </c>
      <c r="D147" t="n">
        <v>4</v>
      </c>
      <c r="E147" t="n">
        <v>2</v>
      </c>
      <c r="F147" t="n">
        <v>2</v>
      </c>
      <c r="G147" t="inlineStr">
        <is>
          <t>09:05</t>
        </is>
      </c>
      <c r="H147" t="inlineStr">
        <is>
          <t>09:50</t>
        </is>
      </c>
      <c r="I147" t="inlineStr">
        <is>
          <t>CLASE</t>
        </is>
      </c>
      <c r="J147" t="inlineStr">
        <is>
          <t>1101</t>
        </is>
      </c>
      <c r="K147" t="inlineStr">
        <is>
          <t>CNA</t>
        </is>
      </c>
      <c r="L147" t="inlineStr"/>
      <c r="M147" t="inlineStr"/>
      <c r="N147" t="inlineStr"/>
      <c r="O147" t="inlineStr"/>
      <c r="P147" t="inlineStr">
        <is>
          <t>1101-CNA</t>
        </is>
      </c>
      <c r="Q147">
        <f>IF(I147="ENFASIS","ÉNFASIS "&amp;M147,IFERROR(VLOOKUP(J147,Grupos!$A$2:$D$100,4,FALSE),J147))</f>
        <v/>
      </c>
      <c r="R147">
        <f>O147&amp;IF(N147&lt;&gt;"",IF(O147&lt;&gt;""," · ","")&amp;"Con: "&amp;N147,"")</f>
        <v/>
      </c>
      <c r="S147">
        <f>C147&amp;"|"&amp;D147</f>
        <v/>
      </c>
      <c r="T147">
        <f>COUNTIF($S$2:S147,S147)</f>
        <v/>
      </c>
      <c r="U147">
        <f>S147&amp;"|"&amp;T147</f>
        <v/>
      </c>
      <c r="V147">
        <f>IFERROR(VLOOKUP(IF(I147="ENFASIS",LEFT(M147,FIND("+",M147&amp;"+")-1),J147),Direccion_Grupo!$A$2:$G$100,7,FALSE),"")</f>
        <v/>
      </c>
    </row>
    <row r="148">
      <c r="A148" t="n">
        <v>26</v>
      </c>
      <c r="B148" t="inlineStr">
        <is>
          <t>Lozano Torres Amanda Inés</t>
        </is>
      </c>
      <c r="C148" t="inlineStr">
        <is>
          <t>LUNES</t>
        </is>
      </c>
      <c r="D148" t="n">
        <v>4</v>
      </c>
      <c r="E148" t="n">
        <v>2</v>
      </c>
      <c r="F148" t="n">
        <v>2</v>
      </c>
      <c r="G148" t="inlineStr">
        <is>
          <t>09:05</t>
        </is>
      </c>
      <c r="H148" t="inlineStr">
        <is>
          <t>09:50</t>
        </is>
      </c>
      <c r="I148" t="inlineStr">
        <is>
          <t>CLASE</t>
        </is>
      </c>
      <c r="J148" t="inlineStr">
        <is>
          <t>CS101</t>
        </is>
      </c>
      <c r="K148" t="inlineStr">
        <is>
          <t>ETR</t>
        </is>
      </c>
      <c r="L148" t="inlineStr"/>
      <c r="M148" t="inlineStr"/>
      <c r="N148" t="inlineStr"/>
      <c r="O148" t="inlineStr">
        <is>
          <t>Ética / Religión (alternan cada semana)</t>
        </is>
      </c>
      <c r="P148" t="inlineStr">
        <is>
          <t>CS101-ETR</t>
        </is>
      </c>
      <c r="Q148">
        <f>IF(I148="ENFASIS","ÉNFASIS "&amp;M148,IFERROR(VLOOKUP(J148,Grupos!$A$2:$D$100,4,FALSE),J148))</f>
        <v/>
      </c>
      <c r="R148">
        <f>O148&amp;IF(N148&lt;&gt;"",IF(O148&lt;&gt;""," · ","")&amp;"Con: "&amp;N148,"")</f>
        <v/>
      </c>
      <c r="S148">
        <f>C148&amp;"|"&amp;D148</f>
        <v/>
      </c>
      <c r="T148">
        <f>COUNTIF($S$2:S148,S148)</f>
        <v/>
      </c>
      <c r="U148">
        <f>S148&amp;"|"&amp;T148</f>
        <v/>
      </c>
      <c r="V148">
        <f>IFERROR(VLOOKUP(IF(I148="ENFASIS",LEFT(M148,FIND("+",M148&amp;"+")-1),J148),Direccion_Grupo!$A$2:$G$100,7,FALSE),"")</f>
        <v/>
      </c>
    </row>
    <row r="149">
      <c r="A149" t="n">
        <v>57</v>
      </c>
      <c r="B149" t="inlineStr">
        <is>
          <t>Armero Dájome Jesús</t>
        </is>
      </c>
      <c r="C149" t="inlineStr">
        <is>
          <t>LUNES</t>
        </is>
      </c>
      <c r="D149" t="n">
        <v>4</v>
      </c>
      <c r="E149" t="n">
        <v>2</v>
      </c>
      <c r="F149" t="n">
        <v>2</v>
      </c>
      <c r="G149" t="inlineStr">
        <is>
          <t>09:05</t>
        </is>
      </c>
      <c r="H149" t="inlineStr">
        <is>
          <t>09:50</t>
        </is>
      </c>
      <c r="I149" t="inlineStr">
        <is>
          <t>CLASE</t>
        </is>
      </c>
      <c r="J149" t="inlineStr">
        <is>
          <t>CS102</t>
        </is>
      </c>
      <c r="K149" t="inlineStr">
        <is>
          <t>ERD</t>
        </is>
      </c>
      <c r="L149" t="inlineStr"/>
      <c r="M149" t="inlineStr"/>
      <c r="N149" t="inlineStr"/>
      <c r="O149" t="inlineStr"/>
      <c r="P149" t="inlineStr">
        <is>
          <t>CS102-ERD</t>
        </is>
      </c>
      <c r="Q149">
        <f>IF(I149="ENFASIS","ÉNFASIS "&amp;M149,IFERROR(VLOOKUP(J149,Grupos!$A$2:$D$100,4,FALSE),J149))</f>
        <v/>
      </c>
      <c r="R149">
        <f>O149&amp;IF(N149&lt;&gt;"",IF(O149&lt;&gt;""," · ","")&amp;"Con: "&amp;N149,"")</f>
        <v/>
      </c>
      <c r="S149">
        <f>C149&amp;"|"&amp;D149</f>
        <v/>
      </c>
      <c r="T149">
        <f>COUNTIF($S$2:S149,S149)</f>
        <v/>
      </c>
      <c r="U149">
        <f>S149&amp;"|"&amp;T149</f>
        <v/>
      </c>
      <c r="V149">
        <f>IFERROR(VLOOKUP(IF(I149="ENFASIS",LEFT(M149,FIND("+",M149&amp;"+")-1),J149),Direccion_Grupo!$A$2:$G$100,7,FALSE),"")</f>
        <v/>
      </c>
    </row>
    <row r="150">
      <c r="A150" t="n">
        <v>44</v>
      </c>
      <c r="B150" t="inlineStr">
        <is>
          <t>Samaniego Angulo Flor Mireya</t>
        </is>
      </c>
      <c r="C150" t="inlineStr">
        <is>
          <t>LUNES</t>
        </is>
      </c>
      <c r="D150" t="n">
        <v>4</v>
      </c>
      <c r="E150" t="n">
        <v>2</v>
      </c>
      <c r="F150" t="n">
        <v>2</v>
      </c>
      <c r="G150" t="inlineStr">
        <is>
          <t>09:05</t>
        </is>
      </c>
      <c r="H150" t="inlineStr">
        <is>
          <t>09:50</t>
        </is>
      </c>
      <c r="I150" t="inlineStr">
        <is>
          <t>CLASE</t>
        </is>
      </c>
      <c r="J150" t="inlineStr">
        <is>
          <t>CS201</t>
        </is>
      </c>
      <c r="K150" t="inlineStr">
        <is>
          <t>ART</t>
        </is>
      </c>
      <c r="L150" t="inlineStr"/>
      <c r="M150" t="inlineStr"/>
      <c r="N150" t="inlineStr"/>
      <c r="O150" t="inlineStr"/>
      <c r="P150" t="inlineStr">
        <is>
          <t>CS201-ART</t>
        </is>
      </c>
      <c r="Q150">
        <f>IF(I150="ENFASIS","ÉNFASIS "&amp;M150,IFERROR(VLOOKUP(J150,Grupos!$A$2:$D$100,4,FALSE),J150))</f>
        <v/>
      </c>
      <c r="R150">
        <f>O150&amp;IF(N150&lt;&gt;"",IF(O150&lt;&gt;""," · ","")&amp;"Con: "&amp;N150,"")</f>
        <v/>
      </c>
      <c r="S150">
        <f>C150&amp;"|"&amp;D150</f>
        <v/>
      </c>
      <c r="T150">
        <f>COUNTIF($S$2:S150,S150)</f>
        <v/>
      </c>
      <c r="U150">
        <f>S150&amp;"|"&amp;T150</f>
        <v/>
      </c>
      <c r="V150">
        <f>IFERROR(VLOOKUP(IF(I150="ENFASIS",LEFT(M150,FIND("+",M150&amp;"+")-1),J150),Direccion_Grupo!$A$2:$G$100,7,FALSE),"")</f>
        <v/>
      </c>
    </row>
    <row r="151">
      <c r="A151" t="n">
        <v>38</v>
      </c>
      <c r="B151" t="inlineStr">
        <is>
          <t>Preciado Torres Oleisa</t>
        </is>
      </c>
      <c r="C151" t="inlineStr">
        <is>
          <t>LUNES</t>
        </is>
      </c>
      <c r="D151" t="n">
        <v>4</v>
      </c>
      <c r="E151" t="n">
        <v>2</v>
      </c>
      <c r="F151" t="n">
        <v>2</v>
      </c>
      <c r="G151" t="inlineStr">
        <is>
          <t>09:05</t>
        </is>
      </c>
      <c r="H151" t="inlineStr">
        <is>
          <t>09:50</t>
        </is>
      </c>
      <c r="I151" t="inlineStr">
        <is>
          <t>CLASE</t>
        </is>
      </c>
      <c r="J151" t="inlineStr">
        <is>
          <t>CS202</t>
        </is>
      </c>
      <c r="K151" t="inlineStr">
        <is>
          <t>MAT</t>
        </is>
      </c>
      <c r="L151" t="inlineStr"/>
      <c r="M151" t="inlineStr"/>
      <c r="N151" t="inlineStr"/>
      <c r="O151" t="inlineStr"/>
      <c r="P151" t="inlineStr">
        <is>
          <t>CS202-MAT</t>
        </is>
      </c>
      <c r="Q151">
        <f>IF(I151="ENFASIS","ÉNFASIS "&amp;M151,IFERROR(VLOOKUP(J151,Grupos!$A$2:$D$100,4,FALSE),J151))</f>
        <v/>
      </c>
      <c r="R151">
        <f>O151&amp;IF(N151&lt;&gt;"",IF(O151&lt;&gt;""," · ","")&amp;"Con: "&amp;N151,"")</f>
        <v/>
      </c>
      <c r="S151">
        <f>C151&amp;"|"&amp;D151</f>
        <v/>
      </c>
      <c r="T151">
        <f>COUNTIF($S$2:S151,S151)</f>
        <v/>
      </c>
      <c r="U151">
        <f>S151&amp;"|"&amp;T151</f>
        <v/>
      </c>
      <c r="V151">
        <f>IFERROR(VLOOKUP(IF(I151="ENFASIS",LEFT(M151,FIND("+",M151&amp;"+")-1),J151),Direccion_Grupo!$A$2:$G$100,7,FALSE),"")</f>
        <v/>
      </c>
    </row>
    <row r="152">
      <c r="A152" t="n">
        <v>7</v>
      </c>
      <c r="B152" t="inlineStr">
        <is>
          <t>Casanova Casanova Johana Andrea</t>
        </is>
      </c>
      <c r="C152" t="inlineStr">
        <is>
          <t>LUNES</t>
        </is>
      </c>
      <c r="D152" t="n">
        <v>4</v>
      </c>
      <c r="E152" t="n">
        <v>2</v>
      </c>
      <c r="F152" t="n">
        <v>2</v>
      </c>
      <c r="G152" t="inlineStr">
        <is>
          <t>09:05</t>
        </is>
      </c>
      <c r="H152" t="inlineStr">
        <is>
          <t>09:50</t>
        </is>
      </c>
      <c r="I152" t="inlineStr">
        <is>
          <t>ORIENTACION</t>
        </is>
      </c>
      <c r="J152" t="inlineStr">
        <is>
          <t>ORIENT</t>
        </is>
      </c>
      <c r="K152" t="inlineStr">
        <is>
          <t>ORIENTACIÓN ESCOLAR</t>
        </is>
      </c>
      <c r="L152" t="inlineStr"/>
      <c r="M152" t="inlineStr"/>
      <c r="N152" t="inlineStr"/>
      <c r="O152" t="inlineStr">
        <is>
          <t>Jornada 07:30 a 14:30</t>
        </is>
      </c>
      <c r="P152" t="inlineStr"/>
      <c r="Q152">
        <f>IF(I152="ENFASIS","ÉNFASIS "&amp;M152,IFERROR(VLOOKUP(J152,Grupos!$A$2:$D$100,4,FALSE),J152))</f>
        <v/>
      </c>
      <c r="R152">
        <f>O152&amp;IF(N152&lt;&gt;"",IF(O152&lt;&gt;""," · ","")&amp;"Con: "&amp;N152,"")</f>
        <v/>
      </c>
      <c r="S152">
        <f>C152&amp;"|"&amp;D152</f>
        <v/>
      </c>
      <c r="T152">
        <f>COUNTIF($S$2:S152,S152)</f>
        <v/>
      </c>
      <c r="U152">
        <f>S152&amp;"|"&amp;T152</f>
        <v/>
      </c>
      <c r="V152">
        <f>IFERROR(VLOOKUP(IF(I152="ENFASIS",LEFT(M152,FIND("+",M152&amp;"+")-1),J152),Direccion_Grupo!$A$2:$G$100,7,FALSE),"")</f>
        <v/>
      </c>
    </row>
    <row r="153">
      <c r="A153" t="n">
        <v>36</v>
      </c>
      <c r="B153" t="inlineStr">
        <is>
          <t>Ponce Moncayo Ángela Paola</t>
        </is>
      </c>
      <c r="C153" t="inlineStr">
        <is>
          <t>LUNES</t>
        </is>
      </c>
      <c r="D153" t="n">
        <v>4</v>
      </c>
      <c r="E153" t="n">
        <v>2</v>
      </c>
      <c r="F153" t="n">
        <v>2</v>
      </c>
      <c r="G153" t="inlineStr">
        <is>
          <t>09:05</t>
        </is>
      </c>
      <c r="H153" t="inlineStr">
        <is>
          <t>09:50</t>
        </is>
      </c>
      <c r="I153" t="inlineStr">
        <is>
          <t>ORIENTACION</t>
        </is>
      </c>
      <c r="J153" t="inlineStr">
        <is>
          <t>ORIENT</t>
        </is>
      </c>
      <c r="K153" t="inlineStr">
        <is>
          <t>ORIENTACIÓN ESCOLAR</t>
        </is>
      </c>
      <c r="L153" t="inlineStr"/>
      <c r="M153" t="inlineStr"/>
      <c r="N153" t="inlineStr"/>
      <c r="O153" t="inlineStr">
        <is>
          <t>Jornada 08:30 a 13:30</t>
        </is>
      </c>
      <c r="P153" t="inlineStr"/>
      <c r="Q153">
        <f>IF(I153="ENFASIS","ÉNFASIS "&amp;M153,IFERROR(VLOOKUP(J153,Grupos!$A$2:$D$100,4,FALSE),J153))</f>
        <v/>
      </c>
      <c r="R153">
        <f>O153&amp;IF(N153&lt;&gt;"",IF(O153&lt;&gt;""," · ","")&amp;"Con: "&amp;N153,"")</f>
        <v/>
      </c>
      <c r="S153">
        <f>C153&amp;"|"&amp;D153</f>
        <v/>
      </c>
      <c r="T153">
        <f>COUNTIF($S$2:S153,S153)</f>
        <v/>
      </c>
      <c r="U153">
        <f>S153&amp;"|"&amp;T153</f>
        <v/>
      </c>
      <c r="V153">
        <f>IFERROR(VLOOKUP(IF(I153="ENFASIS",LEFT(M153,FIND("+",M153&amp;"+")-1),J153),Direccion_Grupo!$A$2:$G$100,7,FALSE),"")</f>
        <v/>
      </c>
    </row>
    <row r="154">
      <c r="A154" t="n">
        <v>56</v>
      </c>
      <c r="B154" t="inlineStr">
        <is>
          <t>Ortiz Estacio Martha Cecilia</t>
        </is>
      </c>
      <c r="C154" t="inlineStr">
        <is>
          <t>LUNES</t>
        </is>
      </c>
      <c r="D154" t="n">
        <v>4</v>
      </c>
      <c r="E154" t="n">
        <v>2</v>
      </c>
      <c r="F154" t="n">
        <v>2</v>
      </c>
      <c r="G154" t="inlineStr">
        <is>
          <t>09:05</t>
        </is>
      </c>
      <c r="H154" t="inlineStr">
        <is>
          <t>09:50</t>
        </is>
      </c>
      <c r="I154" t="inlineStr">
        <is>
          <t>TUTORIA</t>
        </is>
      </c>
      <c r="J154" t="inlineStr">
        <is>
          <t>PTAFI</t>
        </is>
      </c>
      <c r="K154" t="inlineStr">
        <is>
          <t>TUTORÍA PTAFI</t>
        </is>
      </c>
      <c r="L154" t="inlineStr"/>
      <c r="M154" t="inlineStr"/>
      <c r="N154" t="inlineStr"/>
      <c r="O154" t="inlineStr">
        <is>
          <t>Jornada 06:30 a 12:00</t>
        </is>
      </c>
      <c r="P154" t="inlineStr"/>
      <c r="Q154">
        <f>IF(I154="ENFASIS","ÉNFASIS "&amp;M154,IFERROR(VLOOKUP(J154,Grupos!$A$2:$D$100,4,FALSE),J154))</f>
        <v/>
      </c>
      <c r="R154">
        <f>O154&amp;IF(N154&lt;&gt;"",IF(O154&lt;&gt;""," · ","")&amp;"Con: "&amp;N154,"")</f>
        <v/>
      </c>
      <c r="S154">
        <f>C154&amp;"|"&amp;D154</f>
        <v/>
      </c>
      <c r="T154">
        <f>COUNTIF($S$2:S154,S154)</f>
        <v/>
      </c>
      <c r="U154">
        <f>S154&amp;"|"&amp;T154</f>
        <v/>
      </c>
      <c r="V154">
        <f>IFERROR(VLOOKUP(IF(I154="ENFASIS",LEFT(M154,FIND("+",M154&amp;"+")-1),J154),Direccion_Grupo!$A$2:$G$100,7,FALSE),"")</f>
        <v/>
      </c>
    </row>
    <row r="155">
      <c r="A155" t="n">
        <v>22</v>
      </c>
      <c r="B155" t="inlineStr">
        <is>
          <t>González Castillo Jólmer Jimy</t>
        </is>
      </c>
      <c r="C155" t="inlineStr">
        <is>
          <t>LUNES</t>
        </is>
      </c>
      <c r="D155" t="n">
        <v>4</v>
      </c>
      <c r="E155" t="n">
        <v>2</v>
      </c>
      <c r="F155" t="n">
        <v>2</v>
      </c>
      <c r="G155" t="inlineStr">
        <is>
          <t>09:05</t>
        </is>
      </c>
      <c r="H155" t="inlineStr">
        <is>
          <t>09:50</t>
        </is>
      </c>
      <c r="I155" t="inlineStr">
        <is>
          <t>ENFASIS</t>
        </is>
      </c>
      <c r="J155" t="inlineStr"/>
      <c r="K155" t="inlineStr">
        <is>
          <t>ERD</t>
        </is>
      </c>
      <c r="L155" t="inlineStr">
        <is>
          <t>0901</t>
        </is>
      </c>
      <c r="M155" t="inlineStr">
        <is>
          <t>0901</t>
        </is>
      </c>
      <c r="N155" t="inlineStr">
        <is>
          <t>Valencia Marínez Saidy Eufemia (ART); Meza Banguera Gladys Alicia (CAS); Lemos Guancha Miriam (CNA)</t>
        </is>
      </c>
      <c r="O155" t="inlineStr">
        <is>
          <t>EQUIPO DE 4: cada docente atiende un grupo de estudiantes en su área</t>
        </is>
      </c>
      <c r="P155" t="inlineStr">
        <is>
          <t>ENFASIS-0901</t>
        </is>
      </c>
      <c r="Q155">
        <f>IF(I155="ENFASIS","ÉNFASIS "&amp;M155,IFERROR(VLOOKUP(J155,Grupos!$A$2:$D$100,4,FALSE),J155))</f>
        <v/>
      </c>
      <c r="R155">
        <f>O155&amp;IF(N155&lt;&gt;"",IF(O155&lt;&gt;""," · ","")&amp;"Con: "&amp;N155,"")</f>
        <v/>
      </c>
      <c r="S155">
        <f>C155&amp;"|"&amp;D155</f>
        <v/>
      </c>
      <c r="T155">
        <f>COUNTIF($S$2:S155,S155)</f>
        <v/>
      </c>
      <c r="U155">
        <f>S155&amp;"|"&amp;T155</f>
        <v/>
      </c>
      <c r="V155">
        <f>IFERROR(VLOOKUP(IF(I155="ENFASIS",LEFT(M155,FIND("+",M155&amp;"+")-1),J155),Direccion_Grupo!$A$2:$G$100,7,FALSE),"")</f>
        <v/>
      </c>
    </row>
    <row r="156">
      <c r="A156" t="n">
        <v>25</v>
      </c>
      <c r="B156" t="inlineStr">
        <is>
          <t>Lemos Guancha Miriam</t>
        </is>
      </c>
      <c r="C156" t="inlineStr">
        <is>
          <t>LUNES</t>
        </is>
      </c>
      <c r="D156" t="n">
        <v>4</v>
      </c>
      <c r="E156" t="n">
        <v>2</v>
      </c>
      <c r="F156" t="n">
        <v>2</v>
      </c>
      <c r="G156" t="inlineStr">
        <is>
          <t>09:05</t>
        </is>
      </c>
      <c r="H156" t="inlineStr">
        <is>
          <t>09:50</t>
        </is>
      </c>
      <c r="I156" t="inlineStr">
        <is>
          <t>ENFASIS</t>
        </is>
      </c>
      <c r="J156" t="inlineStr"/>
      <c r="K156" t="inlineStr">
        <is>
          <t>CNA</t>
        </is>
      </c>
      <c r="L156" t="inlineStr">
        <is>
          <t>0901</t>
        </is>
      </c>
      <c r="M156" t="inlineStr">
        <is>
          <t>0901</t>
        </is>
      </c>
      <c r="N156" t="inlineStr">
        <is>
          <t>Valencia Marínez Saidy Eufemia (ART); Meza Banguera Gladys Alicia (CAS); González Castillo Jólmer Jimy (ERD)</t>
        </is>
      </c>
      <c r="O156" t="inlineStr">
        <is>
          <t>EQUIPO DE 4: cada docente atiende un grupo de estudiantes en su área</t>
        </is>
      </c>
      <c r="P156" t="inlineStr">
        <is>
          <t>ENFASIS-0901</t>
        </is>
      </c>
      <c r="Q156">
        <f>IF(I156="ENFASIS","ÉNFASIS "&amp;M156,IFERROR(VLOOKUP(J156,Grupos!$A$2:$D$100,4,FALSE),J156))</f>
        <v/>
      </c>
      <c r="R156">
        <f>O156&amp;IF(N156&lt;&gt;"",IF(O156&lt;&gt;""," · ","")&amp;"Con: "&amp;N156,"")</f>
        <v/>
      </c>
      <c r="S156">
        <f>C156&amp;"|"&amp;D156</f>
        <v/>
      </c>
      <c r="T156">
        <f>COUNTIF($S$2:S156,S156)</f>
        <v/>
      </c>
      <c r="U156">
        <f>S156&amp;"|"&amp;T156</f>
        <v/>
      </c>
      <c r="V156">
        <f>IFERROR(VLOOKUP(IF(I156="ENFASIS",LEFT(M156,FIND("+",M156&amp;"+")-1),J156),Direccion_Grupo!$A$2:$G$100,7,FALSE),"")</f>
        <v/>
      </c>
    </row>
    <row r="157">
      <c r="A157" t="n">
        <v>28</v>
      </c>
      <c r="B157" t="inlineStr">
        <is>
          <t>Meza Banguera Gladys Alicia</t>
        </is>
      </c>
      <c r="C157" t="inlineStr">
        <is>
          <t>LUNES</t>
        </is>
      </c>
      <c r="D157" t="n">
        <v>4</v>
      </c>
      <c r="E157" t="n">
        <v>2</v>
      </c>
      <c r="F157" t="n">
        <v>2</v>
      </c>
      <c r="G157" t="inlineStr">
        <is>
          <t>09:05</t>
        </is>
      </c>
      <c r="H157" t="inlineStr">
        <is>
          <t>09:50</t>
        </is>
      </c>
      <c r="I157" t="inlineStr">
        <is>
          <t>ENFASIS</t>
        </is>
      </c>
      <c r="J157" t="inlineStr"/>
      <c r="K157" t="inlineStr">
        <is>
          <t>CAS</t>
        </is>
      </c>
      <c r="L157" t="inlineStr">
        <is>
          <t>0901</t>
        </is>
      </c>
      <c r="M157" t="inlineStr">
        <is>
          <t>0901</t>
        </is>
      </c>
      <c r="N157" t="inlineStr">
        <is>
          <t>Valencia Marínez Saidy Eufemia (ART); González Castillo Jólmer Jimy (ERD); Lemos Guancha Miriam (CNA)</t>
        </is>
      </c>
      <c r="O157" t="inlineStr">
        <is>
          <t>EQUIPO DE 4: cada docente atiende un grupo de estudiantes en su área</t>
        </is>
      </c>
      <c r="P157" t="inlineStr">
        <is>
          <t>ENFASIS-0901</t>
        </is>
      </c>
      <c r="Q157">
        <f>IF(I157="ENFASIS","ÉNFASIS "&amp;M157,IFERROR(VLOOKUP(J157,Grupos!$A$2:$D$100,4,FALSE),J157))</f>
        <v/>
      </c>
      <c r="R157">
        <f>O157&amp;IF(N157&lt;&gt;"",IF(O157&lt;&gt;""," · ","")&amp;"Con: "&amp;N157,"")</f>
        <v/>
      </c>
      <c r="S157">
        <f>C157&amp;"|"&amp;D157</f>
        <v/>
      </c>
      <c r="T157">
        <f>COUNTIF($S$2:S157,S157)</f>
        <v/>
      </c>
      <c r="U157">
        <f>S157&amp;"|"&amp;T157</f>
        <v/>
      </c>
      <c r="V157">
        <f>IFERROR(VLOOKUP(IF(I157="ENFASIS",LEFT(M157,FIND("+",M157&amp;"+")-1),J157),Direccion_Grupo!$A$2:$G$100,7,FALSE),"")</f>
        <v/>
      </c>
    </row>
    <row r="158">
      <c r="A158" t="n">
        <v>49</v>
      </c>
      <c r="B158" t="inlineStr">
        <is>
          <t>Valencia Marínez Saidy Eufemia</t>
        </is>
      </c>
      <c r="C158" t="inlineStr">
        <is>
          <t>LUNES</t>
        </is>
      </c>
      <c r="D158" t="n">
        <v>4</v>
      </c>
      <c r="E158" t="n">
        <v>2</v>
      </c>
      <c r="F158" t="n">
        <v>2</v>
      </c>
      <c r="G158" t="inlineStr">
        <is>
          <t>09:05</t>
        </is>
      </c>
      <c r="H158" t="inlineStr">
        <is>
          <t>09:50</t>
        </is>
      </c>
      <c r="I158" t="inlineStr">
        <is>
          <t>ENFASIS</t>
        </is>
      </c>
      <c r="J158" t="inlineStr"/>
      <c r="K158" t="inlineStr">
        <is>
          <t>ART</t>
        </is>
      </c>
      <c r="L158" t="inlineStr">
        <is>
          <t>0901</t>
        </is>
      </c>
      <c r="M158" t="inlineStr">
        <is>
          <t>0901</t>
        </is>
      </c>
      <c r="N158" t="inlineStr">
        <is>
          <t>Meza Banguera Gladys Alicia (CAS); González Castillo Jólmer Jimy (ERD); Lemos Guancha Miriam (CNA)</t>
        </is>
      </c>
      <c r="O158" t="inlineStr">
        <is>
          <t>EQUIPO DE 4: cada docente atiende un grupo de estudiantes en su área</t>
        </is>
      </c>
      <c r="P158" t="inlineStr">
        <is>
          <t>ENFASIS-0901</t>
        </is>
      </c>
      <c r="Q158">
        <f>IF(I158="ENFASIS","ÉNFASIS "&amp;M158,IFERROR(VLOOKUP(J158,Grupos!$A$2:$D$100,4,FALSE),J158))</f>
        <v/>
      </c>
      <c r="R158">
        <f>O158&amp;IF(N158&lt;&gt;"",IF(O158&lt;&gt;""," · ","")&amp;"Con: "&amp;N158,"")</f>
        <v/>
      </c>
      <c r="S158">
        <f>C158&amp;"|"&amp;D158</f>
        <v/>
      </c>
      <c r="T158">
        <f>COUNTIF($S$2:S158,S158)</f>
        <v/>
      </c>
      <c r="U158">
        <f>S158&amp;"|"&amp;T158</f>
        <v/>
      </c>
      <c r="V158">
        <f>IFERROR(VLOOKUP(IF(I158="ENFASIS",LEFT(M158,FIND("+",M158&amp;"+")-1),J158),Direccion_Grupo!$A$2:$G$100,7,FALSE),"")</f>
        <v/>
      </c>
    </row>
    <row r="159">
      <c r="A159" t="n">
        <v>2</v>
      </c>
      <c r="B159" t="inlineStr">
        <is>
          <t>Angulo Lucero Andrés Mauricio</t>
        </is>
      </c>
      <c r="C159" t="inlineStr">
        <is>
          <t>LUNES</t>
        </is>
      </c>
      <c r="D159" t="n">
        <v>4</v>
      </c>
      <c r="E159" t="n">
        <v>2</v>
      </c>
      <c r="F159" t="n">
        <v>2</v>
      </c>
      <c r="G159" t="inlineStr">
        <is>
          <t>09:05</t>
        </is>
      </c>
      <c r="H159" t="inlineStr">
        <is>
          <t>09:50</t>
        </is>
      </c>
      <c r="I159" t="inlineStr">
        <is>
          <t>ENFASIS</t>
        </is>
      </c>
      <c r="J159" t="inlineStr"/>
      <c r="K159" t="inlineStr">
        <is>
          <t>TEI</t>
        </is>
      </c>
      <c r="L159" t="inlineStr">
        <is>
          <t>D5-11°</t>
        </is>
      </c>
      <c r="M159" t="inlineStr">
        <is>
          <t>1102</t>
        </is>
      </c>
      <c r="N159" t="inlineStr">
        <is>
          <t>Pulgarín Ortiz César Marino (CSI); Montaño Arizala Leidis Claudina (ETR); Villota Rubio Janeth del Carmen (MAT)</t>
        </is>
      </c>
      <c r="O159" t="inlineStr">
        <is>
          <t>EQUIPO DE 4: cada docente atiende un grupo de estudiantes en su área</t>
        </is>
      </c>
      <c r="P159" t="inlineStr">
        <is>
          <t>ENFASIS-D5-11°</t>
        </is>
      </c>
      <c r="Q159">
        <f>IF(I159="ENFASIS","ÉNFASIS "&amp;M159,IFERROR(VLOOKUP(J159,Grupos!$A$2:$D$100,4,FALSE),J159))</f>
        <v/>
      </c>
      <c r="R159">
        <f>O159&amp;IF(N159&lt;&gt;"",IF(O159&lt;&gt;""," · ","")&amp;"Con: "&amp;N159,"")</f>
        <v/>
      </c>
      <c r="S159">
        <f>C159&amp;"|"&amp;D159</f>
        <v/>
      </c>
      <c r="T159">
        <f>COUNTIF($S$2:S159,S159)</f>
        <v/>
      </c>
      <c r="U159">
        <f>S159&amp;"|"&amp;T159</f>
        <v/>
      </c>
      <c r="V159">
        <f>IFERROR(VLOOKUP(IF(I159="ENFASIS",LEFT(M159,FIND("+",M159&amp;"+")-1),J159),Direccion_Grupo!$A$2:$G$100,7,FALSE),"")</f>
        <v/>
      </c>
    </row>
    <row r="160">
      <c r="A160" t="n">
        <v>31</v>
      </c>
      <c r="B160" t="inlineStr">
        <is>
          <t>Montaño Arizala Leidis Claudina</t>
        </is>
      </c>
      <c r="C160" t="inlineStr">
        <is>
          <t>LUNES</t>
        </is>
      </c>
      <c r="D160" t="n">
        <v>4</v>
      </c>
      <c r="E160" t="n">
        <v>2</v>
      </c>
      <c r="F160" t="n">
        <v>2</v>
      </c>
      <c r="G160" t="inlineStr">
        <is>
          <t>09:05</t>
        </is>
      </c>
      <c r="H160" t="inlineStr">
        <is>
          <t>09:50</t>
        </is>
      </c>
      <c r="I160" t="inlineStr">
        <is>
          <t>ENFASIS</t>
        </is>
      </c>
      <c r="J160" t="inlineStr"/>
      <c r="K160" t="inlineStr">
        <is>
          <t>ETR</t>
        </is>
      </c>
      <c r="L160" t="inlineStr">
        <is>
          <t>D5-11°</t>
        </is>
      </c>
      <c r="M160" t="inlineStr">
        <is>
          <t>1102</t>
        </is>
      </c>
      <c r="N160" t="inlineStr">
        <is>
          <t>Pulgarín Ortiz César Marino (CSI); Villota Rubio Janeth del Carmen (MAT); Angulo Lucero Andrés Mauricio (TEI)</t>
        </is>
      </c>
      <c r="O160" t="inlineStr">
        <is>
          <t>EQUIPO DE 4: cada docente atiende un grupo de estudiantes en su área</t>
        </is>
      </c>
      <c r="P160" t="inlineStr">
        <is>
          <t>ENFASIS-D5-11°</t>
        </is>
      </c>
      <c r="Q160">
        <f>IF(I160="ENFASIS","ÉNFASIS "&amp;M160,IFERROR(VLOOKUP(J160,Grupos!$A$2:$D$100,4,FALSE),J160))</f>
        <v/>
      </c>
      <c r="R160">
        <f>O160&amp;IF(N160&lt;&gt;"",IF(O160&lt;&gt;""," · ","")&amp;"Con: "&amp;N160,"")</f>
        <v/>
      </c>
      <c r="S160">
        <f>C160&amp;"|"&amp;D160</f>
        <v/>
      </c>
      <c r="T160">
        <f>COUNTIF($S$2:S160,S160)</f>
        <v/>
      </c>
      <c r="U160">
        <f>S160&amp;"|"&amp;T160</f>
        <v/>
      </c>
      <c r="V160">
        <f>IFERROR(VLOOKUP(IF(I160="ENFASIS",LEFT(M160,FIND("+",M160&amp;"+")-1),J160),Direccion_Grupo!$A$2:$G$100,7,FALSE),"")</f>
        <v/>
      </c>
    </row>
    <row r="161">
      <c r="A161" t="n">
        <v>40</v>
      </c>
      <c r="B161" t="inlineStr">
        <is>
          <t>Pulgarín Ortiz César Marino</t>
        </is>
      </c>
      <c r="C161" t="inlineStr">
        <is>
          <t>LUNES</t>
        </is>
      </c>
      <c r="D161" t="n">
        <v>4</v>
      </c>
      <c r="E161" t="n">
        <v>2</v>
      </c>
      <c r="F161" t="n">
        <v>2</v>
      </c>
      <c r="G161" t="inlineStr">
        <is>
          <t>09:05</t>
        </is>
      </c>
      <c r="H161" t="inlineStr">
        <is>
          <t>09:50</t>
        </is>
      </c>
      <c r="I161" t="inlineStr">
        <is>
          <t>ENFASIS</t>
        </is>
      </c>
      <c r="J161" t="inlineStr"/>
      <c r="K161" t="inlineStr">
        <is>
          <t>CSI</t>
        </is>
      </c>
      <c r="L161" t="inlineStr">
        <is>
          <t>D5-11°</t>
        </is>
      </c>
      <c r="M161" t="inlineStr">
        <is>
          <t>1102</t>
        </is>
      </c>
      <c r="N161" t="inlineStr">
        <is>
          <t>Montaño Arizala Leidis Claudina (ETR); Villota Rubio Janeth del Carmen (MAT); Angulo Lucero Andrés Mauricio (TEI)</t>
        </is>
      </c>
      <c r="O161" t="inlineStr">
        <is>
          <t>EQUIPO DE 4: cada docente atiende un grupo de estudiantes en su área</t>
        </is>
      </c>
      <c r="P161" t="inlineStr">
        <is>
          <t>ENFASIS-D5-11°</t>
        </is>
      </c>
      <c r="Q161">
        <f>IF(I161="ENFASIS","ÉNFASIS "&amp;M161,IFERROR(VLOOKUP(J161,Grupos!$A$2:$D$100,4,FALSE),J161))</f>
        <v/>
      </c>
      <c r="R161">
        <f>O161&amp;IF(N161&lt;&gt;"",IF(O161&lt;&gt;""," · ","")&amp;"Con: "&amp;N161,"")</f>
        <v/>
      </c>
      <c r="S161">
        <f>C161&amp;"|"&amp;D161</f>
        <v/>
      </c>
      <c r="T161">
        <f>COUNTIF($S$2:S161,S161)</f>
        <v/>
      </c>
      <c r="U161">
        <f>S161&amp;"|"&amp;T161</f>
        <v/>
      </c>
      <c r="V161">
        <f>IFERROR(VLOOKUP(IF(I161="ENFASIS",LEFT(M161,FIND("+",M161&amp;"+")-1),J161),Direccion_Grupo!$A$2:$G$100,7,FALSE),"")</f>
        <v/>
      </c>
    </row>
    <row r="162">
      <c r="A162" t="n">
        <v>54</v>
      </c>
      <c r="B162" t="inlineStr">
        <is>
          <t>Villota Rubio Janeth del Carmen</t>
        </is>
      </c>
      <c r="C162" t="inlineStr">
        <is>
          <t>LUNES</t>
        </is>
      </c>
      <c r="D162" t="n">
        <v>4</v>
      </c>
      <c r="E162" t="n">
        <v>2</v>
      </c>
      <c r="F162" t="n">
        <v>2</v>
      </c>
      <c r="G162" t="inlineStr">
        <is>
          <t>09:05</t>
        </is>
      </c>
      <c r="H162" t="inlineStr">
        <is>
          <t>09:50</t>
        </is>
      </c>
      <c r="I162" t="inlineStr">
        <is>
          <t>ENFASIS</t>
        </is>
      </c>
      <c r="J162" t="inlineStr"/>
      <c r="K162" t="inlineStr">
        <is>
          <t>MAT</t>
        </is>
      </c>
      <c r="L162" t="inlineStr">
        <is>
          <t>D5-11°</t>
        </is>
      </c>
      <c r="M162" t="inlineStr">
        <is>
          <t>1102</t>
        </is>
      </c>
      <c r="N162" t="inlineStr">
        <is>
          <t>Pulgarín Ortiz César Marino (CSI); Montaño Arizala Leidis Claudina (ETR); Angulo Lucero Andrés Mauricio (TEI)</t>
        </is>
      </c>
      <c r="O162" t="inlineStr">
        <is>
          <t>EQUIPO DE 4: cada docente atiende un grupo de estudiantes en su área</t>
        </is>
      </c>
      <c r="P162" t="inlineStr">
        <is>
          <t>ENFASIS-D5-11°</t>
        </is>
      </c>
      <c r="Q162">
        <f>IF(I162="ENFASIS","ÉNFASIS "&amp;M162,IFERROR(VLOOKUP(J162,Grupos!$A$2:$D$100,4,FALSE),J162))</f>
        <v/>
      </c>
      <c r="R162">
        <f>O162&amp;IF(N162&lt;&gt;"",IF(O162&lt;&gt;""," · ","")&amp;"Con: "&amp;N162,"")</f>
        <v/>
      </c>
      <c r="S162">
        <f>C162&amp;"|"&amp;D162</f>
        <v/>
      </c>
      <c r="T162">
        <f>COUNTIF($S$2:S162,S162)</f>
        <v/>
      </c>
      <c r="U162">
        <f>S162&amp;"|"&amp;T162</f>
        <v/>
      </c>
      <c r="V162">
        <f>IFERROR(VLOOKUP(IF(I162="ENFASIS",LEFT(M162,FIND("+",M162&amp;"+")-1),J162),Direccion_Grupo!$A$2:$G$100,7,FALSE),"")</f>
        <v/>
      </c>
    </row>
    <row r="163">
      <c r="A163" t="n">
        <v>50</v>
      </c>
      <c r="B163" t="inlineStr">
        <is>
          <t>Valencia Solís Gloria Alexa</t>
        </is>
      </c>
      <c r="C163" t="inlineStr">
        <is>
          <t>LUNES</t>
        </is>
      </c>
      <c r="D163" t="n">
        <v>5</v>
      </c>
      <c r="E163" t="n">
        <v>3</v>
      </c>
      <c r="F163" t="n">
        <v>1</v>
      </c>
      <c r="G163" t="inlineStr">
        <is>
          <t>09:30</t>
        </is>
      </c>
      <c r="H163" t="inlineStr">
        <is>
          <t>10:30</t>
        </is>
      </c>
      <c r="I163" t="inlineStr">
        <is>
          <t>AREAS_MULTIPLES</t>
        </is>
      </c>
      <c r="J163" t="inlineStr">
        <is>
          <t>0001</t>
        </is>
      </c>
      <c r="K163" t="inlineStr">
        <is>
          <t>ÁREAS MÚLTIPLES</t>
        </is>
      </c>
      <c r="L163" t="inlineStr"/>
      <c r="M163" t="inlineStr"/>
      <c r="N163" t="inlineStr"/>
      <c r="O163" t="inlineStr">
        <is>
          <t>Maestro de aula: todas las áreas con su grupo</t>
        </is>
      </c>
      <c r="P163" t="inlineStr"/>
      <c r="Q163">
        <f>IF(I163="ENFASIS","ÉNFASIS "&amp;M163,IFERROR(VLOOKUP(J163,Grupos!$A$2:$D$100,4,FALSE),J163))</f>
        <v/>
      </c>
      <c r="R163">
        <f>O163&amp;IF(N163&lt;&gt;"",IF(O163&lt;&gt;""," · ","")&amp;"Con: "&amp;N163,"")</f>
        <v/>
      </c>
      <c r="S163">
        <f>C163&amp;"|"&amp;D163</f>
        <v/>
      </c>
      <c r="T163">
        <f>COUNTIF($S$2:S163,S163)</f>
        <v/>
      </c>
      <c r="U163">
        <f>S163&amp;"|"&amp;T163</f>
        <v/>
      </c>
      <c r="V163">
        <f>IFERROR(VLOOKUP(IF(I163="ENFASIS",LEFT(M163,FIND("+",M163&amp;"+")-1),J163),Direccion_Grupo!$A$2:$G$100,7,FALSE),"")</f>
        <v/>
      </c>
    </row>
    <row r="164">
      <c r="A164" t="n">
        <v>27</v>
      </c>
      <c r="B164" t="inlineStr">
        <is>
          <t>Martínez Álvarez Andrea Ascención</t>
        </is>
      </c>
      <c r="C164" t="inlineStr">
        <is>
          <t>LUNES</t>
        </is>
      </c>
      <c r="D164" t="n">
        <v>5</v>
      </c>
      <c r="E164" t="n">
        <v>3</v>
      </c>
      <c r="F164" t="n">
        <v>1</v>
      </c>
      <c r="G164" t="inlineStr">
        <is>
          <t>09:30</t>
        </is>
      </c>
      <c r="H164" t="inlineStr">
        <is>
          <t>10:30</t>
        </is>
      </c>
      <c r="I164" t="inlineStr">
        <is>
          <t>AREAS_MULTIPLES</t>
        </is>
      </c>
      <c r="J164" t="inlineStr">
        <is>
          <t>0002</t>
        </is>
      </c>
      <c r="K164" t="inlineStr">
        <is>
          <t>ÁREAS MÚLTIPLES</t>
        </is>
      </c>
      <c r="L164" t="inlineStr"/>
      <c r="M164" t="inlineStr"/>
      <c r="N164" t="inlineStr"/>
      <c r="O164" t="inlineStr">
        <is>
          <t>Maestro de aula: todas las áreas con su grupo</t>
        </is>
      </c>
      <c r="P164" t="inlineStr"/>
      <c r="Q164">
        <f>IF(I164="ENFASIS","ÉNFASIS "&amp;M164,IFERROR(VLOOKUP(J164,Grupos!$A$2:$D$100,4,FALSE),J164))</f>
        <v/>
      </c>
      <c r="R164">
        <f>O164&amp;IF(N164&lt;&gt;"",IF(O164&lt;&gt;""," · ","")&amp;"Con: "&amp;N164,"")</f>
        <v/>
      </c>
      <c r="S164">
        <f>C164&amp;"|"&amp;D164</f>
        <v/>
      </c>
      <c r="T164">
        <f>COUNTIF($S$2:S164,S164)</f>
        <v/>
      </c>
      <c r="U164">
        <f>S164&amp;"|"&amp;T164</f>
        <v/>
      </c>
      <c r="V164">
        <f>IFERROR(VLOOKUP(IF(I164="ENFASIS",LEFT(M164,FIND("+",M164&amp;"+")-1),J164),Direccion_Grupo!$A$2:$G$100,7,FALSE),"")</f>
        <v/>
      </c>
    </row>
    <row r="165">
      <c r="A165" t="n">
        <v>23</v>
      </c>
      <c r="B165" t="inlineStr">
        <is>
          <t>Landázuri Quiñones María Elia</t>
        </is>
      </c>
      <c r="C165" t="inlineStr">
        <is>
          <t>LUNES</t>
        </is>
      </c>
      <c r="D165" t="n">
        <v>5</v>
      </c>
      <c r="E165" t="n">
        <v>3</v>
      </c>
      <c r="F165" t="n">
        <v>1</v>
      </c>
      <c r="G165" t="inlineStr">
        <is>
          <t>10:10</t>
        </is>
      </c>
      <c r="H165" t="inlineStr">
        <is>
          <t>10:55</t>
        </is>
      </c>
      <c r="I165" t="inlineStr">
        <is>
          <t>AREAS_MULTIPLES</t>
        </is>
      </c>
      <c r="J165" t="inlineStr">
        <is>
          <t>0101</t>
        </is>
      </c>
      <c r="K165" t="inlineStr">
        <is>
          <t>ÁREAS MÚLTIPLES</t>
        </is>
      </c>
      <c r="L165" t="inlineStr"/>
      <c r="M165" t="inlineStr"/>
      <c r="N165" t="inlineStr"/>
      <c r="O165" t="inlineStr">
        <is>
          <t>Maestro de aula: todas las áreas con su grupo</t>
        </is>
      </c>
      <c r="P165" t="inlineStr"/>
      <c r="Q165">
        <f>IF(I165="ENFASIS","ÉNFASIS "&amp;M165,IFERROR(VLOOKUP(J165,Grupos!$A$2:$D$100,4,FALSE),J165))</f>
        <v/>
      </c>
      <c r="R165">
        <f>O165&amp;IF(N165&lt;&gt;"",IF(O165&lt;&gt;""," · ","")&amp;"Con: "&amp;N165,"")</f>
        <v/>
      </c>
      <c r="S165">
        <f>C165&amp;"|"&amp;D165</f>
        <v/>
      </c>
      <c r="T165">
        <f>COUNTIF($S$2:S165,S165)</f>
        <v/>
      </c>
      <c r="U165">
        <f>S165&amp;"|"&amp;T165</f>
        <v/>
      </c>
      <c r="V165">
        <f>IFERROR(VLOOKUP(IF(I165="ENFASIS",LEFT(M165,FIND("+",M165&amp;"+")-1),J165),Direccion_Grupo!$A$2:$G$100,7,FALSE),"")</f>
        <v/>
      </c>
    </row>
    <row r="166">
      <c r="A166" t="n">
        <v>45</v>
      </c>
      <c r="B166" t="inlineStr">
        <is>
          <t>Sinisterra Ana Lucía</t>
        </is>
      </c>
      <c r="C166" t="inlineStr">
        <is>
          <t>LUNES</t>
        </is>
      </c>
      <c r="D166" t="n">
        <v>5</v>
      </c>
      <c r="E166" t="n">
        <v>3</v>
      </c>
      <c r="F166" t="n">
        <v>1</v>
      </c>
      <c r="G166" t="inlineStr">
        <is>
          <t>10:10</t>
        </is>
      </c>
      <c r="H166" t="inlineStr">
        <is>
          <t>10:55</t>
        </is>
      </c>
      <c r="I166" t="inlineStr">
        <is>
          <t>AREAS_MULTIPLES</t>
        </is>
      </c>
      <c r="J166" t="inlineStr">
        <is>
          <t>0102</t>
        </is>
      </c>
      <c r="K166" t="inlineStr">
        <is>
          <t>ÁREAS MÚLTIPLES</t>
        </is>
      </c>
      <c r="L166" t="inlineStr"/>
      <c r="M166" t="inlineStr"/>
      <c r="N166" t="inlineStr"/>
      <c r="O166" t="inlineStr">
        <is>
          <t>Maestro de aula: todas las áreas con su grupo</t>
        </is>
      </c>
      <c r="P166" t="inlineStr"/>
      <c r="Q166">
        <f>IF(I166="ENFASIS","ÉNFASIS "&amp;M166,IFERROR(VLOOKUP(J166,Grupos!$A$2:$D$100,4,FALSE),J166))</f>
        <v/>
      </c>
      <c r="R166">
        <f>O166&amp;IF(N166&lt;&gt;"",IF(O166&lt;&gt;""," · ","")&amp;"Con: "&amp;N166,"")</f>
        <v/>
      </c>
      <c r="S166">
        <f>C166&amp;"|"&amp;D166</f>
        <v/>
      </c>
      <c r="T166">
        <f>COUNTIF($S$2:S166,S166)</f>
        <v/>
      </c>
      <c r="U166">
        <f>S166&amp;"|"&amp;T166</f>
        <v/>
      </c>
      <c r="V166">
        <f>IFERROR(VLOOKUP(IF(I166="ENFASIS",LEFT(M166,FIND("+",M166&amp;"+")-1),J166),Direccion_Grupo!$A$2:$G$100,7,FALSE),"")</f>
        <v/>
      </c>
    </row>
    <row r="167">
      <c r="A167" t="n">
        <v>13</v>
      </c>
      <c r="B167" t="inlineStr">
        <is>
          <t>Cortés Salazar María Ebelice</t>
        </is>
      </c>
      <c r="C167" t="inlineStr">
        <is>
          <t>LUNES</t>
        </is>
      </c>
      <c r="D167" t="n">
        <v>5</v>
      </c>
      <c r="E167" t="n">
        <v>3</v>
      </c>
      <c r="F167" t="n">
        <v>1</v>
      </c>
      <c r="G167" t="inlineStr">
        <is>
          <t>10:10</t>
        </is>
      </c>
      <c r="H167" t="inlineStr">
        <is>
          <t>10:55</t>
        </is>
      </c>
      <c r="I167" t="inlineStr">
        <is>
          <t>AREAS_MULTIPLES</t>
        </is>
      </c>
      <c r="J167" t="inlineStr">
        <is>
          <t>0201</t>
        </is>
      </c>
      <c r="K167" t="inlineStr">
        <is>
          <t>ÁREAS MÚLTIPLES</t>
        </is>
      </c>
      <c r="L167" t="inlineStr"/>
      <c r="M167" t="inlineStr"/>
      <c r="N167" t="inlineStr"/>
      <c r="O167" t="inlineStr">
        <is>
          <t>Maestro de aula: todas las áreas con su grupo</t>
        </is>
      </c>
      <c r="P167" t="inlineStr"/>
      <c r="Q167">
        <f>IF(I167="ENFASIS","ÉNFASIS "&amp;M167,IFERROR(VLOOKUP(J167,Grupos!$A$2:$D$100,4,FALSE),J167))</f>
        <v/>
      </c>
      <c r="R167">
        <f>O167&amp;IF(N167&lt;&gt;"",IF(O167&lt;&gt;""," · ","")&amp;"Con: "&amp;N167,"")</f>
        <v/>
      </c>
      <c r="S167">
        <f>C167&amp;"|"&amp;D167</f>
        <v/>
      </c>
      <c r="T167">
        <f>COUNTIF($S$2:S167,S167)</f>
        <v/>
      </c>
      <c r="U167">
        <f>S167&amp;"|"&amp;T167</f>
        <v/>
      </c>
      <c r="V167">
        <f>IFERROR(VLOOKUP(IF(I167="ENFASIS",LEFT(M167,FIND("+",M167&amp;"+")-1),J167),Direccion_Grupo!$A$2:$G$100,7,FALSE),"")</f>
        <v/>
      </c>
    </row>
    <row r="168">
      <c r="A168" t="n">
        <v>21</v>
      </c>
      <c r="B168" t="inlineStr">
        <is>
          <t>Garzón Quiñones Sixta Janina</t>
        </is>
      </c>
      <c r="C168" t="inlineStr">
        <is>
          <t>LUNES</t>
        </is>
      </c>
      <c r="D168" t="n">
        <v>5</v>
      </c>
      <c r="E168" t="n">
        <v>3</v>
      </c>
      <c r="F168" t="n">
        <v>1</v>
      </c>
      <c r="G168" t="inlineStr">
        <is>
          <t>10:10</t>
        </is>
      </c>
      <c r="H168" t="inlineStr">
        <is>
          <t>10:55</t>
        </is>
      </c>
      <c r="I168" t="inlineStr">
        <is>
          <t>AREAS_MULTIPLES</t>
        </is>
      </c>
      <c r="J168" t="inlineStr">
        <is>
          <t>0202</t>
        </is>
      </c>
      <c r="K168" t="inlineStr">
        <is>
          <t>ÁREAS MÚLTIPLES</t>
        </is>
      </c>
      <c r="L168" t="inlineStr"/>
      <c r="M168" t="inlineStr"/>
      <c r="N168" t="inlineStr"/>
      <c r="O168" t="inlineStr">
        <is>
          <t>Maestro de aula: todas las áreas con su grupo</t>
        </is>
      </c>
      <c r="P168" t="inlineStr"/>
      <c r="Q168">
        <f>IF(I168="ENFASIS","ÉNFASIS "&amp;M168,IFERROR(VLOOKUP(J168,Grupos!$A$2:$D$100,4,FALSE),J168))</f>
        <v/>
      </c>
      <c r="R168">
        <f>O168&amp;IF(N168&lt;&gt;"",IF(O168&lt;&gt;""," · ","")&amp;"Con: "&amp;N168,"")</f>
        <v/>
      </c>
      <c r="S168">
        <f>C168&amp;"|"&amp;D168</f>
        <v/>
      </c>
      <c r="T168">
        <f>COUNTIF($S$2:S168,S168)</f>
        <v/>
      </c>
      <c r="U168">
        <f>S168&amp;"|"&amp;T168</f>
        <v/>
      </c>
      <c r="V168">
        <f>IFERROR(VLOOKUP(IF(I168="ENFASIS",LEFT(M168,FIND("+",M168&amp;"+")-1),J168),Direccion_Grupo!$A$2:$G$100,7,FALSE),"")</f>
        <v/>
      </c>
    </row>
    <row r="169">
      <c r="A169" t="n">
        <v>46</v>
      </c>
      <c r="B169" t="inlineStr">
        <is>
          <t>Tenorio Cuero Lucy Bivian</t>
        </is>
      </c>
      <c r="C169" t="inlineStr">
        <is>
          <t>LUNES</t>
        </is>
      </c>
      <c r="D169" t="n">
        <v>5</v>
      </c>
      <c r="E169" t="n">
        <v>3</v>
      </c>
      <c r="F169" t="n">
        <v>1</v>
      </c>
      <c r="G169" t="inlineStr">
        <is>
          <t>10:10</t>
        </is>
      </c>
      <c r="H169" t="inlineStr">
        <is>
          <t>10:55</t>
        </is>
      </c>
      <c r="I169" t="inlineStr">
        <is>
          <t>AREAS_MULTIPLES</t>
        </is>
      </c>
      <c r="J169" t="inlineStr">
        <is>
          <t>0203</t>
        </is>
      </c>
      <c r="K169" t="inlineStr">
        <is>
          <t>ÁREAS MÚLTIPLES</t>
        </is>
      </c>
      <c r="L169" t="inlineStr"/>
      <c r="M169" t="inlineStr"/>
      <c r="N169" t="inlineStr"/>
      <c r="O169" t="inlineStr">
        <is>
          <t>Maestro de aula: todas las áreas con su grupo</t>
        </is>
      </c>
      <c r="P169" t="inlineStr"/>
      <c r="Q169">
        <f>IF(I169="ENFASIS","ÉNFASIS "&amp;M169,IFERROR(VLOOKUP(J169,Grupos!$A$2:$D$100,4,FALSE),J169))</f>
        <v/>
      </c>
      <c r="R169">
        <f>O169&amp;IF(N169&lt;&gt;"",IF(O169&lt;&gt;""," · ","")&amp;"Con: "&amp;N169,"")</f>
        <v/>
      </c>
      <c r="S169">
        <f>C169&amp;"|"&amp;D169</f>
        <v/>
      </c>
      <c r="T169">
        <f>COUNTIF($S$2:S169,S169)</f>
        <v/>
      </c>
      <c r="U169">
        <f>S169&amp;"|"&amp;T169</f>
        <v/>
      </c>
      <c r="V169">
        <f>IFERROR(VLOOKUP(IF(I169="ENFASIS",LEFT(M169,FIND("+",M169&amp;"+")-1),J169),Direccion_Grupo!$A$2:$G$100,7,FALSE),"")</f>
        <v/>
      </c>
    </row>
    <row r="170">
      <c r="A170" t="n">
        <v>48</v>
      </c>
      <c r="B170" t="inlineStr">
        <is>
          <t>Torres Segura Encarnación</t>
        </is>
      </c>
      <c r="C170" t="inlineStr">
        <is>
          <t>LUNES</t>
        </is>
      </c>
      <c r="D170" t="n">
        <v>5</v>
      </c>
      <c r="E170" t="n">
        <v>3</v>
      </c>
      <c r="F170" t="n">
        <v>1</v>
      </c>
      <c r="G170" t="inlineStr">
        <is>
          <t>10:10</t>
        </is>
      </c>
      <c r="H170" t="inlineStr">
        <is>
          <t>10:55</t>
        </is>
      </c>
      <c r="I170" t="inlineStr">
        <is>
          <t>AREAS_MULTIPLES</t>
        </is>
      </c>
      <c r="J170" t="inlineStr">
        <is>
          <t>0301</t>
        </is>
      </c>
      <c r="K170" t="inlineStr">
        <is>
          <t>ÁREAS MÚLTIPLES</t>
        </is>
      </c>
      <c r="L170" t="inlineStr"/>
      <c r="M170" t="inlineStr"/>
      <c r="N170" t="inlineStr"/>
      <c r="O170" t="inlineStr">
        <is>
          <t>Maestro de aula: todas las áreas con su grupo</t>
        </is>
      </c>
      <c r="P170" t="inlineStr"/>
      <c r="Q170">
        <f>IF(I170="ENFASIS","ÉNFASIS "&amp;M170,IFERROR(VLOOKUP(J170,Grupos!$A$2:$D$100,4,FALSE),J170))</f>
        <v/>
      </c>
      <c r="R170">
        <f>O170&amp;IF(N170&lt;&gt;"",IF(O170&lt;&gt;""," · ","")&amp;"Con: "&amp;N170,"")</f>
        <v/>
      </c>
      <c r="S170">
        <f>C170&amp;"|"&amp;D170</f>
        <v/>
      </c>
      <c r="T170">
        <f>COUNTIF($S$2:S170,S170)</f>
        <v/>
      </c>
      <c r="U170">
        <f>S170&amp;"|"&amp;T170</f>
        <v/>
      </c>
      <c r="V170">
        <f>IFERROR(VLOOKUP(IF(I170="ENFASIS",LEFT(M170,FIND("+",M170&amp;"+")-1),J170),Direccion_Grupo!$A$2:$G$100,7,FALSE),"")</f>
        <v/>
      </c>
    </row>
    <row r="171">
      <c r="A171" t="n">
        <v>24</v>
      </c>
      <c r="B171" t="inlineStr">
        <is>
          <t>Landázuri Gallón Teresa</t>
        </is>
      </c>
      <c r="C171" t="inlineStr">
        <is>
          <t>LUNES</t>
        </is>
      </c>
      <c r="D171" t="n">
        <v>5</v>
      </c>
      <c r="E171" t="n">
        <v>3</v>
      </c>
      <c r="F171" t="n">
        <v>1</v>
      </c>
      <c r="G171" t="inlineStr">
        <is>
          <t>10:10</t>
        </is>
      </c>
      <c r="H171" t="inlineStr">
        <is>
          <t>10:55</t>
        </is>
      </c>
      <c r="I171" t="inlineStr">
        <is>
          <t>AREAS_MULTIPLES</t>
        </is>
      </c>
      <c r="J171" t="inlineStr">
        <is>
          <t>0302</t>
        </is>
      </c>
      <c r="K171" t="inlineStr">
        <is>
          <t>ÁREAS MÚLTIPLES</t>
        </is>
      </c>
      <c r="L171" t="inlineStr"/>
      <c r="M171" t="inlineStr"/>
      <c r="N171" t="inlineStr"/>
      <c r="O171" t="inlineStr">
        <is>
          <t>Maestro de aula: todas las áreas con su grupo</t>
        </is>
      </c>
      <c r="P171" t="inlineStr"/>
      <c r="Q171">
        <f>IF(I171="ENFASIS","ÉNFASIS "&amp;M171,IFERROR(VLOOKUP(J171,Grupos!$A$2:$D$100,4,FALSE),J171))</f>
        <v/>
      </c>
      <c r="R171">
        <f>O171&amp;IF(N171&lt;&gt;"",IF(O171&lt;&gt;""," · ","")&amp;"Con: "&amp;N171,"")</f>
        <v/>
      </c>
      <c r="S171">
        <f>C171&amp;"|"&amp;D171</f>
        <v/>
      </c>
      <c r="T171">
        <f>COUNTIF($S$2:S171,S171)</f>
        <v/>
      </c>
      <c r="U171">
        <f>S171&amp;"|"&amp;T171</f>
        <v/>
      </c>
      <c r="V171">
        <f>IFERROR(VLOOKUP(IF(I171="ENFASIS",LEFT(M171,FIND("+",M171&amp;"+")-1),J171),Direccion_Grupo!$A$2:$G$100,7,FALSE),"")</f>
        <v/>
      </c>
    </row>
    <row r="172">
      <c r="A172" t="n">
        <v>55</v>
      </c>
      <c r="B172" t="inlineStr">
        <is>
          <t>Zamora Ordóñez Celia Pastora</t>
        </is>
      </c>
      <c r="C172" t="inlineStr">
        <is>
          <t>LUNES</t>
        </is>
      </c>
      <c r="D172" t="n">
        <v>5</v>
      </c>
      <c r="E172" t="n">
        <v>3</v>
      </c>
      <c r="F172" t="n">
        <v>1</v>
      </c>
      <c r="G172" t="inlineStr">
        <is>
          <t>10:10</t>
        </is>
      </c>
      <c r="H172" t="inlineStr">
        <is>
          <t>10:55</t>
        </is>
      </c>
      <c r="I172" t="inlineStr">
        <is>
          <t>AREAS_MULTIPLES</t>
        </is>
      </c>
      <c r="J172" t="inlineStr">
        <is>
          <t>0401</t>
        </is>
      </c>
      <c r="K172" t="inlineStr">
        <is>
          <t>ÁREAS MÚLTIPLES</t>
        </is>
      </c>
      <c r="L172" t="inlineStr"/>
      <c r="M172" t="inlineStr"/>
      <c r="N172" t="inlineStr"/>
      <c r="O172" t="inlineStr">
        <is>
          <t>Maestro de aula: todas las áreas con su grupo</t>
        </is>
      </c>
      <c r="P172" t="inlineStr"/>
      <c r="Q172">
        <f>IF(I172="ENFASIS","ÉNFASIS "&amp;M172,IFERROR(VLOOKUP(J172,Grupos!$A$2:$D$100,4,FALSE),J172))</f>
        <v/>
      </c>
      <c r="R172">
        <f>O172&amp;IF(N172&lt;&gt;"",IF(O172&lt;&gt;""," · ","")&amp;"Con: "&amp;N172,"")</f>
        <v/>
      </c>
      <c r="S172">
        <f>C172&amp;"|"&amp;D172</f>
        <v/>
      </c>
      <c r="T172">
        <f>COUNTIF($S$2:S172,S172)</f>
        <v/>
      </c>
      <c r="U172">
        <f>S172&amp;"|"&amp;T172</f>
        <v/>
      </c>
      <c r="V172">
        <f>IFERROR(VLOOKUP(IF(I172="ENFASIS",LEFT(M172,FIND("+",M172&amp;"+")-1),J172),Direccion_Grupo!$A$2:$G$100,7,FALSE),"")</f>
        <v/>
      </c>
    </row>
    <row r="173">
      <c r="A173" t="n">
        <v>33</v>
      </c>
      <c r="B173" t="inlineStr">
        <is>
          <t>Núñez Perlaza Elcy</t>
        </is>
      </c>
      <c r="C173" t="inlineStr">
        <is>
          <t>LUNES</t>
        </is>
      </c>
      <c r="D173" t="n">
        <v>5</v>
      </c>
      <c r="E173" t="n">
        <v>3</v>
      </c>
      <c r="F173" t="n">
        <v>1</v>
      </c>
      <c r="G173" t="inlineStr">
        <is>
          <t>10:10</t>
        </is>
      </c>
      <c r="H173" t="inlineStr">
        <is>
          <t>10:55</t>
        </is>
      </c>
      <c r="I173" t="inlineStr">
        <is>
          <t>AREAS_MULTIPLES</t>
        </is>
      </c>
      <c r="J173" t="inlineStr">
        <is>
          <t>0402</t>
        </is>
      </c>
      <c r="K173" t="inlineStr">
        <is>
          <t>ÁREAS MÚLTIPLES</t>
        </is>
      </c>
      <c r="L173" t="inlineStr"/>
      <c r="M173" t="inlineStr"/>
      <c r="N173" t="inlineStr"/>
      <c r="O173" t="inlineStr">
        <is>
          <t>Maestro de aula: todas las áreas con su grupo</t>
        </is>
      </c>
      <c r="P173" t="inlineStr"/>
      <c r="Q173">
        <f>IF(I173="ENFASIS","ÉNFASIS "&amp;M173,IFERROR(VLOOKUP(J173,Grupos!$A$2:$D$100,4,FALSE),J173))</f>
        <v/>
      </c>
      <c r="R173">
        <f>O173&amp;IF(N173&lt;&gt;"",IF(O173&lt;&gt;""," · ","")&amp;"Con: "&amp;N173,"")</f>
        <v/>
      </c>
      <c r="S173">
        <f>C173&amp;"|"&amp;D173</f>
        <v/>
      </c>
      <c r="T173">
        <f>COUNTIF($S$2:S173,S173)</f>
        <v/>
      </c>
      <c r="U173">
        <f>S173&amp;"|"&amp;T173</f>
        <v/>
      </c>
      <c r="V173">
        <f>IFERROR(VLOOKUP(IF(I173="ENFASIS",LEFT(M173,FIND("+",M173&amp;"+")-1),J173),Direccion_Grupo!$A$2:$G$100,7,FALSE),"")</f>
        <v/>
      </c>
    </row>
    <row r="174">
      <c r="A174" t="n">
        <v>14</v>
      </c>
      <c r="B174" t="inlineStr">
        <is>
          <t>Cuéllar Gallo Nemesia</t>
        </is>
      </c>
      <c r="C174" t="inlineStr">
        <is>
          <t>LUNES</t>
        </is>
      </c>
      <c r="D174" t="n">
        <v>5</v>
      </c>
      <c r="E174" t="n">
        <v>3</v>
      </c>
      <c r="F174" t="n">
        <v>1</v>
      </c>
      <c r="G174" t="inlineStr">
        <is>
          <t>10:10</t>
        </is>
      </c>
      <c r="H174" t="inlineStr">
        <is>
          <t>10:55</t>
        </is>
      </c>
      <c r="I174" t="inlineStr">
        <is>
          <t>AREAS_MULTIPLES</t>
        </is>
      </c>
      <c r="J174" t="inlineStr">
        <is>
          <t>0501</t>
        </is>
      </c>
      <c r="K174" t="inlineStr">
        <is>
          <t>ÁREAS MÚLTIPLES</t>
        </is>
      </c>
      <c r="L174" t="inlineStr"/>
      <c r="M174" t="inlineStr"/>
      <c r="N174" t="inlineStr"/>
      <c r="O174" t="inlineStr">
        <is>
          <t>Maestro de aula: todas las áreas con su grupo</t>
        </is>
      </c>
      <c r="P174" t="inlineStr"/>
      <c r="Q174">
        <f>IF(I174="ENFASIS","ÉNFASIS "&amp;M174,IFERROR(VLOOKUP(J174,Grupos!$A$2:$D$100,4,FALSE),J174))</f>
        <v/>
      </c>
      <c r="R174">
        <f>O174&amp;IF(N174&lt;&gt;"",IF(O174&lt;&gt;""," · ","")&amp;"Con: "&amp;N174,"")</f>
        <v/>
      </c>
      <c r="S174">
        <f>C174&amp;"|"&amp;D174</f>
        <v/>
      </c>
      <c r="T174">
        <f>COUNTIF($S$2:S174,S174)</f>
        <v/>
      </c>
      <c r="U174">
        <f>S174&amp;"|"&amp;T174</f>
        <v/>
      </c>
      <c r="V174">
        <f>IFERROR(VLOOKUP(IF(I174="ENFASIS",LEFT(M174,FIND("+",M174&amp;"+")-1),J174),Direccion_Grupo!$A$2:$G$100,7,FALSE),"")</f>
        <v/>
      </c>
    </row>
    <row r="175">
      <c r="A175" t="n">
        <v>11</v>
      </c>
      <c r="B175" t="inlineStr">
        <is>
          <t>Centeno Zúñiga Claudia Patricia</t>
        </is>
      </c>
      <c r="C175" t="inlineStr">
        <is>
          <t>LUNES</t>
        </is>
      </c>
      <c r="D175" t="n">
        <v>5</v>
      </c>
      <c r="E175" t="n">
        <v>3</v>
      </c>
      <c r="F175" t="n">
        <v>1</v>
      </c>
      <c r="G175" t="inlineStr">
        <is>
          <t>10:10</t>
        </is>
      </c>
      <c r="H175" t="inlineStr">
        <is>
          <t>10:55</t>
        </is>
      </c>
      <c r="I175" t="inlineStr">
        <is>
          <t>AREAS_MULTIPLES</t>
        </is>
      </c>
      <c r="J175" t="inlineStr">
        <is>
          <t>0502</t>
        </is>
      </c>
      <c r="K175" t="inlineStr">
        <is>
          <t>ÁREAS MÚLTIPLES</t>
        </is>
      </c>
      <c r="L175" t="inlineStr"/>
      <c r="M175" t="inlineStr"/>
      <c r="N175" t="inlineStr"/>
      <c r="O175" t="inlineStr">
        <is>
          <t>Maestro de aula: todas las áreas con su grupo</t>
        </is>
      </c>
      <c r="P175" t="inlineStr"/>
      <c r="Q175">
        <f>IF(I175="ENFASIS","ÉNFASIS "&amp;M175,IFERROR(VLOOKUP(J175,Grupos!$A$2:$D$100,4,FALSE),J175))</f>
        <v/>
      </c>
      <c r="R175">
        <f>O175&amp;IF(N175&lt;&gt;"",IF(O175&lt;&gt;""," · ","")&amp;"Con: "&amp;N175,"")</f>
        <v/>
      </c>
      <c r="S175">
        <f>C175&amp;"|"&amp;D175</f>
        <v/>
      </c>
      <c r="T175">
        <f>COUNTIF($S$2:S175,S175)</f>
        <v/>
      </c>
      <c r="U175">
        <f>S175&amp;"|"&amp;T175</f>
        <v/>
      </c>
      <c r="V175">
        <f>IFERROR(VLOOKUP(IF(I175="ENFASIS",LEFT(M175,FIND("+",M175&amp;"+")-1),J175),Direccion_Grupo!$A$2:$G$100,7,FALSE),"")</f>
        <v/>
      </c>
    </row>
    <row r="176">
      <c r="A176" t="n">
        <v>32</v>
      </c>
      <c r="B176" t="inlineStr">
        <is>
          <t>Narváez Sánchez Dora Alejandra</t>
        </is>
      </c>
      <c r="C176" t="inlineStr">
        <is>
          <t>LUNES</t>
        </is>
      </c>
      <c r="D176" t="n">
        <v>5</v>
      </c>
      <c r="E176" t="n">
        <v>3</v>
      </c>
      <c r="F176" t="n">
        <v>1</v>
      </c>
      <c r="G176" t="inlineStr">
        <is>
          <t>10:10</t>
        </is>
      </c>
      <c r="H176" t="inlineStr">
        <is>
          <t>10:55</t>
        </is>
      </c>
      <c r="I176" t="inlineStr">
        <is>
          <t>AREAS_MULTIPLES</t>
        </is>
      </c>
      <c r="J176" t="inlineStr">
        <is>
          <t>0503</t>
        </is>
      </c>
      <c r="K176" t="inlineStr">
        <is>
          <t>ÁREAS MÚLTIPLES</t>
        </is>
      </c>
      <c r="L176" t="inlineStr"/>
      <c r="M176" t="inlineStr"/>
      <c r="N176" t="inlineStr"/>
      <c r="O176" t="inlineStr">
        <is>
          <t>Maestro de aula: todas las áreas con su grupo</t>
        </is>
      </c>
      <c r="P176" t="inlineStr"/>
      <c r="Q176">
        <f>IF(I176="ENFASIS","ÉNFASIS "&amp;M176,IFERROR(VLOOKUP(J176,Grupos!$A$2:$D$100,4,FALSE),J176))</f>
        <v/>
      </c>
      <c r="R176">
        <f>O176&amp;IF(N176&lt;&gt;"",IF(O176&lt;&gt;""," · ","")&amp;"Con: "&amp;N176,"")</f>
        <v/>
      </c>
      <c r="S176">
        <f>C176&amp;"|"&amp;D176</f>
        <v/>
      </c>
      <c r="T176">
        <f>COUNTIF($S$2:S176,S176)</f>
        <v/>
      </c>
      <c r="U176">
        <f>S176&amp;"|"&amp;T176</f>
        <v/>
      </c>
      <c r="V176">
        <f>IFERROR(VLOOKUP(IF(I176="ENFASIS",LEFT(M176,FIND("+",M176&amp;"+")-1),J176),Direccion_Grupo!$A$2:$G$100,7,FALSE),"")</f>
        <v/>
      </c>
    </row>
    <row r="177">
      <c r="A177" t="n">
        <v>17</v>
      </c>
      <c r="B177" t="inlineStr">
        <is>
          <t>Escobar Cortés Liliana</t>
        </is>
      </c>
      <c r="C177" t="inlineStr">
        <is>
          <t>LUNES</t>
        </is>
      </c>
      <c r="D177" t="n">
        <v>5</v>
      </c>
      <c r="E177" t="n">
        <v>3</v>
      </c>
      <c r="F177" t="n">
        <v>1</v>
      </c>
      <c r="G177" t="inlineStr">
        <is>
          <t>10:10</t>
        </is>
      </c>
      <c r="H177" t="inlineStr">
        <is>
          <t>10:55</t>
        </is>
      </c>
      <c r="I177" t="inlineStr">
        <is>
          <t>AREAS_MULTIPLES</t>
        </is>
      </c>
      <c r="J177" t="inlineStr">
        <is>
          <t>0504</t>
        </is>
      </c>
      <c r="K177" t="inlineStr">
        <is>
          <t>ÁREAS MÚLTIPLES</t>
        </is>
      </c>
      <c r="L177" t="inlineStr"/>
      <c r="M177" t="inlineStr"/>
      <c r="N177" t="inlineStr"/>
      <c r="O177" t="inlineStr">
        <is>
          <t>Maestro de aula: todas las áreas con su grupo</t>
        </is>
      </c>
      <c r="P177" t="inlineStr"/>
      <c r="Q177">
        <f>IF(I177="ENFASIS","ÉNFASIS "&amp;M177,IFERROR(VLOOKUP(J177,Grupos!$A$2:$D$100,4,FALSE),J177))</f>
        <v/>
      </c>
      <c r="R177">
        <f>O177&amp;IF(N177&lt;&gt;"",IF(O177&lt;&gt;""," · ","")&amp;"Con: "&amp;N177,"")</f>
        <v/>
      </c>
      <c r="S177">
        <f>C177&amp;"|"&amp;D177</f>
        <v/>
      </c>
      <c r="T177">
        <f>COUNTIF($S$2:S177,S177)</f>
        <v/>
      </c>
      <c r="U177">
        <f>S177&amp;"|"&amp;T177</f>
        <v/>
      </c>
      <c r="V177">
        <f>IFERROR(VLOOKUP(IF(I177="ENFASIS",LEFT(M177,FIND("+",M177&amp;"+")-1),J177),Direccion_Grupo!$A$2:$G$100,7,FALSE),"")</f>
        <v/>
      </c>
    </row>
    <row r="178">
      <c r="A178" t="n">
        <v>57</v>
      </c>
      <c r="B178" t="inlineStr">
        <is>
          <t>Armero Dájome Jesús</t>
        </is>
      </c>
      <c r="C178" t="inlineStr">
        <is>
          <t>LUNES</t>
        </is>
      </c>
      <c r="D178" t="n">
        <v>5</v>
      </c>
      <c r="E178" t="n">
        <v>3</v>
      </c>
      <c r="F178" t="n">
        <v>1</v>
      </c>
      <c r="G178" t="inlineStr">
        <is>
          <t>10:10</t>
        </is>
      </c>
      <c r="H178" t="inlineStr">
        <is>
          <t>10:55</t>
        </is>
      </c>
      <c r="I178" t="inlineStr">
        <is>
          <t>CLASE</t>
        </is>
      </c>
      <c r="J178" t="inlineStr">
        <is>
          <t>0601</t>
        </is>
      </c>
      <c r="K178" t="inlineStr">
        <is>
          <t>ERD</t>
        </is>
      </c>
      <c r="L178" t="inlineStr"/>
      <c r="M178" t="inlineStr"/>
      <c r="N178" t="inlineStr"/>
      <c r="O178" t="inlineStr"/>
      <c r="P178" t="inlineStr">
        <is>
          <t>0601-ERD</t>
        </is>
      </c>
      <c r="Q178">
        <f>IF(I178="ENFASIS","ÉNFASIS "&amp;M178,IFERROR(VLOOKUP(J178,Grupos!$A$2:$D$100,4,FALSE),J178))</f>
        <v/>
      </c>
      <c r="R178">
        <f>O178&amp;IF(N178&lt;&gt;"",IF(O178&lt;&gt;""," · ","")&amp;"Con: "&amp;N178,"")</f>
        <v/>
      </c>
      <c r="S178">
        <f>C178&amp;"|"&amp;D178</f>
        <v/>
      </c>
      <c r="T178">
        <f>COUNTIF($S$2:S178,S178)</f>
        <v/>
      </c>
      <c r="U178">
        <f>S178&amp;"|"&amp;T178</f>
        <v/>
      </c>
      <c r="V178">
        <f>IFERROR(VLOOKUP(IF(I178="ENFASIS",LEFT(M178,FIND("+",M178&amp;"+")-1),J178),Direccion_Grupo!$A$2:$G$100,7,FALSE),"")</f>
        <v/>
      </c>
    </row>
    <row r="179">
      <c r="A179" t="n">
        <v>20</v>
      </c>
      <c r="B179" t="inlineStr">
        <is>
          <t>García Gobea Saydi Magali</t>
        </is>
      </c>
      <c r="C179" t="inlineStr">
        <is>
          <t>LUNES</t>
        </is>
      </c>
      <c r="D179" t="n">
        <v>5</v>
      </c>
      <c r="E179" t="n">
        <v>3</v>
      </c>
      <c r="F179" t="n">
        <v>1</v>
      </c>
      <c r="G179" t="inlineStr">
        <is>
          <t>10:10</t>
        </is>
      </c>
      <c r="H179" t="inlineStr">
        <is>
          <t>10:55</t>
        </is>
      </c>
      <c r="I179" t="inlineStr">
        <is>
          <t>CLASE</t>
        </is>
      </c>
      <c r="J179" t="inlineStr">
        <is>
          <t>0602</t>
        </is>
      </c>
      <c r="K179" t="inlineStr">
        <is>
          <t>CSI</t>
        </is>
      </c>
      <c r="L179" t="inlineStr"/>
      <c r="M179" t="inlineStr"/>
      <c r="N179" t="inlineStr"/>
      <c r="O179" t="inlineStr">
        <is>
          <t>Sociales / Inglés (alternan cada semana)</t>
        </is>
      </c>
      <c r="P179" t="inlineStr">
        <is>
          <t>0602-CSI</t>
        </is>
      </c>
      <c r="Q179">
        <f>IF(I179="ENFASIS","ÉNFASIS "&amp;M179,IFERROR(VLOOKUP(J179,Grupos!$A$2:$D$100,4,FALSE),J179))</f>
        <v/>
      </c>
      <c r="R179">
        <f>O179&amp;IF(N179&lt;&gt;"",IF(O179&lt;&gt;""," · ","")&amp;"Con: "&amp;N179,"")</f>
        <v/>
      </c>
      <c r="S179">
        <f>C179&amp;"|"&amp;D179</f>
        <v/>
      </c>
      <c r="T179">
        <f>COUNTIF($S$2:S179,S179)</f>
        <v/>
      </c>
      <c r="U179">
        <f>S179&amp;"|"&amp;T179</f>
        <v/>
      </c>
      <c r="V179">
        <f>IFERROR(VLOOKUP(IF(I179="ENFASIS",LEFT(M179,FIND("+",M179&amp;"+")-1),J179),Direccion_Grupo!$A$2:$G$100,7,FALSE),"")</f>
        <v/>
      </c>
    </row>
    <row r="180">
      <c r="A180" t="n">
        <v>39</v>
      </c>
      <c r="B180" t="inlineStr">
        <is>
          <t>Puches Ana Milena</t>
        </is>
      </c>
      <c r="C180" t="inlineStr">
        <is>
          <t>LUNES</t>
        </is>
      </c>
      <c r="D180" t="n">
        <v>5</v>
      </c>
      <c r="E180" t="n">
        <v>3</v>
      </c>
      <c r="F180" t="n">
        <v>1</v>
      </c>
      <c r="G180" t="inlineStr">
        <is>
          <t>10:10</t>
        </is>
      </c>
      <c r="H180" t="inlineStr">
        <is>
          <t>10:55</t>
        </is>
      </c>
      <c r="I180" t="inlineStr">
        <is>
          <t>CLASE</t>
        </is>
      </c>
      <c r="J180" t="inlineStr">
        <is>
          <t>0701</t>
        </is>
      </c>
      <c r="K180" t="inlineStr">
        <is>
          <t>ART</t>
        </is>
      </c>
      <c r="L180" t="inlineStr"/>
      <c r="M180" t="inlineStr"/>
      <c r="N180" t="inlineStr"/>
      <c r="O180" t="inlineStr"/>
      <c r="P180" t="inlineStr">
        <is>
          <t>0701-ART</t>
        </is>
      </c>
      <c r="Q180">
        <f>IF(I180="ENFASIS","ÉNFASIS "&amp;M180,IFERROR(VLOOKUP(J180,Grupos!$A$2:$D$100,4,FALSE),J180))</f>
        <v/>
      </c>
      <c r="R180">
        <f>O180&amp;IF(N180&lt;&gt;"",IF(O180&lt;&gt;""," · ","")&amp;"Con: "&amp;N180,"")</f>
        <v/>
      </c>
      <c r="S180">
        <f>C180&amp;"|"&amp;D180</f>
        <v/>
      </c>
      <c r="T180">
        <f>COUNTIF($S$2:S180,S180)</f>
        <v/>
      </c>
      <c r="U180">
        <f>S180&amp;"|"&amp;T180</f>
        <v/>
      </c>
      <c r="V180">
        <f>IFERROR(VLOOKUP(IF(I180="ENFASIS",LEFT(M180,FIND("+",M180&amp;"+")-1),J180),Direccion_Grupo!$A$2:$G$100,7,FALSE),"")</f>
        <v/>
      </c>
    </row>
    <row r="181">
      <c r="A181" t="n">
        <v>34</v>
      </c>
      <c r="B181" t="inlineStr">
        <is>
          <t>Ordóñez Tenorio Jaime Marcial</t>
        </is>
      </c>
      <c r="C181" t="inlineStr">
        <is>
          <t>LUNES</t>
        </is>
      </c>
      <c r="D181" t="n">
        <v>5</v>
      </c>
      <c r="E181" t="n">
        <v>3</v>
      </c>
      <c r="F181" t="n">
        <v>1</v>
      </c>
      <c r="G181" t="inlineStr">
        <is>
          <t>10:10</t>
        </is>
      </c>
      <c r="H181" t="inlineStr">
        <is>
          <t>10:55</t>
        </is>
      </c>
      <c r="I181" t="inlineStr">
        <is>
          <t>CLASE</t>
        </is>
      </c>
      <c r="J181" t="inlineStr">
        <is>
          <t>0702</t>
        </is>
      </c>
      <c r="K181" t="inlineStr">
        <is>
          <t>CNA</t>
        </is>
      </c>
      <c r="L181" t="inlineStr"/>
      <c r="M181" t="inlineStr"/>
      <c r="N181" t="inlineStr"/>
      <c r="O181" t="inlineStr"/>
      <c r="P181" t="inlineStr">
        <is>
          <t>0702-CNA</t>
        </is>
      </c>
      <c r="Q181">
        <f>IF(I181="ENFASIS","ÉNFASIS "&amp;M181,IFERROR(VLOOKUP(J181,Grupos!$A$2:$D$100,4,FALSE),J181))</f>
        <v/>
      </c>
      <c r="R181">
        <f>O181&amp;IF(N181&lt;&gt;"",IF(O181&lt;&gt;""," · ","")&amp;"Con: "&amp;N181,"")</f>
        <v/>
      </c>
      <c r="S181">
        <f>C181&amp;"|"&amp;D181</f>
        <v/>
      </c>
      <c r="T181">
        <f>COUNTIF($S$2:S181,S181)</f>
        <v/>
      </c>
      <c r="U181">
        <f>S181&amp;"|"&amp;T181</f>
        <v/>
      </c>
      <c r="V181">
        <f>IFERROR(VLOOKUP(IF(I181="ENFASIS",LEFT(M181,FIND("+",M181&amp;"+")-1),J181),Direccion_Grupo!$A$2:$G$100,7,FALSE),"")</f>
        <v/>
      </c>
    </row>
    <row r="182">
      <c r="A182" t="n">
        <v>4</v>
      </c>
      <c r="B182" t="inlineStr">
        <is>
          <t>Arizala Castro Roberto Carlos</t>
        </is>
      </c>
      <c r="C182" t="inlineStr">
        <is>
          <t>LUNES</t>
        </is>
      </c>
      <c r="D182" t="n">
        <v>5</v>
      </c>
      <c r="E182" t="n">
        <v>3</v>
      </c>
      <c r="F182" t="n">
        <v>1</v>
      </c>
      <c r="G182" t="inlineStr">
        <is>
          <t>10:10</t>
        </is>
      </c>
      <c r="H182" t="inlineStr">
        <is>
          <t>10:55</t>
        </is>
      </c>
      <c r="I182" t="inlineStr">
        <is>
          <t>CLASE</t>
        </is>
      </c>
      <c r="J182" t="inlineStr">
        <is>
          <t>0703</t>
        </is>
      </c>
      <c r="K182" t="inlineStr">
        <is>
          <t>ERD</t>
        </is>
      </c>
      <c r="L182" t="inlineStr"/>
      <c r="M182" t="inlineStr"/>
      <c r="N182" t="inlineStr"/>
      <c r="O182" t="inlineStr"/>
      <c r="P182" t="inlineStr">
        <is>
          <t>0703-ERD</t>
        </is>
      </c>
      <c r="Q182">
        <f>IF(I182="ENFASIS","ÉNFASIS "&amp;M182,IFERROR(VLOOKUP(J182,Grupos!$A$2:$D$100,4,FALSE),J182))</f>
        <v/>
      </c>
      <c r="R182">
        <f>O182&amp;IF(N182&lt;&gt;"",IF(O182&lt;&gt;""," · ","")&amp;"Con: "&amp;N182,"")</f>
        <v/>
      </c>
      <c r="S182">
        <f>C182&amp;"|"&amp;D182</f>
        <v/>
      </c>
      <c r="T182">
        <f>COUNTIF($S$2:S182,S182)</f>
        <v/>
      </c>
      <c r="U182">
        <f>S182&amp;"|"&amp;T182</f>
        <v/>
      </c>
      <c r="V182">
        <f>IFERROR(VLOOKUP(IF(I182="ENFASIS",LEFT(M182,FIND("+",M182&amp;"+")-1),J182),Direccion_Grupo!$A$2:$G$100,7,FALSE),"")</f>
        <v/>
      </c>
    </row>
    <row r="183">
      <c r="A183" t="n">
        <v>15</v>
      </c>
      <c r="B183" t="inlineStr">
        <is>
          <t>Cuero Bamba Berte Levi</t>
        </is>
      </c>
      <c r="C183" t="inlineStr">
        <is>
          <t>LUNES</t>
        </is>
      </c>
      <c r="D183" t="n">
        <v>5</v>
      </c>
      <c r="E183" t="n">
        <v>3</v>
      </c>
      <c r="F183" t="n">
        <v>1</v>
      </c>
      <c r="G183" t="inlineStr">
        <is>
          <t>10:10</t>
        </is>
      </c>
      <c r="H183" t="inlineStr">
        <is>
          <t>10:55</t>
        </is>
      </c>
      <c r="I183" t="inlineStr">
        <is>
          <t>CLASE</t>
        </is>
      </c>
      <c r="J183" t="inlineStr">
        <is>
          <t>0801</t>
        </is>
      </c>
      <c r="K183" t="inlineStr">
        <is>
          <t>ERD</t>
        </is>
      </c>
      <c r="L183" t="inlineStr"/>
      <c r="M183" t="inlineStr"/>
      <c r="N183" t="inlineStr"/>
      <c r="O183" t="inlineStr"/>
      <c r="P183" t="inlineStr">
        <is>
          <t>0801-ERD</t>
        </is>
      </c>
      <c r="Q183">
        <f>IF(I183="ENFASIS","ÉNFASIS "&amp;M183,IFERROR(VLOOKUP(J183,Grupos!$A$2:$D$100,4,FALSE),J183))</f>
        <v/>
      </c>
      <c r="R183">
        <f>O183&amp;IF(N183&lt;&gt;"",IF(O183&lt;&gt;""," · ","")&amp;"Con: "&amp;N183,"")</f>
        <v/>
      </c>
      <c r="S183">
        <f>C183&amp;"|"&amp;D183</f>
        <v/>
      </c>
      <c r="T183">
        <f>COUNTIF($S$2:S183,S183)</f>
        <v/>
      </c>
      <c r="U183">
        <f>S183&amp;"|"&amp;T183</f>
        <v/>
      </c>
      <c r="V183">
        <f>IFERROR(VLOOKUP(IF(I183="ENFASIS",LEFT(M183,FIND("+",M183&amp;"+")-1),J183),Direccion_Grupo!$A$2:$G$100,7,FALSE),"")</f>
        <v/>
      </c>
    </row>
    <row r="184">
      <c r="A184" t="n">
        <v>6</v>
      </c>
      <c r="B184" t="inlineStr">
        <is>
          <t>Betancourth Ocampo Yohana Patricia</t>
        </is>
      </c>
      <c r="C184" t="inlineStr">
        <is>
          <t>LUNES</t>
        </is>
      </c>
      <c r="D184" t="n">
        <v>5</v>
      </c>
      <c r="E184" t="n">
        <v>3</v>
      </c>
      <c r="F184" t="n">
        <v>1</v>
      </c>
      <c r="G184" t="inlineStr">
        <is>
          <t>10:10</t>
        </is>
      </c>
      <c r="H184" t="inlineStr">
        <is>
          <t>10:55</t>
        </is>
      </c>
      <c r="I184" t="inlineStr">
        <is>
          <t>CLASE</t>
        </is>
      </c>
      <c r="J184" t="inlineStr">
        <is>
          <t>0902</t>
        </is>
      </c>
      <c r="K184" t="inlineStr">
        <is>
          <t>CSI</t>
        </is>
      </c>
      <c r="L184" t="inlineStr"/>
      <c r="M184" t="inlineStr"/>
      <c r="N184" t="inlineStr"/>
      <c r="O184" t="inlineStr">
        <is>
          <t>Sociales / Inglés (alternan cada semana)</t>
        </is>
      </c>
      <c r="P184" t="inlineStr">
        <is>
          <t>0902-CSI</t>
        </is>
      </c>
      <c r="Q184">
        <f>IF(I184="ENFASIS","ÉNFASIS "&amp;M184,IFERROR(VLOOKUP(J184,Grupos!$A$2:$D$100,4,FALSE),J184))</f>
        <v/>
      </c>
      <c r="R184">
        <f>O184&amp;IF(N184&lt;&gt;"",IF(O184&lt;&gt;""," · ","")&amp;"Con: "&amp;N184,"")</f>
        <v/>
      </c>
      <c r="S184">
        <f>C184&amp;"|"&amp;D184</f>
        <v/>
      </c>
      <c r="T184">
        <f>COUNTIF($S$2:S184,S184)</f>
        <v/>
      </c>
      <c r="U184">
        <f>S184&amp;"|"&amp;T184</f>
        <v/>
      </c>
      <c r="V184">
        <f>IFERROR(VLOOKUP(IF(I184="ENFASIS",LEFT(M184,FIND("+",M184&amp;"+")-1),J184),Direccion_Grupo!$A$2:$G$100,7,FALSE),"")</f>
        <v/>
      </c>
    </row>
    <row r="185">
      <c r="A185" t="n">
        <v>18</v>
      </c>
      <c r="B185" t="inlineStr">
        <is>
          <t>Estacio Estupiñán Rosario</t>
        </is>
      </c>
      <c r="C185" t="inlineStr">
        <is>
          <t>LUNES</t>
        </is>
      </c>
      <c r="D185" t="n">
        <v>5</v>
      </c>
      <c r="E185" t="n">
        <v>3</v>
      </c>
      <c r="F185" t="n">
        <v>1</v>
      </c>
      <c r="G185" t="inlineStr">
        <is>
          <t>10:10</t>
        </is>
      </c>
      <c r="H185" t="inlineStr">
        <is>
          <t>10:55</t>
        </is>
      </c>
      <c r="I185" t="inlineStr">
        <is>
          <t>CLASE</t>
        </is>
      </c>
      <c r="J185" t="inlineStr">
        <is>
          <t>1001</t>
        </is>
      </c>
      <c r="K185" t="inlineStr">
        <is>
          <t>ETR</t>
        </is>
      </c>
      <c r="L185" t="inlineStr"/>
      <c r="M185" t="inlineStr"/>
      <c r="N185" t="inlineStr"/>
      <c r="O185" t="inlineStr">
        <is>
          <t>Ética / Religión (alternan cada semana)</t>
        </is>
      </c>
      <c r="P185" t="inlineStr">
        <is>
          <t>1001-ETR</t>
        </is>
      </c>
      <c r="Q185">
        <f>IF(I185="ENFASIS","ÉNFASIS "&amp;M185,IFERROR(VLOOKUP(J185,Grupos!$A$2:$D$100,4,FALSE),J185))</f>
        <v/>
      </c>
      <c r="R185">
        <f>O185&amp;IF(N185&lt;&gt;"",IF(O185&lt;&gt;""," · ","")&amp;"Con: "&amp;N185,"")</f>
        <v/>
      </c>
      <c r="S185">
        <f>C185&amp;"|"&amp;D185</f>
        <v/>
      </c>
      <c r="T185">
        <f>COUNTIF($S$2:S185,S185)</f>
        <v/>
      </c>
      <c r="U185">
        <f>S185&amp;"|"&amp;T185</f>
        <v/>
      </c>
      <c r="V185">
        <f>IFERROR(VLOOKUP(IF(I185="ENFASIS",LEFT(M185,FIND("+",M185&amp;"+")-1),J185),Direccion_Grupo!$A$2:$G$100,7,FALSE),"")</f>
        <v/>
      </c>
    </row>
    <row r="186">
      <c r="A186" t="n">
        <v>30</v>
      </c>
      <c r="B186" t="inlineStr">
        <is>
          <t>Montaño Anchico Favio Héctor</t>
        </is>
      </c>
      <c r="C186" t="inlineStr">
        <is>
          <t>LUNES</t>
        </is>
      </c>
      <c r="D186" t="n">
        <v>5</v>
      </c>
      <c r="E186" t="n">
        <v>3</v>
      </c>
      <c r="F186" t="n">
        <v>1</v>
      </c>
      <c r="G186" t="inlineStr">
        <is>
          <t>10:10</t>
        </is>
      </c>
      <c r="H186" t="inlineStr">
        <is>
          <t>10:55</t>
        </is>
      </c>
      <c r="I186" t="inlineStr">
        <is>
          <t>CLASE</t>
        </is>
      </c>
      <c r="J186" t="inlineStr">
        <is>
          <t>1101</t>
        </is>
      </c>
      <c r="K186" t="inlineStr">
        <is>
          <t>CAS</t>
        </is>
      </c>
      <c r="L186" t="inlineStr"/>
      <c r="M186" t="inlineStr"/>
      <c r="N186" t="inlineStr"/>
      <c r="O186" t="inlineStr"/>
      <c r="P186" t="inlineStr">
        <is>
          <t>1101-CAS</t>
        </is>
      </c>
      <c r="Q186">
        <f>IF(I186="ENFASIS","ÉNFASIS "&amp;M186,IFERROR(VLOOKUP(J186,Grupos!$A$2:$D$100,4,FALSE),J186))</f>
        <v/>
      </c>
      <c r="R186">
        <f>O186&amp;IF(N186&lt;&gt;"",IF(O186&lt;&gt;""," · ","")&amp;"Con: "&amp;N186,"")</f>
        <v/>
      </c>
      <c r="S186">
        <f>C186&amp;"|"&amp;D186</f>
        <v/>
      </c>
      <c r="T186">
        <f>COUNTIF($S$2:S186,S186)</f>
        <v/>
      </c>
      <c r="U186">
        <f>S186&amp;"|"&amp;T186</f>
        <v/>
      </c>
      <c r="V186">
        <f>IFERROR(VLOOKUP(IF(I186="ENFASIS",LEFT(M186,FIND("+",M186&amp;"+")-1),J186),Direccion_Grupo!$A$2:$G$100,7,FALSE),"")</f>
        <v/>
      </c>
    </row>
    <row r="187">
      <c r="A187" t="n">
        <v>43</v>
      </c>
      <c r="B187" t="inlineStr">
        <is>
          <t>Ramírez Guerra Jimmy Eduardo</t>
        </is>
      </c>
      <c r="C187" t="inlineStr">
        <is>
          <t>LUNES</t>
        </is>
      </c>
      <c r="D187" t="n">
        <v>5</v>
      </c>
      <c r="E187" t="n">
        <v>3</v>
      </c>
      <c r="F187" t="n">
        <v>1</v>
      </c>
      <c r="G187" t="inlineStr">
        <is>
          <t>10:10</t>
        </is>
      </c>
      <c r="H187" t="inlineStr">
        <is>
          <t>10:55</t>
        </is>
      </c>
      <c r="I187" t="inlineStr">
        <is>
          <t>CLASE</t>
        </is>
      </c>
      <c r="J187" t="inlineStr">
        <is>
          <t>1102</t>
        </is>
      </c>
      <c r="K187" t="inlineStr">
        <is>
          <t>ERD</t>
        </is>
      </c>
      <c r="L187" t="inlineStr"/>
      <c r="M187" t="inlineStr"/>
      <c r="N187" t="inlineStr"/>
      <c r="O187" t="inlineStr"/>
      <c r="P187" t="inlineStr">
        <is>
          <t>1102-ERD</t>
        </is>
      </c>
      <c r="Q187">
        <f>IF(I187="ENFASIS","ÉNFASIS "&amp;M187,IFERROR(VLOOKUP(J187,Grupos!$A$2:$D$100,4,FALSE),J187))</f>
        <v/>
      </c>
      <c r="R187">
        <f>O187&amp;IF(N187&lt;&gt;"",IF(O187&lt;&gt;""," · ","")&amp;"Con: "&amp;N187,"")</f>
        <v/>
      </c>
      <c r="S187">
        <f>C187&amp;"|"&amp;D187</f>
        <v/>
      </c>
      <c r="T187">
        <f>COUNTIF($S$2:S187,S187)</f>
        <v/>
      </c>
      <c r="U187">
        <f>S187&amp;"|"&amp;T187</f>
        <v/>
      </c>
      <c r="V187">
        <f>IFERROR(VLOOKUP(IF(I187="ENFASIS",LEFT(M187,FIND("+",M187&amp;"+")-1),J187),Direccion_Grupo!$A$2:$G$100,7,FALSE),"")</f>
        <v/>
      </c>
    </row>
    <row r="188">
      <c r="A188" t="n">
        <v>42</v>
      </c>
      <c r="B188" t="inlineStr">
        <is>
          <t>Quiñones Cabezas Marcos Vidal</t>
        </is>
      </c>
      <c r="C188" t="inlineStr">
        <is>
          <t>LUNES</t>
        </is>
      </c>
      <c r="D188" t="n">
        <v>5</v>
      </c>
      <c r="E188" t="n">
        <v>3</v>
      </c>
      <c r="F188" t="n">
        <v>1</v>
      </c>
      <c r="G188" t="inlineStr">
        <is>
          <t>10:10</t>
        </is>
      </c>
      <c r="H188" t="inlineStr">
        <is>
          <t>10:55</t>
        </is>
      </c>
      <c r="I188" t="inlineStr">
        <is>
          <t>CLASE</t>
        </is>
      </c>
      <c r="J188" t="inlineStr">
        <is>
          <t>CS101</t>
        </is>
      </c>
      <c r="K188" t="inlineStr">
        <is>
          <t>TEI</t>
        </is>
      </c>
      <c r="L188" t="inlineStr"/>
      <c r="M188" t="inlineStr"/>
      <c r="N188" t="inlineStr"/>
      <c r="O188" t="inlineStr"/>
      <c r="P188" t="inlineStr">
        <is>
          <t>CS101-TEI</t>
        </is>
      </c>
      <c r="Q188">
        <f>IF(I188="ENFASIS","ÉNFASIS "&amp;M188,IFERROR(VLOOKUP(J188,Grupos!$A$2:$D$100,4,FALSE),J188))</f>
        <v/>
      </c>
      <c r="R188">
        <f>O188&amp;IF(N188&lt;&gt;"",IF(O188&lt;&gt;""," · ","")&amp;"Con: "&amp;N188,"")</f>
        <v/>
      </c>
      <c r="S188">
        <f>C188&amp;"|"&amp;D188</f>
        <v/>
      </c>
      <c r="T188">
        <f>COUNTIF($S$2:S188,S188)</f>
        <v/>
      </c>
      <c r="U188">
        <f>S188&amp;"|"&amp;T188</f>
        <v/>
      </c>
      <c r="V188">
        <f>IFERROR(VLOOKUP(IF(I188="ENFASIS",LEFT(M188,FIND("+",M188&amp;"+")-1),J188),Direccion_Grupo!$A$2:$G$100,7,FALSE),"")</f>
        <v/>
      </c>
    </row>
    <row r="189">
      <c r="A189" t="n">
        <v>16</v>
      </c>
      <c r="B189" t="inlineStr">
        <is>
          <t>Cuero Rincón Hernando Jesús</t>
        </is>
      </c>
      <c r="C189" t="inlineStr">
        <is>
          <t>LUNES</t>
        </is>
      </c>
      <c r="D189" t="n">
        <v>5</v>
      </c>
      <c r="E189" t="n">
        <v>3</v>
      </c>
      <c r="F189" t="n">
        <v>1</v>
      </c>
      <c r="G189" t="inlineStr">
        <is>
          <t>10:10</t>
        </is>
      </c>
      <c r="H189" t="inlineStr">
        <is>
          <t>10:55</t>
        </is>
      </c>
      <c r="I189" t="inlineStr">
        <is>
          <t>CLASE</t>
        </is>
      </c>
      <c r="J189" t="inlineStr">
        <is>
          <t>CS102</t>
        </is>
      </c>
      <c r="K189" t="inlineStr">
        <is>
          <t>CAS</t>
        </is>
      </c>
      <c r="L189" t="inlineStr"/>
      <c r="M189" t="inlineStr"/>
      <c r="N189" t="inlineStr"/>
      <c r="O189" t="inlineStr"/>
      <c r="P189" t="inlineStr">
        <is>
          <t>CS102-CAS</t>
        </is>
      </c>
      <c r="Q189">
        <f>IF(I189="ENFASIS","ÉNFASIS "&amp;M189,IFERROR(VLOOKUP(J189,Grupos!$A$2:$D$100,4,FALSE),J189))</f>
        <v/>
      </c>
      <c r="R189">
        <f>O189&amp;IF(N189&lt;&gt;"",IF(O189&lt;&gt;""," · ","")&amp;"Con: "&amp;N189,"")</f>
        <v/>
      </c>
      <c r="S189">
        <f>C189&amp;"|"&amp;D189</f>
        <v/>
      </c>
      <c r="T189">
        <f>COUNTIF($S$2:S189,S189)</f>
        <v/>
      </c>
      <c r="U189">
        <f>S189&amp;"|"&amp;T189</f>
        <v/>
      </c>
      <c r="V189">
        <f>IFERROR(VLOOKUP(IF(I189="ENFASIS",LEFT(M189,FIND("+",M189&amp;"+")-1),J189),Direccion_Grupo!$A$2:$G$100,7,FALSE),"")</f>
        <v/>
      </c>
    </row>
    <row r="190">
      <c r="A190" t="n">
        <v>12</v>
      </c>
      <c r="B190" t="inlineStr">
        <is>
          <t>Chillambo Quiñones María Rocío</t>
        </is>
      </c>
      <c r="C190" t="inlineStr">
        <is>
          <t>LUNES</t>
        </is>
      </c>
      <c r="D190" t="n">
        <v>5</v>
      </c>
      <c r="E190" t="n">
        <v>3</v>
      </c>
      <c r="F190" t="n">
        <v>1</v>
      </c>
      <c r="G190" t="inlineStr">
        <is>
          <t>10:10</t>
        </is>
      </c>
      <c r="H190" t="inlineStr">
        <is>
          <t>10:55</t>
        </is>
      </c>
      <c r="I190" t="inlineStr">
        <is>
          <t>CLASE</t>
        </is>
      </c>
      <c r="J190" t="inlineStr">
        <is>
          <t>CS201</t>
        </is>
      </c>
      <c r="K190" t="inlineStr">
        <is>
          <t>CNA</t>
        </is>
      </c>
      <c r="L190" t="inlineStr"/>
      <c r="M190" t="inlineStr"/>
      <c r="N190" t="inlineStr"/>
      <c r="O190" t="inlineStr"/>
      <c r="P190" t="inlineStr">
        <is>
          <t>CS201-CNA</t>
        </is>
      </c>
      <c r="Q190">
        <f>IF(I190="ENFASIS","ÉNFASIS "&amp;M190,IFERROR(VLOOKUP(J190,Grupos!$A$2:$D$100,4,FALSE),J190))</f>
        <v/>
      </c>
      <c r="R190">
        <f>O190&amp;IF(N190&lt;&gt;"",IF(O190&lt;&gt;""," · ","")&amp;"Con: "&amp;N190,"")</f>
        <v/>
      </c>
      <c r="S190">
        <f>C190&amp;"|"&amp;D190</f>
        <v/>
      </c>
      <c r="T190">
        <f>COUNTIF($S$2:S190,S190)</f>
        <v/>
      </c>
      <c r="U190">
        <f>S190&amp;"|"&amp;T190</f>
        <v/>
      </c>
      <c r="V190">
        <f>IFERROR(VLOOKUP(IF(I190="ENFASIS",LEFT(M190,FIND("+",M190&amp;"+")-1),J190),Direccion_Grupo!$A$2:$G$100,7,FALSE),"")</f>
        <v/>
      </c>
    </row>
    <row r="191">
      <c r="A191" t="n">
        <v>44</v>
      </c>
      <c r="B191" t="inlineStr">
        <is>
          <t>Samaniego Angulo Flor Mireya</t>
        </is>
      </c>
      <c r="C191" t="inlineStr">
        <is>
          <t>LUNES</t>
        </is>
      </c>
      <c r="D191" t="n">
        <v>5</v>
      </c>
      <c r="E191" t="n">
        <v>3</v>
      </c>
      <c r="F191" t="n">
        <v>1</v>
      </c>
      <c r="G191" t="inlineStr">
        <is>
          <t>10:10</t>
        </is>
      </c>
      <c r="H191" t="inlineStr">
        <is>
          <t>10:55</t>
        </is>
      </c>
      <c r="I191" t="inlineStr">
        <is>
          <t>CLASE</t>
        </is>
      </c>
      <c r="J191" t="inlineStr">
        <is>
          <t>CS202</t>
        </is>
      </c>
      <c r="K191" t="inlineStr">
        <is>
          <t>ART</t>
        </is>
      </c>
      <c r="L191" t="inlineStr"/>
      <c r="M191" t="inlineStr"/>
      <c r="N191" t="inlineStr"/>
      <c r="O191" t="inlineStr"/>
      <c r="P191" t="inlineStr">
        <is>
          <t>CS202-ART</t>
        </is>
      </c>
      <c r="Q191">
        <f>IF(I191="ENFASIS","ÉNFASIS "&amp;M191,IFERROR(VLOOKUP(J191,Grupos!$A$2:$D$100,4,FALSE),J191))</f>
        <v/>
      </c>
      <c r="R191">
        <f>O191&amp;IF(N191&lt;&gt;"",IF(O191&lt;&gt;""," · ","")&amp;"Con: "&amp;N191,"")</f>
        <v/>
      </c>
      <c r="S191">
        <f>C191&amp;"|"&amp;D191</f>
        <v/>
      </c>
      <c r="T191">
        <f>COUNTIF($S$2:S191,S191)</f>
        <v/>
      </c>
      <c r="U191">
        <f>S191&amp;"|"&amp;T191</f>
        <v/>
      </c>
      <c r="V191">
        <f>IFERROR(VLOOKUP(IF(I191="ENFASIS",LEFT(M191,FIND("+",M191&amp;"+")-1),J191),Direccion_Grupo!$A$2:$G$100,7,FALSE),"")</f>
        <v/>
      </c>
    </row>
    <row r="192">
      <c r="A192" t="n">
        <v>7</v>
      </c>
      <c r="B192" t="inlineStr">
        <is>
          <t>Casanova Casanova Johana Andrea</t>
        </is>
      </c>
      <c r="C192" t="inlineStr">
        <is>
          <t>LUNES</t>
        </is>
      </c>
      <c r="D192" t="n">
        <v>5</v>
      </c>
      <c r="E192" t="n">
        <v>3</v>
      </c>
      <c r="F192" t="n">
        <v>1</v>
      </c>
      <c r="G192" t="inlineStr">
        <is>
          <t>10:10</t>
        </is>
      </c>
      <c r="H192" t="inlineStr">
        <is>
          <t>10:55</t>
        </is>
      </c>
      <c r="I192" t="inlineStr">
        <is>
          <t>ORIENTACION</t>
        </is>
      </c>
      <c r="J192" t="inlineStr">
        <is>
          <t>ORIENT</t>
        </is>
      </c>
      <c r="K192" t="inlineStr">
        <is>
          <t>ORIENTACIÓN ESCOLAR</t>
        </is>
      </c>
      <c r="L192" t="inlineStr"/>
      <c r="M192" t="inlineStr"/>
      <c r="N192" t="inlineStr"/>
      <c r="O192" t="inlineStr">
        <is>
          <t>Jornada 07:30 a 14:30</t>
        </is>
      </c>
      <c r="P192" t="inlineStr"/>
      <c r="Q192">
        <f>IF(I192="ENFASIS","ÉNFASIS "&amp;M192,IFERROR(VLOOKUP(J192,Grupos!$A$2:$D$100,4,FALSE),J192))</f>
        <v/>
      </c>
      <c r="R192">
        <f>O192&amp;IF(N192&lt;&gt;"",IF(O192&lt;&gt;""," · ","")&amp;"Con: "&amp;N192,"")</f>
        <v/>
      </c>
      <c r="S192">
        <f>C192&amp;"|"&amp;D192</f>
        <v/>
      </c>
      <c r="T192">
        <f>COUNTIF($S$2:S192,S192)</f>
        <v/>
      </c>
      <c r="U192">
        <f>S192&amp;"|"&amp;T192</f>
        <v/>
      </c>
      <c r="V192">
        <f>IFERROR(VLOOKUP(IF(I192="ENFASIS",LEFT(M192,FIND("+",M192&amp;"+")-1),J192),Direccion_Grupo!$A$2:$G$100,7,FALSE),"")</f>
        <v/>
      </c>
    </row>
    <row r="193">
      <c r="A193" t="n">
        <v>36</v>
      </c>
      <c r="B193" t="inlineStr">
        <is>
          <t>Ponce Moncayo Ángela Paola</t>
        </is>
      </c>
      <c r="C193" t="inlineStr">
        <is>
          <t>LUNES</t>
        </is>
      </c>
      <c r="D193" t="n">
        <v>5</v>
      </c>
      <c r="E193" t="n">
        <v>3</v>
      </c>
      <c r="F193" t="n">
        <v>1</v>
      </c>
      <c r="G193" t="inlineStr">
        <is>
          <t>10:10</t>
        </is>
      </c>
      <c r="H193" t="inlineStr">
        <is>
          <t>10:55</t>
        </is>
      </c>
      <c r="I193" t="inlineStr">
        <is>
          <t>ORIENTACION</t>
        </is>
      </c>
      <c r="J193" t="inlineStr">
        <is>
          <t>ORIENT</t>
        </is>
      </c>
      <c r="K193" t="inlineStr">
        <is>
          <t>ORIENTACIÓN ESCOLAR</t>
        </is>
      </c>
      <c r="L193" t="inlineStr"/>
      <c r="M193" t="inlineStr"/>
      <c r="N193" t="inlineStr"/>
      <c r="O193" t="inlineStr">
        <is>
          <t>Jornada 08:30 a 13:30</t>
        </is>
      </c>
      <c r="P193" t="inlineStr"/>
      <c r="Q193">
        <f>IF(I193="ENFASIS","ÉNFASIS "&amp;M193,IFERROR(VLOOKUP(J193,Grupos!$A$2:$D$100,4,FALSE),J193))</f>
        <v/>
      </c>
      <c r="R193">
        <f>O193&amp;IF(N193&lt;&gt;"",IF(O193&lt;&gt;""," · ","")&amp;"Con: "&amp;N193,"")</f>
        <v/>
      </c>
      <c r="S193">
        <f>C193&amp;"|"&amp;D193</f>
        <v/>
      </c>
      <c r="T193">
        <f>COUNTIF($S$2:S193,S193)</f>
        <v/>
      </c>
      <c r="U193">
        <f>S193&amp;"|"&amp;T193</f>
        <v/>
      </c>
      <c r="V193">
        <f>IFERROR(VLOOKUP(IF(I193="ENFASIS",LEFT(M193,FIND("+",M193&amp;"+")-1),J193),Direccion_Grupo!$A$2:$G$100,7,FALSE),"")</f>
        <v/>
      </c>
    </row>
    <row r="194">
      <c r="A194" t="n">
        <v>56</v>
      </c>
      <c r="B194" t="inlineStr">
        <is>
          <t>Ortiz Estacio Martha Cecilia</t>
        </is>
      </c>
      <c r="C194" t="inlineStr">
        <is>
          <t>LUNES</t>
        </is>
      </c>
      <c r="D194" t="n">
        <v>5</v>
      </c>
      <c r="E194" t="n">
        <v>3</v>
      </c>
      <c r="F194" t="n">
        <v>1</v>
      </c>
      <c r="G194" t="inlineStr">
        <is>
          <t>10:10</t>
        </is>
      </c>
      <c r="H194" t="inlineStr">
        <is>
          <t>10:55</t>
        </is>
      </c>
      <c r="I194" t="inlineStr">
        <is>
          <t>TUTORIA</t>
        </is>
      </c>
      <c r="J194" t="inlineStr">
        <is>
          <t>PTAFI</t>
        </is>
      </c>
      <c r="K194" t="inlineStr">
        <is>
          <t>TUTORÍA PTAFI</t>
        </is>
      </c>
      <c r="L194" t="inlineStr"/>
      <c r="M194" t="inlineStr"/>
      <c r="N194" t="inlineStr"/>
      <c r="O194" t="inlineStr">
        <is>
          <t>Jornada 06:30 a 12:00</t>
        </is>
      </c>
      <c r="P194" t="inlineStr"/>
      <c r="Q194">
        <f>IF(I194="ENFASIS","ÉNFASIS "&amp;M194,IFERROR(VLOOKUP(J194,Grupos!$A$2:$D$100,4,FALSE),J194))</f>
        <v/>
      </c>
      <c r="R194">
        <f>O194&amp;IF(N194&lt;&gt;"",IF(O194&lt;&gt;""," · ","")&amp;"Con: "&amp;N194,"")</f>
        <v/>
      </c>
      <c r="S194">
        <f>C194&amp;"|"&amp;D194</f>
        <v/>
      </c>
      <c r="T194">
        <f>COUNTIF($S$2:S194,S194)</f>
        <v/>
      </c>
      <c r="U194">
        <f>S194&amp;"|"&amp;T194</f>
        <v/>
      </c>
      <c r="V194">
        <f>IFERROR(VLOOKUP(IF(I194="ENFASIS",LEFT(M194,FIND("+",M194&amp;"+")-1),J194),Direccion_Grupo!$A$2:$G$100,7,FALSE),"")</f>
        <v/>
      </c>
    </row>
    <row r="195">
      <c r="A195" t="n">
        <v>1</v>
      </c>
      <c r="B195" t="inlineStr">
        <is>
          <t>Aguirre Riascos Jorge Andrés</t>
        </is>
      </c>
      <c r="C195" t="inlineStr">
        <is>
          <t>LUNES</t>
        </is>
      </c>
      <c r="D195" t="n">
        <v>5</v>
      </c>
      <c r="E195" t="n">
        <v>3</v>
      </c>
      <c r="F195" t="n">
        <v>1</v>
      </c>
      <c r="G195" t="inlineStr">
        <is>
          <t>10:10</t>
        </is>
      </c>
      <c r="H195" t="inlineStr">
        <is>
          <t>10:55</t>
        </is>
      </c>
      <c r="I195" t="inlineStr">
        <is>
          <t>ENFASIS</t>
        </is>
      </c>
      <c r="J195" t="inlineStr"/>
      <c r="K195" t="inlineStr">
        <is>
          <t>TEI</t>
        </is>
      </c>
      <c r="L195" t="inlineStr">
        <is>
          <t>0704</t>
        </is>
      </c>
      <c r="M195" t="inlineStr">
        <is>
          <t>0704</t>
        </is>
      </c>
      <c r="N195" t="inlineStr">
        <is>
          <t>Vásquez Valencia Segundo Leoncio (MAT)</t>
        </is>
      </c>
      <c r="O195" t="inlineStr">
        <is>
          <t>PAREJA: comparten el énfasis y alternan por semana</t>
        </is>
      </c>
      <c r="P195" t="inlineStr">
        <is>
          <t>ENFASIS-0704</t>
        </is>
      </c>
      <c r="Q195">
        <f>IF(I195="ENFASIS","ÉNFASIS "&amp;M195,IFERROR(VLOOKUP(J195,Grupos!$A$2:$D$100,4,FALSE),J195))</f>
        <v/>
      </c>
      <c r="R195">
        <f>O195&amp;IF(N195&lt;&gt;"",IF(O195&lt;&gt;""," · ","")&amp;"Con: "&amp;N195,"")</f>
        <v/>
      </c>
      <c r="S195">
        <f>C195&amp;"|"&amp;D195</f>
        <v/>
      </c>
      <c r="T195">
        <f>COUNTIF($S$2:S195,S195)</f>
        <v/>
      </c>
      <c r="U195">
        <f>S195&amp;"|"&amp;T195</f>
        <v/>
      </c>
      <c r="V195">
        <f>IFERROR(VLOOKUP(IF(I195="ENFASIS",LEFT(M195,FIND("+",M195&amp;"+")-1),J195),Direccion_Grupo!$A$2:$G$100,7,FALSE),"")</f>
        <v/>
      </c>
    </row>
    <row r="196">
      <c r="A196" t="n">
        <v>52</v>
      </c>
      <c r="B196" t="inlineStr">
        <is>
          <t>Vásquez Valencia Segundo Leoncio</t>
        </is>
      </c>
      <c r="C196" t="inlineStr">
        <is>
          <t>LUNES</t>
        </is>
      </c>
      <c r="D196" t="n">
        <v>5</v>
      </c>
      <c r="E196" t="n">
        <v>3</v>
      </c>
      <c r="F196" t="n">
        <v>1</v>
      </c>
      <c r="G196" t="inlineStr">
        <is>
          <t>10:10</t>
        </is>
      </c>
      <c r="H196" t="inlineStr">
        <is>
          <t>10:55</t>
        </is>
      </c>
      <c r="I196" t="inlineStr">
        <is>
          <t>ENFASIS</t>
        </is>
      </c>
      <c r="J196" t="inlineStr"/>
      <c r="K196" t="inlineStr">
        <is>
          <t>MAT</t>
        </is>
      </c>
      <c r="L196" t="inlineStr">
        <is>
          <t>0704</t>
        </is>
      </c>
      <c r="M196" t="inlineStr">
        <is>
          <t>0704</t>
        </is>
      </c>
      <c r="N196" t="inlineStr">
        <is>
          <t>Aguirre Riascos Jorge Andrés (TEI)</t>
        </is>
      </c>
      <c r="O196" t="inlineStr">
        <is>
          <t>PAREJA: comparten el énfasis y alternan por semana</t>
        </is>
      </c>
      <c r="P196" t="inlineStr">
        <is>
          <t>ENFASIS-0704</t>
        </is>
      </c>
      <c r="Q196">
        <f>IF(I196="ENFASIS","ÉNFASIS "&amp;M196,IFERROR(VLOOKUP(J196,Grupos!$A$2:$D$100,4,FALSE),J196))</f>
        <v/>
      </c>
      <c r="R196">
        <f>O196&amp;IF(N196&lt;&gt;"",IF(O196&lt;&gt;""," · ","")&amp;"Con: "&amp;N196,"")</f>
        <v/>
      </c>
      <c r="S196">
        <f>C196&amp;"|"&amp;D196</f>
        <v/>
      </c>
      <c r="T196">
        <f>COUNTIF($S$2:S196,S196)</f>
        <v/>
      </c>
      <c r="U196">
        <f>S196&amp;"|"&amp;T196</f>
        <v/>
      </c>
      <c r="V196">
        <f>IFERROR(VLOOKUP(IF(I196="ENFASIS",LEFT(M196,FIND("+",M196&amp;"+")-1),J196),Direccion_Grupo!$A$2:$G$100,7,FALSE),"")</f>
        <v/>
      </c>
    </row>
    <row r="197">
      <c r="A197" t="n">
        <v>9</v>
      </c>
      <c r="B197" t="inlineStr">
        <is>
          <t>Castillo Angulo Martha Cecilia</t>
        </is>
      </c>
      <c r="C197" t="inlineStr">
        <is>
          <t>LUNES</t>
        </is>
      </c>
      <c r="D197" t="n">
        <v>5</v>
      </c>
      <c r="E197" t="n">
        <v>3</v>
      </c>
      <c r="F197" t="n">
        <v>1</v>
      </c>
      <c r="G197" t="inlineStr">
        <is>
          <t>10:10</t>
        </is>
      </c>
      <c r="H197" t="inlineStr">
        <is>
          <t>10:55</t>
        </is>
      </c>
      <c r="I197" t="inlineStr">
        <is>
          <t>ENFASIS</t>
        </is>
      </c>
      <c r="J197" t="inlineStr"/>
      <c r="K197" t="inlineStr">
        <is>
          <t>ETR</t>
        </is>
      </c>
      <c r="L197" t="inlineStr">
        <is>
          <t>0802</t>
        </is>
      </c>
      <c r="M197" t="inlineStr">
        <is>
          <t>0802</t>
        </is>
      </c>
      <c r="N197" t="inlineStr">
        <is>
          <t>Ortiz Araujo Adiela Carlota (CSI)</t>
        </is>
      </c>
      <c r="O197" t="inlineStr">
        <is>
          <t>PAREJA: comparten el énfasis y alternan por semana</t>
        </is>
      </c>
      <c r="P197" t="inlineStr">
        <is>
          <t>ENFASIS-0802</t>
        </is>
      </c>
      <c r="Q197">
        <f>IF(I197="ENFASIS","ÉNFASIS "&amp;M197,IFERROR(VLOOKUP(J197,Grupos!$A$2:$D$100,4,FALSE),J197))</f>
        <v/>
      </c>
      <c r="R197">
        <f>O197&amp;IF(N197&lt;&gt;"",IF(O197&lt;&gt;""," · ","")&amp;"Con: "&amp;N197,"")</f>
        <v/>
      </c>
      <c r="S197">
        <f>C197&amp;"|"&amp;D197</f>
        <v/>
      </c>
      <c r="T197">
        <f>COUNTIF($S$2:S197,S197)</f>
        <v/>
      </c>
      <c r="U197">
        <f>S197&amp;"|"&amp;T197</f>
        <v/>
      </c>
      <c r="V197">
        <f>IFERROR(VLOOKUP(IF(I197="ENFASIS",LEFT(M197,FIND("+",M197&amp;"+")-1),J197),Direccion_Grupo!$A$2:$G$100,7,FALSE),"")</f>
        <v/>
      </c>
    </row>
    <row r="198">
      <c r="A198" t="n">
        <v>19</v>
      </c>
      <c r="B198" t="inlineStr">
        <is>
          <t>Fernández Vélez Alfredo Enrique</t>
        </is>
      </c>
      <c r="C198" t="inlineStr">
        <is>
          <t>LUNES</t>
        </is>
      </c>
      <c r="D198" t="n">
        <v>5</v>
      </c>
      <c r="E198" t="n">
        <v>3</v>
      </c>
      <c r="F198" t="n">
        <v>1</v>
      </c>
      <c r="G198" t="inlineStr">
        <is>
          <t>10:10</t>
        </is>
      </c>
      <c r="H198" t="inlineStr">
        <is>
          <t>10:55</t>
        </is>
      </c>
      <c r="I198" t="inlineStr">
        <is>
          <t>ENFASIS</t>
        </is>
      </c>
      <c r="J198" t="inlineStr"/>
      <c r="K198" t="inlineStr">
        <is>
          <t>TEI</t>
        </is>
      </c>
      <c r="L198" t="inlineStr">
        <is>
          <t>D3-8°</t>
        </is>
      </c>
      <c r="M198" t="inlineStr">
        <is>
          <t>0802</t>
        </is>
      </c>
      <c r="N198" t="inlineStr">
        <is>
          <t>Preciado Torres Oleisa (MAT)</t>
        </is>
      </c>
      <c r="O198" t="inlineStr">
        <is>
          <t>PAREJA: comparten el énfasis y alternan por semana</t>
        </is>
      </c>
      <c r="P198" t="inlineStr">
        <is>
          <t>ENFASIS-D3-8°</t>
        </is>
      </c>
      <c r="Q198">
        <f>IF(I198="ENFASIS","ÉNFASIS "&amp;M198,IFERROR(VLOOKUP(J198,Grupos!$A$2:$D$100,4,FALSE),J198))</f>
        <v/>
      </c>
      <c r="R198">
        <f>O198&amp;IF(N198&lt;&gt;"",IF(O198&lt;&gt;""," · ","")&amp;"Con: "&amp;N198,"")</f>
        <v/>
      </c>
      <c r="S198">
        <f>C198&amp;"|"&amp;D198</f>
        <v/>
      </c>
      <c r="T198">
        <f>COUNTIF($S$2:S198,S198)</f>
        <v/>
      </c>
      <c r="U198">
        <f>S198&amp;"|"&amp;T198</f>
        <v/>
      </c>
      <c r="V198">
        <f>IFERROR(VLOOKUP(IF(I198="ENFASIS",LEFT(M198,FIND("+",M198&amp;"+")-1),J198),Direccion_Grupo!$A$2:$G$100,7,FALSE),"")</f>
        <v/>
      </c>
    </row>
    <row r="199">
      <c r="A199" t="n">
        <v>35</v>
      </c>
      <c r="B199" t="inlineStr">
        <is>
          <t>Ortiz Araujo Adiela Carlota</t>
        </is>
      </c>
      <c r="C199" t="inlineStr">
        <is>
          <t>LUNES</t>
        </is>
      </c>
      <c r="D199" t="n">
        <v>5</v>
      </c>
      <c r="E199" t="n">
        <v>3</v>
      </c>
      <c r="F199" t="n">
        <v>1</v>
      </c>
      <c r="G199" t="inlineStr">
        <is>
          <t>10:10</t>
        </is>
      </c>
      <c r="H199" t="inlineStr">
        <is>
          <t>10:55</t>
        </is>
      </c>
      <c r="I199" t="inlineStr">
        <is>
          <t>ENFASIS</t>
        </is>
      </c>
      <c r="J199" t="inlineStr"/>
      <c r="K199" t="inlineStr">
        <is>
          <t>CSI</t>
        </is>
      </c>
      <c r="L199" t="inlineStr">
        <is>
          <t>0802</t>
        </is>
      </c>
      <c r="M199" t="inlineStr">
        <is>
          <t>0802</t>
        </is>
      </c>
      <c r="N199" t="inlineStr">
        <is>
          <t>Castillo Angulo Martha Cecilia (ETR)</t>
        </is>
      </c>
      <c r="O199" t="inlineStr">
        <is>
          <t>PAREJA: comparten el énfasis y alternan por semana</t>
        </is>
      </c>
      <c r="P199" t="inlineStr">
        <is>
          <t>ENFASIS-0802</t>
        </is>
      </c>
      <c r="Q199">
        <f>IF(I199="ENFASIS","ÉNFASIS "&amp;M199,IFERROR(VLOOKUP(J199,Grupos!$A$2:$D$100,4,FALSE),J199))</f>
        <v/>
      </c>
      <c r="R199">
        <f>O199&amp;IF(N199&lt;&gt;"",IF(O199&lt;&gt;""," · ","")&amp;"Con: "&amp;N199,"")</f>
        <v/>
      </c>
      <c r="S199">
        <f>C199&amp;"|"&amp;D199</f>
        <v/>
      </c>
      <c r="T199">
        <f>COUNTIF($S$2:S199,S199)</f>
        <v/>
      </c>
      <c r="U199">
        <f>S199&amp;"|"&amp;T199</f>
        <v/>
      </c>
      <c r="V199">
        <f>IFERROR(VLOOKUP(IF(I199="ENFASIS",LEFT(M199,FIND("+",M199&amp;"+")-1),J199),Direccion_Grupo!$A$2:$G$100,7,FALSE),"")</f>
        <v/>
      </c>
    </row>
    <row r="200">
      <c r="A200" t="n">
        <v>38</v>
      </c>
      <c r="B200" t="inlineStr">
        <is>
          <t>Preciado Torres Oleisa</t>
        </is>
      </c>
      <c r="C200" t="inlineStr">
        <is>
          <t>LUNES</t>
        </is>
      </c>
      <c r="D200" t="n">
        <v>5</v>
      </c>
      <c r="E200" t="n">
        <v>3</v>
      </c>
      <c r="F200" t="n">
        <v>1</v>
      </c>
      <c r="G200" t="inlineStr">
        <is>
          <t>10:10</t>
        </is>
      </c>
      <c r="H200" t="inlineStr">
        <is>
          <t>10:55</t>
        </is>
      </c>
      <c r="I200" t="inlineStr">
        <is>
          <t>ENFASIS</t>
        </is>
      </c>
      <c r="J200" t="inlineStr"/>
      <c r="K200" t="inlineStr">
        <is>
          <t>MAT</t>
        </is>
      </c>
      <c r="L200" t="inlineStr">
        <is>
          <t>D3-8°</t>
        </is>
      </c>
      <c r="M200" t="inlineStr">
        <is>
          <t>0802</t>
        </is>
      </c>
      <c r="N200" t="inlineStr">
        <is>
          <t>Fernández Vélez Alfredo Enrique (TEI)</t>
        </is>
      </c>
      <c r="O200" t="inlineStr">
        <is>
          <t>PAREJA: comparten el énfasis y alternan por semana</t>
        </is>
      </c>
      <c r="P200" t="inlineStr">
        <is>
          <t>ENFASIS-D3-8°</t>
        </is>
      </c>
      <c r="Q200">
        <f>IF(I200="ENFASIS","ÉNFASIS "&amp;M200,IFERROR(VLOOKUP(J200,Grupos!$A$2:$D$100,4,FALSE),J200))</f>
        <v/>
      </c>
      <c r="R200">
        <f>O200&amp;IF(N200&lt;&gt;"",IF(O200&lt;&gt;""," · ","")&amp;"Con: "&amp;N200,"")</f>
        <v/>
      </c>
      <c r="S200">
        <f>C200&amp;"|"&amp;D200</f>
        <v/>
      </c>
      <c r="T200">
        <f>COUNTIF($S$2:S200,S200)</f>
        <v/>
      </c>
      <c r="U200">
        <f>S200&amp;"|"&amp;T200</f>
        <v/>
      </c>
      <c r="V200">
        <f>IFERROR(VLOOKUP(IF(I200="ENFASIS",LEFT(M200,FIND("+",M200&amp;"+")-1),J200),Direccion_Grupo!$A$2:$G$100,7,FALSE),"")</f>
        <v/>
      </c>
    </row>
    <row r="201">
      <c r="A201" t="n">
        <v>22</v>
      </c>
      <c r="B201" t="inlineStr">
        <is>
          <t>González Castillo Jólmer Jimy</t>
        </is>
      </c>
      <c r="C201" t="inlineStr">
        <is>
          <t>LUNES</t>
        </is>
      </c>
      <c r="D201" t="n">
        <v>5</v>
      </c>
      <c r="E201" t="n">
        <v>3</v>
      </c>
      <c r="F201" t="n">
        <v>1</v>
      </c>
      <c r="G201" t="inlineStr">
        <is>
          <t>10:10</t>
        </is>
      </c>
      <c r="H201" t="inlineStr">
        <is>
          <t>10:55</t>
        </is>
      </c>
      <c r="I201" t="inlineStr">
        <is>
          <t>ENFASIS</t>
        </is>
      </c>
      <c r="J201" t="inlineStr"/>
      <c r="K201" t="inlineStr">
        <is>
          <t>ERD</t>
        </is>
      </c>
      <c r="L201" t="inlineStr">
        <is>
          <t>0901</t>
        </is>
      </c>
      <c r="M201" t="inlineStr">
        <is>
          <t>0901</t>
        </is>
      </c>
      <c r="N201" t="inlineStr">
        <is>
          <t>Valencia Marínez Saidy Eufemia (ART); Meza Banguera Gladys Alicia (CAS); Lemos Guancha Miriam (CNA)</t>
        </is>
      </c>
      <c r="O201" t="inlineStr">
        <is>
          <t>EQUIPO DE 4: cada docente atiende un grupo de estudiantes en su área</t>
        </is>
      </c>
      <c r="P201" t="inlineStr">
        <is>
          <t>ENFASIS-0901</t>
        </is>
      </c>
      <c r="Q201">
        <f>IF(I201="ENFASIS","ÉNFASIS "&amp;M201,IFERROR(VLOOKUP(J201,Grupos!$A$2:$D$100,4,FALSE),J201))</f>
        <v/>
      </c>
      <c r="R201">
        <f>O201&amp;IF(N201&lt;&gt;"",IF(O201&lt;&gt;""," · ","")&amp;"Con: "&amp;N201,"")</f>
        <v/>
      </c>
      <c r="S201">
        <f>C201&amp;"|"&amp;D201</f>
        <v/>
      </c>
      <c r="T201">
        <f>COUNTIF($S$2:S201,S201)</f>
        <v/>
      </c>
      <c r="U201">
        <f>S201&amp;"|"&amp;T201</f>
        <v/>
      </c>
      <c r="V201">
        <f>IFERROR(VLOOKUP(IF(I201="ENFASIS",LEFT(M201,FIND("+",M201&amp;"+")-1),J201),Direccion_Grupo!$A$2:$G$100,7,FALSE),"")</f>
        <v/>
      </c>
    </row>
    <row r="202">
      <c r="A202" t="n">
        <v>25</v>
      </c>
      <c r="B202" t="inlineStr">
        <is>
          <t>Lemos Guancha Miriam</t>
        </is>
      </c>
      <c r="C202" t="inlineStr">
        <is>
          <t>LUNES</t>
        </is>
      </c>
      <c r="D202" t="n">
        <v>5</v>
      </c>
      <c r="E202" t="n">
        <v>3</v>
      </c>
      <c r="F202" t="n">
        <v>1</v>
      </c>
      <c r="G202" t="inlineStr">
        <is>
          <t>10:10</t>
        </is>
      </c>
      <c r="H202" t="inlineStr">
        <is>
          <t>10:55</t>
        </is>
      </c>
      <c r="I202" t="inlineStr">
        <is>
          <t>ENFASIS</t>
        </is>
      </c>
      <c r="J202" t="inlineStr"/>
      <c r="K202" t="inlineStr">
        <is>
          <t>CNA</t>
        </is>
      </c>
      <c r="L202" t="inlineStr">
        <is>
          <t>0901</t>
        </is>
      </c>
      <c r="M202" t="inlineStr">
        <is>
          <t>0901</t>
        </is>
      </c>
      <c r="N202" t="inlineStr">
        <is>
          <t>Valencia Marínez Saidy Eufemia (ART); Meza Banguera Gladys Alicia (CAS); González Castillo Jólmer Jimy (ERD)</t>
        </is>
      </c>
      <c r="O202" t="inlineStr">
        <is>
          <t>EQUIPO DE 4: cada docente atiende un grupo de estudiantes en su área</t>
        </is>
      </c>
      <c r="P202" t="inlineStr">
        <is>
          <t>ENFASIS-0901</t>
        </is>
      </c>
      <c r="Q202">
        <f>IF(I202="ENFASIS","ÉNFASIS "&amp;M202,IFERROR(VLOOKUP(J202,Grupos!$A$2:$D$100,4,FALSE),J202))</f>
        <v/>
      </c>
      <c r="R202">
        <f>O202&amp;IF(N202&lt;&gt;"",IF(O202&lt;&gt;""," · ","")&amp;"Con: "&amp;N202,"")</f>
        <v/>
      </c>
      <c r="S202">
        <f>C202&amp;"|"&amp;D202</f>
        <v/>
      </c>
      <c r="T202">
        <f>COUNTIF($S$2:S202,S202)</f>
        <v/>
      </c>
      <c r="U202">
        <f>S202&amp;"|"&amp;T202</f>
        <v/>
      </c>
      <c r="V202">
        <f>IFERROR(VLOOKUP(IF(I202="ENFASIS",LEFT(M202,FIND("+",M202&amp;"+")-1),J202),Direccion_Grupo!$A$2:$G$100,7,FALSE),"")</f>
        <v/>
      </c>
    </row>
    <row r="203">
      <c r="A203" t="n">
        <v>28</v>
      </c>
      <c r="B203" t="inlineStr">
        <is>
          <t>Meza Banguera Gladys Alicia</t>
        </is>
      </c>
      <c r="C203" t="inlineStr">
        <is>
          <t>LUNES</t>
        </is>
      </c>
      <c r="D203" t="n">
        <v>5</v>
      </c>
      <c r="E203" t="n">
        <v>3</v>
      </c>
      <c r="F203" t="n">
        <v>1</v>
      </c>
      <c r="G203" t="inlineStr">
        <is>
          <t>10:10</t>
        </is>
      </c>
      <c r="H203" t="inlineStr">
        <is>
          <t>10:55</t>
        </is>
      </c>
      <c r="I203" t="inlineStr">
        <is>
          <t>ENFASIS</t>
        </is>
      </c>
      <c r="J203" t="inlineStr"/>
      <c r="K203" t="inlineStr">
        <is>
          <t>CAS</t>
        </is>
      </c>
      <c r="L203" t="inlineStr">
        <is>
          <t>0901</t>
        </is>
      </c>
      <c r="M203" t="inlineStr">
        <is>
          <t>0901</t>
        </is>
      </c>
      <c r="N203" t="inlineStr">
        <is>
          <t>Valencia Marínez Saidy Eufemia (ART); González Castillo Jólmer Jimy (ERD); Lemos Guancha Miriam (CNA)</t>
        </is>
      </c>
      <c r="O203" t="inlineStr">
        <is>
          <t>EQUIPO DE 4: cada docente atiende un grupo de estudiantes en su área</t>
        </is>
      </c>
      <c r="P203" t="inlineStr">
        <is>
          <t>ENFASIS-0901</t>
        </is>
      </c>
      <c r="Q203">
        <f>IF(I203="ENFASIS","ÉNFASIS "&amp;M203,IFERROR(VLOOKUP(J203,Grupos!$A$2:$D$100,4,FALSE),J203))</f>
        <v/>
      </c>
      <c r="R203">
        <f>O203&amp;IF(N203&lt;&gt;"",IF(O203&lt;&gt;""," · ","")&amp;"Con: "&amp;N203,"")</f>
        <v/>
      </c>
      <c r="S203">
        <f>C203&amp;"|"&amp;D203</f>
        <v/>
      </c>
      <c r="T203">
        <f>COUNTIF($S$2:S203,S203)</f>
        <v/>
      </c>
      <c r="U203">
        <f>S203&amp;"|"&amp;T203</f>
        <v/>
      </c>
      <c r="V203">
        <f>IFERROR(VLOOKUP(IF(I203="ENFASIS",LEFT(M203,FIND("+",M203&amp;"+")-1),J203),Direccion_Grupo!$A$2:$G$100,7,FALSE),"")</f>
        <v/>
      </c>
    </row>
    <row r="204">
      <c r="A204" t="n">
        <v>49</v>
      </c>
      <c r="B204" t="inlineStr">
        <is>
          <t>Valencia Marínez Saidy Eufemia</t>
        </is>
      </c>
      <c r="C204" t="inlineStr">
        <is>
          <t>LUNES</t>
        </is>
      </c>
      <c r="D204" t="n">
        <v>5</v>
      </c>
      <c r="E204" t="n">
        <v>3</v>
      </c>
      <c r="F204" t="n">
        <v>1</v>
      </c>
      <c r="G204" t="inlineStr">
        <is>
          <t>10:10</t>
        </is>
      </c>
      <c r="H204" t="inlineStr">
        <is>
          <t>10:55</t>
        </is>
      </c>
      <c r="I204" t="inlineStr">
        <is>
          <t>ENFASIS</t>
        </is>
      </c>
      <c r="J204" t="inlineStr"/>
      <c r="K204" t="inlineStr">
        <is>
          <t>ART</t>
        </is>
      </c>
      <c r="L204" t="inlineStr">
        <is>
          <t>0901</t>
        </is>
      </c>
      <c r="M204" t="inlineStr">
        <is>
          <t>0901</t>
        </is>
      </c>
      <c r="N204" t="inlineStr">
        <is>
          <t>Meza Banguera Gladys Alicia (CAS); González Castillo Jólmer Jimy (ERD); Lemos Guancha Miriam (CNA)</t>
        </is>
      </c>
      <c r="O204" t="inlineStr">
        <is>
          <t>EQUIPO DE 4: cada docente atiende un grupo de estudiantes en su área</t>
        </is>
      </c>
      <c r="P204" t="inlineStr">
        <is>
          <t>ENFASIS-0901</t>
        </is>
      </c>
      <c r="Q204">
        <f>IF(I204="ENFASIS","ÉNFASIS "&amp;M204,IFERROR(VLOOKUP(J204,Grupos!$A$2:$D$100,4,FALSE),J204))</f>
        <v/>
      </c>
      <c r="R204">
        <f>O204&amp;IF(N204&lt;&gt;"",IF(O204&lt;&gt;""," · ","")&amp;"Con: "&amp;N204,"")</f>
        <v/>
      </c>
      <c r="S204">
        <f>C204&amp;"|"&amp;D204</f>
        <v/>
      </c>
      <c r="T204">
        <f>COUNTIF($S$2:S204,S204)</f>
        <v/>
      </c>
      <c r="U204">
        <f>S204&amp;"|"&amp;T204</f>
        <v/>
      </c>
      <c r="V204">
        <f>IFERROR(VLOOKUP(IF(I204="ENFASIS",LEFT(M204,FIND("+",M204&amp;"+")-1),J204),Direccion_Grupo!$A$2:$G$100,7,FALSE),"")</f>
        <v/>
      </c>
    </row>
    <row r="205">
      <c r="A205" t="n">
        <v>2</v>
      </c>
      <c r="B205" t="inlineStr">
        <is>
          <t>Angulo Lucero Andrés Mauricio</t>
        </is>
      </c>
      <c r="C205" t="inlineStr">
        <is>
          <t>LUNES</t>
        </is>
      </c>
      <c r="D205" t="n">
        <v>5</v>
      </c>
      <c r="E205" t="n">
        <v>3</v>
      </c>
      <c r="F205" t="n">
        <v>1</v>
      </c>
      <c r="G205" t="inlineStr">
        <is>
          <t>10:10</t>
        </is>
      </c>
      <c r="H205" t="inlineStr">
        <is>
          <t>10:55</t>
        </is>
      </c>
      <c r="I205" t="inlineStr">
        <is>
          <t>ENFASIS</t>
        </is>
      </c>
      <c r="J205" t="inlineStr"/>
      <c r="K205" t="inlineStr">
        <is>
          <t>TEI</t>
        </is>
      </c>
      <c r="L205" t="inlineStr">
        <is>
          <t>D5-10°</t>
        </is>
      </c>
      <c r="M205" t="inlineStr">
        <is>
          <t>1002</t>
        </is>
      </c>
      <c r="N205" t="inlineStr">
        <is>
          <t>Pulgarín Ortiz César Marino (CSI); Montaño Arizala Leidis Claudina (ETR); Villota Rubio Janeth del Carmen (MAT)</t>
        </is>
      </c>
      <c r="O205" t="inlineStr">
        <is>
          <t>EQUIPO DE 4: cada docente atiende un grupo de estudiantes en su área</t>
        </is>
      </c>
      <c r="P205" t="inlineStr">
        <is>
          <t>ENFASIS-D5-10°</t>
        </is>
      </c>
      <c r="Q205">
        <f>IF(I205="ENFASIS","ÉNFASIS "&amp;M205,IFERROR(VLOOKUP(J205,Grupos!$A$2:$D$100,4,FALSE),J205))</f>
        <v/>
      </c>
      <c r="R205">
        <f>O205&amp;IF(N205&lt;&gt;"",IF(O205&lt;&gt;""," · ","")&amp;"Con: "&amp;N205,"")</f>
        <v/>
      </c>
      <c r="S205">
        <f>C205&amp;"|"&amp;D205</f>
        <v/>
      </c>
      <c r="T205">
        <f>COUNTIF($S$2:S205,S205)</f>
        <v/>
      </c>
      <c r="U205">
        <f>S205&amp;"|"&amp;T205</f>
        <v/>
      </c>
      <c r="V205">
        <f>IFERROR(VLOOKUP(IF(I205="ENFASIS",LEFT(M205,FIND("+",M205&amp;"+")-1),J205),Direccion_Grupo!$A$2:$G$100,7,FALSE),"")</f>
        <v/>
      </c>
    </row>
    <row r="206">
      <c r="A206" t="n">
        <v>31</v>
      </c>
      <c r="B206" t="inlineStr">
        <is>
          <t>Montaño Arizala Leidis Claudina</t>
        </is>
      </c>
      <c r="C206" t="inlineStr">
        <is>
          <t>LUNES</t>
        </is>
      </c>
      <c r="D206" t="n">
        <v>5</v>
      </c>
      <c r="E206" t="n">
        <v>3</v>
      </c>
      <c r="F206" t="n">
        <v>1</v>
      </c>
      <c r="G206" t="inlineStr">
        <is>
          <t>10:10</t>
        </is>
      </c>
      <c r="H206" t="inlineStr">
        <is>
          <t>10:55</t>
        </is>
      </c>
      <c r="I206" t="inlineStr">
        <is>
          <t>ENFASIS</t>
        </is>
      </c>
      <c r="J206" t="inlineStr"/>
      <c r="K206" t="inlineStr">
        <is>
          <t>ETR</t>
        </is>
      </c>
      <c r="L206" t="inlineStr">
        <is>
          <t>D5-10°</t>
        </is>
      </c>
      <c r="M206" t="inlineStr">
        <is>
          <t>1002</t>
        </is>
      </c>
      <c r="N206" t="inlineStr">
        <is>
          <t>Pulgarín Ortiz César Marino (CSI); Villota Rubio Janeth del Carmen (MAT); Angulo Lucero Andrés Mauricio (TEI)</t>
        </is>
      </c>
      <c r="O206" t="inlineStr">
        <is>
          <t>EQUIPO DE 4: cada docente atiende un grupo de estudiantes en su área</t>
        </is>
      </c>
      <c r="P206" t="inlineStr">
        <is>
          <t>ENFASIS-D5-10°</t>
        </is>
      </c>
      <c r="Q206">
        <f>IF(I206="ENFASIS","ÉNFASIS "&amp;M206,IFERROR(VLOOKUP(J206,Grupos!$A$2:$D$100,4,FALSE),J206))</f>
        <v/>
      </c>
      <c r="R206">
        <f>O206&amp;IF(N206&lt;&gt;"",IF(O206&lt;&gt;""," · ","")&amp;"Con: "&amp;N206,"")</f>
        <v/>
      </c>
      <c r="S206">
        <f>C206&amp;"|"&amp;D206</f>
        <v/>
      </c>
      <c r="T206">
        <f>COUNTIF($S$2:S206,S206)</f>
        <v/>
      </c>
      <c r="U206">
        <f>S206&amp;"|"&amp;T206</f>
        <v/>
      </c>
      <c r="V206">
        <f>IFERROR(VLOOKUP(IF(I206="ENFASIS",LEFT(M206,FIND("+",M206&amp;"+")-1),J206),Direccion_Grupo!$A$2:$G$100,7,FALSE),"")</f>
        <v/>
      </c>
    </row>
    <row r="207">
      <c r="A207" t="n">
        <v>40</v>
      </c>
      <c r="B207" t="inlineStr">
        <is>
          <t>Pulgarín Ortiz César Marino</t>
        </is>
      </c>
      <c r="C207" t="inlineStr">
        <is>
          <t>LUNES</t>
        </is>
      </c>
      <c r="D207" t="n">
        <v>5</v>
      </c>
      <c r="E207" t="n">
        <v>3</v>
      </c>
      <c r="F207" t="n">
        <v>1</v>
      </c>
      <c r="G207" t="inlineStr">
        <is>
          <t>10:10</t>
        </is>
      </c>
      <c r="H207" t="inlineStr">
        <is>
          <t>10:55</t>
        </is>
      </c>
      <c r="I207" t="inlineStr">
        <is>
          <t>ENFASIS</t>
        </is>
      </c>
      <c r="J207" t="inlineStr"/>
      <c r="K207" t="inlineStr">
        <is>
          <t>CSI</t>
        </is>
      </c>
      <c r="L207" t="inlineStr">
        <is>
          <t>D5-10°</t>
        </is>
      </c>
      <c r="M207" t="inlineStr">
        <is>
          <t>1002</t>
        </is>
      </c>
      <c r="N207" t="inlineStr">
        <is>
          <t>Montaño Arizala Leidis Claudina (ETR); Villota Rubio Janeth del Carmen (MAT); Angulo Lucero Andrés Mauricio (TEI)</t>
        </is>
      </c>
      <c r="O207" t="inlineStr">
        <is>
          <t>EQUIPO DE 4: cada docente atiende un grupo de estudiantes en su área</t>
        </is>
      </c>
      <c r="P207" t="inlineStr">
        <is>
          <t>ENFASIS-D5-10°</t>
        </is>
      </c>
      <c r="Q207">
        <f>IF(I207="ENFASIS","ÉNFASIS "&amp;M207,IFERROR(VLOOKUP(J207,Grupos!$A$2:$D$100,4,FALSE),J207))</f>
        <v/>
      </c>
      <c r="R207">
        <f>O207&amp;IF(N207&lt;&gt;"",IF(O207&lt;&gt;""," · ","")&amp;"Con: "&amp;N207,"")</f>
        <v/>
      </c>
      <c r="S207">
        <f>C207&amp;"|"&amp;D207</f>
        <v/>
      </c>
      <c r="T207">
        <f>COUNTIF($S$2:S207,S207)</f>
        <v/>
      </c>
      <c r="U207">
        <f>S207&amp;"|"&amp;T207</f>
        <v/>
      </c>
      <c r="V207">
        <f>IFERROR(VLOOKUP(IF(I207="ENFASIS",LEFT(M207,FIND("+",M207&amp;"+")-1),J207),Direccion_Grupo!$A$2:$G$100,7,FALSE),"")</f>
        <v/>
      </c>
    </row>
    <row r="208">
      <c r="A208" t="n">
        <v>54</v>
      </c>
      <c r="B208" t="inlineStr">
        <is>
          <t>Villota Rubio Janeth del Carmen</t>
        </is>
      </c>
      <c r="C208" t="inlineStr">
        <is>
          <t>LUNES</t>
        </is>
      </c>
      <c r="D208" t="n">
        <v>5</v>
      </c>
      <c r="E208" t="n">
        <v>3</v>
      </c>
      <c r="F208" t="n">
        <v>1</v>
      </c>
      <c r="G208" t="inlineStr">
        <is>
          <t>10:10</t>
        </is>
      </c>
      <c r="H208" t="inlineStr">
        <is>
          <t>10:55</t>
        </is>
      </c>
      <c r="I208" t="inlineStr">
        <is>
          <t>ENFASIS</t>
        </is>
      </c>
      <c r="J208" t="inlineStr"/>
      <c r="K208" t="inlineStr">
        <is>
          <t>MAT</t>
        </is>
      </c>
      <c r="L208" t="inlineStr">
        <is>
          <t>D5-10°</t>
        </is>
      </c>
      <c r="M208" t="inlineStr">
        <is>
          <t>1002</t>
        </is>
      </c>
      <c r="N208" t="inlineStr">
        <is>
          <t>Pulgarín Ortiz César Marino (CSI); Montaño Arizala Leidis Claudina (ETR); Angulo Lucero Andrés Mauricio (TEI)</t>
        </is>
      </c>
      <c r="O208" t="inlineStr">
        <is>
          <t>EQUIPO DE 4: cada docente atiende un grupo de estudiantes en su área</t>
        </is>
      </c>
      <c r="P208" t="inlineStr">
        <is>
          <t>ENFASIS-D5-10°</t>
        </is>
      </c>
      <c r="Q208">
        <f>IF(I208="ENFASIS","ÉNFASIS "&amp;M208,IFERROR(VLOOKUP(J208,Grupos!$A$2:$D$100,4,FALSE),J208))</f>
        <v/>
      </c>
      <c r="R208">
        <f>O208&amp;IF(N208&lt;&gt;"",IF(O208&lt;&gt;""," · ","")&amp;"Con: "&amp;N208,"")</f>
        <v/>
      </c>
      <c r="S208">
        <f>C208&amp;"|"&amp;D208</f>
        <v/>
      </c>
      <c r="T208">
        <f>COUNTIF($S$2:S208,S208)</f>
        <v/>
      </c>
      <c r="U208">
        <f>S208&amp;"|"&amp;T208</f>
        <v/>
      </c>
      <c r="V208">
        <f>IFERROR(VLOOKUP(IF(I208="ENFASIS",LEFT(M208,FIND("+",M208&amp;"+")-1),J208),Direccion_Grupo!$A$2:$G$100,7,FALSE),"")</f>
        <v/>
      </c>
    </row>
    <row r="209">
      <c r="A209" t="n">
        <v>50</v>
      </c>
      <c r="B209" t="inlineStr">
        <is>
          <t>Valencia Solís Gloria Alexa</t>
        </is>
      </c>
      <c r="C209" t="inlineStr">
        <is>
          <t>LUNES</t>
        </is>
      </c>
      <c r="D209" t="n">
        <v>6</v>
      </c>
      <c r="E209" t="n">
        <v>3</v>
      </c>
      <c r="F209" t="n">
        <v>2</v>
      </c>
      <c r="G209" t="inlineStr">
        <is>
          <t>10:30</t>
        </is>
      </c>
      <c r="H209" t="inlineStr">
        <is>
          <t>11:30</t>
        </is>
      </c>
      <c r="I209" t="inlineStr">
        <is>
          <t>AREAS_MULTIPLES</t>
        </is>
      </c>
      <c r="J209" t="inlineStr">
        <is>
          <t>0001</t>
        </is>
      </c>
      <c r="K209" t="inlineStr">
        <is>
          <t>ÁREAS MÚLTIPLES</t>
        </is>
      </c>
      <c r="L209" t="inlineStr"/>
      <c r="M209" t="inlineStr"/>
      <c r="N209" t="inlineStr"/>
      <c r="O209" t="inlineStr">
        <is>
          <t>Maestro de aula: todas las áreas con su grupo</t>
        </is>
      </c>
      <c r="P209" t="inlineStr"/>
      <c r="Q209">
        <f>IF(I209="ENFASIS","ÉNFASIS "&amp;M209,IFERROR(VLOOKUP(J209,Grupos!$A$2:$D$100,4,FALSE),J209))</f>
        <v/>
      </c>
      <c r="R209">
        <f>O209&amp;IF(N209&lt;&gt;"",IF(O209&lt;&gt;""," · ","")&amp;"Con: "&amp;N209,"")</f>
        <v/>
      </c>
      <c r="S209">
        <f>C209&amp;"|"&amp;D209</f>
        <v/>
      </c>
      <c r="T209">
        <f>COUNTIF($S$2:S209,S209)</f>
        <v/>
      </c>
      <c r="U209">
        <f>S209&amp;"|"&amp;T209</f>
        <v/>
      </c>
      <c r="V209">
        <f>IFERROR(VLOOKUP(IF(I209="ENFASIS",LEFT(M209,FIND("+",M209&amp;"+")-1),J209),Direccion_Grupo!$A$2:$G$100,7,FALSE),"")</f>
        <v/>
      </c>
    </row>
    <row r="210">
      <c r="A210" t="n">
        <v>27</v>
      </c>
      <c r="B210" t="inlineStr">
        <is>
          <t>Martínez Álvarez Andrea Ascención</t>
        </is>
      </c>
      <c r="C210" t="inlineStr">
        <is>
          <t>LUNES</t>
        </is>
      </c>
      <c r="D210" t="n">
        <v>6</v>
      </c>
      <c r="E210" t="n">
        <v>3</v>
      </c>
      <c r="F210" t="n">
        <v>2</v>
      </c>
      <c r="G210" t="inlineStr">
        <is>
          <t>10:30</t>
        </is>
      </c>
      <c r="H210" t="inlineStr">
        <is>
          <t>11:30</t>
        </is>
      </c>
      <c r="I210" t="inlineStr">
        <is>
          <t>AREAS_MULTIPLES</t>
        </is>
      </c>
      <c r="J210" t="inlineStr">
        <is>
          <t>0002</t>
        </is>
      </c>
      <c r="K210" t="inlineStr">
        <is>
          <t>ÁREAS MÚLTIPLES</t>
        </is>
      </c>
      <c r="L210" t="inlineStr"/>
      <c r="M210" t="inlineStr"/>
      <c r="N210" t="inlineStr"/>
      <c r="O210" t="inlineStr">
        <is>
          <t>Maestro de aula: todas las áreas con su grupo</t>
        </is>
      </c>
      <c r="P210" t="inlineStr"/>
      <c r="Q210">
        <f>IF(I210="ENFASIS","ÉNFASIS "&amp;M210,IFERROR(VLOOKUP(J210,Grupos!$A$2:$D$100,4,FALSE),J210))</f>
        <v/>
      </c>
      <c r="R210">
        <f>O210&amp;IF(N210&lt;&gt;"",IF(O210&lt;&gt;""," · ","")&amp;"Con: "&amp;N210,"")</f>
        <v/>
      </c>
      <c r="S210">
        <f>C210&amp;"|"&amp;D210</f>
        <v/>
      </c>
      <c r="T210">
        <f>COUNTIF($S$2:S210,S210)</f>
        <v/>
      </c>
      <c r="U210">
        <f>S210&amp;"|"&amp;T210</f>
        <v/>
      </c>
      <c r="V210">
        <f>IFERROR(VLOOKUP(IF(I210="ENFASIS",LEFT(M210,FIND("+",M210&amp;"+")-1),J210),Direccion_Grupo!$A$2:$G$100,7,FALSE),"")</f>
        <v/>
      </c>
    </row>
    <row r="211">
      <c r="A211" t="n">
        <v>23</v>
      </c>
      <c r="B211" t="inlineStr">
        <is>
          <t>Landázuri Quiñones María Elia</t>
        </is>
      </c>
      <c r="C211" t="inlineStr">
        <is>
          <t>LUNES</t>
        </is>
      </c>
      <c r="D211" t="n">
        <v>6</v>
      </c>
      <c r="E211" t="n">
        <v>3</v>
      </c>
      <c r="F211" t="n">
        <v>2</v>
      </c>
      <c r="G211" t="inlineStr">
        <is>
          <t>10:55</t>
        </is>
      </c>
      <c r="H211" t="inlineStr">
        <is>
          <t>11:40</t>
        </is>
      </c>
      <c r="I211" t="inlineStr">
        <is>
          <t>AREAS_MULTIPLES</t>
        </is>
      </c>
      <c r="J211" t="inlineStr">
        <is>
          <t>0101</t>
        </is>
      </c>
      <c r="K211" t="inlineStr">
        <is>
          <t>ÁREAS MÚLTIPLES</t>
        </is>
      </c>
      <c r="L211" t="inlineStr"/>
      <c r="M211" t="inlineStr"/>
      <c r="N211" t="inlineStr"/>
      <c r="O211" t="inlineStr">
        <is>
          <t>Maestro de aula: todas las áreas con su grupo</t>
        </is>
      </c>
      <c r="P211" t="inlineStr"/>
      <c r="Q211">
        <f>IF(I211="ENFASIS","ÉNFASIS "&amp;M211,IFERROR(VLOOKUP(J211,Grupos!$A$2:$D$100,4,FALSE),J211))</f>
        <v/>
      </c>
      <c r="R211">
        <f>O211&amp;IF(N211&lt;&gt;"",IF(O211&lt;&gt;""," · ","")&amp;"Con: "&amp;N211,"")</f>
        <v/>
      </c>
      <c r="S211">
        <f>C211&amp;"|"&amp;D211</f>
        <v/>
      </c>
      <c r="T211">
        <f>COUNTIF($S$2:S211,S211)</f>
        <v/>
      </c>
      <c r="U211">
        <f>S211&amp;"|"&amp;T211</f>
        <v/>
      </c>
      <c r="V211">
        <f>IFERROR(VLOOKUP(IF(I211="ENFASIS",LEFT(M211,FIND("+",M211&amp;"+")-1),J211),Direccion_Grupo!$A$2:$G$100,7,FALSE),"")</f>
        <v/>
      </c>
    </row>
    <row r="212">
      <c r="A212" t="n">
        <v>45</v>
      </c>
      <c r="B212" t="inlineStr">
        <is>
          <t>Sinisterra Ana Lucía</t>
        </is>
      </c>
      <c r="C212" t="inlineStr">
        <is>
          <t>LUNES</t>
        </is>
      </c>
      <c r="D212" t="n">
        <v>6</v>
      </c>
      <c r="E212" t="n">
        <v>3</v>
      </c>
      <c r="F212" t="n">
        <v>2</v>
      </c>
      <c r="G212" t="inlineStr">
        <is>
          <t>10:55</t>
        </is>
      </c>
      <c r="H212" t="inlineStr">
        <is>
          <t>11:40</t>
        </is>
      </c>
      <c r="I212" t="inlineStr">
        <is>
          <t>AREAS_MULTIPLES</t>
        </is>
      </c>
      <c r="J212" t="inlineStr">
        <is>
          <t>0102</t>
        </is>
      </c>
      <c r="K212" t="inlineStr">
        <is>
          <t>ÁREAS MÚLTIPLES</t>
        </is>
      </c>
      <c r="L212" t="inlineStr"/>
      <c r="M212" t="inlineStr"/>
      <c r="N212" t="inlineStr"/>
      <c r="O212" t="inlineStr">
        <is>
          <t>Maestro de aula: todas las áreas con su grupo</t>
        </is>
      </c>
      <c r="P212" t="inlineStr"/>
      <c r="Q212">
        <f>IF(I212="ENFASIS","ÉNFASIS "&amp;M212,IFERROR(VLOOKUP(J212,Grupos!$A$2:$D$100,4,FALSE),J212))</f>
        <v/>
      </c>
      <c r="R212">
        <f>O212&amp;IF(N212&lt;&gt;"",IF(O212&lt;&gt;""," · ","")&amp;"Con: "&amp;N212,"")</f>
        <v/>
      </c>
      <c r="S212">
        <f>C212&amp;"|"&amp;D212</f>
        <v/>
      </c>
      <c r="T212">
        <f>COUNTIF($S$2:S212,S212)</f>
        <v/>
      </c>
      <c r="U212">
        <f>S212&amp;"|"&amp;T212</f>
        <v/>
      </c>
      <c r="V212">
        <f>IFERROR(VLOOKUP(IF(I212="ENFASIS",LEFT(M212,FIND("+",M212&amp;"+")-1),J212),Direccion_Grupo!$A$2:$G$100,7,FALSE),"")</f>
        <v/>
      </c>
    </row>
    <row r="213">
      <c r="A213" t="n">
        <v>13</v>
      </c>
      <c r="B213" t="inlineStr">
        <is>
          <t>Cortés Salazar María Ebelice</t>
        </is>
      </c>
      <c r="C213" t="inlineStr">
        <is>
          <t>LUNES</t>
        </is>
      </c>
      <c r="D213" t="n">
        <v>6</v>
      </c>
      <c r="E213" t="n">
        <v>3</v>
      </c>
      <c r="F213" t="n">
        <v>2</v>
      </c>
      <c r="G213" t="inlineStr">
        <is>
          <t>10:55</t>
        </is>
      </c>
      <c r="H213" t="inlineStr">
        <is>
          <t>11:40</t>
        </is>
      </c>
      <c r="I213" t="inlineStr">
        <is>
          <t>AREAS_MULTIPLES</t>
        </is>
      </c>
      <c r="J213" t="inlineStr">
        <is>
          <t>0201</t>
        </is>
      </c>
      <c r="K213" t="inlineStr">
        <is>
          <t>ÁREAS MÚLTIPLES</t>
        </is>
      </c>
      <c r="L213" t="inlineStr"/>
      <c r="M213" t="inlineStr"/>
      <c r="N213" t="inlineStr"/>
      <c r="O213" t="inlineStr">
        <is>
          <t>Maestro de aula: todas las áreas con su grupo</t>
        </is>
      </c>
      <c r="P213" t="inlineStr"/>
      <c r="Q213">
        <f>IF(I213="ENFASIS","ÉNFASIS "&amp;M213,IFERROR(VLOOKUP(J213,Grupos!$A$2:$D$100,4,FALSE),J213))</f>
        <v/>
      </c>
      <c r="R213">
        <f>O213&amp;IF(N213&lt;&gt;"",IF(O213&lt;&gt;""," · ","")&amp;"Con: "&amp;N213,"")</f>
        <v/>
      </c>
      <c r="S213">
        <f>C213&amp;"|"&amp;D213</f>
        <v/>
      </c>
      <c r="T213">
        <f>COUNTIF($S$2:S213,S213)</f>
        <v/>
      </c>
      <c r="U213">
        <f>S213&amp;"|"&amp;T213</f>
        <v/>
      </c>
      <c r="V213">
        <f>IFERROR(VLOOKUP(IF(I213="ENFASIS",LEFT(M213,FIND("+",M213&amp;"+")-1),J213),Direccion_Grupo!$A$2:$G$100,7,FALSE),"")</f>
        <v/>
      </c>
    </row>
    <row r="214">
      <c r="A214" t="n">
        <v>21</v>
      </c>
      <c r="B214" t="inlineStr">
        <is>
          <t>Garzón Quiñones Sixta Janina</t>
        </is>
      </c>
      <c r="C214" t="inlineStr">
        <is>
          <t>LUNES</t>
        </is>
      </c>
      <c r="D214" t="n">
        <v>6</v>
      </c>
      <c r="E214" t="n">
        <v>3</v>
      </c>
      <c r="F214" t="n">
        <v>2</v>
      </c>
      <c r="G214" t="inlineStr">
        <is>
          <t>10:55</t>
        </is>
      </c>
      <c r="H214" t="inlineStr">
        <is>
          <t>11:40</t>
        </is>
      </c>
      <c r="I214" t="inlineStr">
        <is>
          <t>AREAS_MULTIPLES</t>
        </is>
      </c>
      <c r="J214" t="inlineStr">
        <is>
          <t>0202</t>
        </is>
      </c>
      <c r="K214" t="inlineStr">
        <is>
          <t>ÁREAS MÚLTIPLES</t>
        </is>
      </c>
      <c r="L214" t="inlineStr"/>
      <c r="M214" t="inlineStr"/>
      <c r="N214" t="inlineStr"/>
      <c r="O214" t="inlineStr">
        <is>
          <t>Maestro de aula: todas las áreas con su grupo</t>
        </is>
      </c>
      <c r="P214" t="inlineStr"/>
      <c r="Q214">
        <f>IF(I214="ENFASIS","ÉNFASIS "&amp;M214,IFERROR(VLOOKUP(J214,Grupos!$A$2:$D$100,4,FALSE),J214))</f>
        <v/>
      </c>
      <c r="R214">
        <f>O214&amp;IF(N214&lt;&gt;"",IF(O214&lt;&gt;""," · ","")&amp;"Con: "&amp;N214,"")</f>
        <v/>
      </c>
      <c r="S214">
        <f>C214&amp;"|"&amp;D214</f>
        <v/>
      </c>
      <c r="T214">
        <f>COUNTIF($S$2:S214,S214)</f>
        <v/>
      </c>
      <c r="U214">
        <f>S214&amp;"|"&amp;T214</f>
        <v/>
      </c>
      <c r="V214">
        <f>IFERROR(VLOOKUP(IF(I214="ENFASIS",LEFT(M214,FIND("+",M214&amp;"+")-1),J214),Direccion_Grupo!$A$2:$G$100,7,FALSE),"")</f>
        <v/>
      </c>
    </row>
    <row r="215">
      <c r="A215" t="n">
        <v>46</v>
      </c>
      <c r="B215" t="inlineStr">
        <is>
          <t>Tenorio Cuero Lucy Bivian</t>
        </is>
      </c>
      <c r="C215" t="inlineStr">
        <is>
          <t>LUNES</t>
        </is>
      </c>
      <c r="D215" t="n">
        <v>6</v>
      </c>
      <c r="E215" t="n">
        <v>3</v>
      </c>
      <c r="F215" t="n">
        <v>2</v>
      </c>
      <c r="G215" t="inlineStr">
        <is>
          <t>10:55</t>
        </is>
      </c>
      <c r="H215" t="inlineStr">
        <is>
          <t>11:40</t>
        </is>
      </c>
      <c r="I215" t="inlineStr">
        <is>
          <t>AREAS_MULTIPLES</t>
        </is>
      </c>
      <c r="J215" t="inlineStr">
        <is>
          <t>0203</t>
        </is>
      </c>
      <c r="K215" t="inlineStr">
        <is>
          <t>ÁREAS MÚLTIPLES</t>
        </is>
      </c>
      <c r="L215" t="inlineStr"/>
      <c r="M215" t="inlineStr"/>
      <c r="N215" t="inlineStr"/>
      <c r="O215" t="inlineStr">
        <is>
          <t>Maestro de aula: todas las áreas con su grupo</t>
        </is>
      </c>
      <c r="P215" t="inlineStr"/>
      <c r="Q215">
        <f>IF(I215="ENFASIS","ÉNFASIS "&amp;M215,IFERROR(VLOOKUP(J215,Grupos!$A$2:$D$100,4,FALSE),J215))</f>
        <v/>
      </c>
      <c r="R215">
        <f>O215&amp;IF(N215&lt;&gt;"",IF(O215&lt;&gt;""," · ","")&amp;"Con: "&amp;N215,"")</f>
        <v/>
      </c>
      <c r="S215">
        <f>C215&amp;"|"&amp;D215</f>
        <v/>
      </c>
      <c r="T215">
        <f>COUNTIF($S$2:S215,S215)</f>
        <v/>
      </c>
      <c r="U215">
        <f>S215&amp;"|"&amp;T215</f>
        <v/>
      </c>
      <c r="V215">
        <f>IFERROR(VLOOKUP(IF(I215="ENFASIS",LEFT(M215,FIND("+",M215&amp;"+")-1),J215),Direccion_Grupo!$A$2:$G$100,7,FALSE),"")</f>
        <v/>
      </c>
    </row>
    <row r="216">
      <c r="A216" t="n">
        <v>48</v>
      </c>
      <c r="B216" t="inlineStr">
        <is>
          <t>Torres Segura Encarnación</t>
        </is>
      </c>
      <c r="C216" t="inlineStr">
        <is>
          <t>LUNES</t>
        </is>
      </c>
      <c r="D216" t="n">
        <v>6</v>
      </c>
      <c r="E216" t="n">
        <v>3</v>
      </c>
      <c r="F216" t="n">
        <v>2</v>
      </c>
      <c r="G216" t="inlineStr">
        <is>
          <t>10:55</t>
        </is>
      </c>
      <c r="H216" t="inlineStr">
        <is>
          <t>11:40</t>
        </is>
      </c>
      <c r="I216" t="inlineStr">
        <is>
          <t>AREAS_MULTIPLES</t>
        </is>
      </c>
      <c r="J216" t="inlineStr">
        <is>
          <t>0301</t>
        </is>
      </c>
      <c r="K216" t="inlineStr">
        <is>
          <t>ÁREAS MÚLTIPLES</t>
        </is>
      </c>
      <c r="L216" t="inlineStr"/>
      <c r="M216" t="inlineStr"/>
      <c r="N216" t="inlineStr"/>
      <c r="O216" t="inlineStr">
        <is>
          <t>Maestro de aula: todas las áreas con su grupo</t>
        </is>
      </c>
      <c r="P216" t="inlineStr"/>
      <c r="Q216">
        <f>IF(I216="ENFASIS","ÉNFASIS "&amp;M216,IFERROR(VLOOKUP(J216,Grupos!$A$2:$D$100,4,FALSE),J216))</f>
        <v/>
      </c>
      <c r="R216">
        <f>O216&amp;IF(N216&lt;&gt;"",IF(O216&lt;&gt;""," · ","")&amp;"Con: "&amp;N216,"")</f>
        <v/>
      </c>
      <c r="S216">
        <f>C216&amp;"|"&amp;D216</f>
        <v/>
      </c>
      <c r="T216">
        <f>COUNTIF($S$2:S216,S216)</f>
        <v/>
      </c>
      <c r="U216">
        <f>S216&amp;"|"&amp;T216</f>
        <v/>
      </c>
      <c r="V216">
        <f>IFERROR(VLOOKUP(IF(I216="ENFASIS",LEFT(M216,FIND("+",M216&amp;"+")-1),J216),Direccion_Grupo!$A$2:$G$100,7,FALSE),"")</f>
        <v/>
      </c>
    </row>
    <row r="217">
      <c r="A217" t="n">
        <v>24</v>
      </c>
      <c r="B217" t="inlineStr">
        <is>
          <t>Landázuri Gallón Teresa</t>
        </is>
      </c>
      <c r="C217" t="inlineStr">
        <is>
          <t>LUNES</t>
        </is>
      </c>
      <c r="D217" t="n">
        <v>6</v>
      </c>
      <c r="E217" t="n">
        <v>3</v>
      </c>
      <c r="F217" t="n">
        <v>2</v>
      </c>
      <c r="G217" t="inlineStr">
        <is>
          <t>10:55</t>
        </is>
      </c>
      <c r="H217" t="inlineStr">
        <is>
          <t>11:40</t>
        </is>
      </c>
      <c r="I217" t="inlineStr">
        <is>
          <t>AREAS_MULTIPLES</t>
        </is>
      </c>
      <c r="J217" t="inlineStr">
        <is>
          <t>0302</t>
        </is>
      </c>
      <c r="K217" t="inlineStr">
        <is>
          <t>ÁREAS MÚLTIPLES</t>
        </is>
      </c>
      <c r="L217" t="inlineStr"/>
      <c r="M217" t="inlineStr"/>
      <c r="N217" t="inlineStr"/>
      <c r="O217" t="inlineStr">
        <is>
          <t>Maestro de aula: todas las áreas con su grupo</t>
        </is>
      </c>
      <c r="P217" t="inlineStr"/>
      <c r="Q217">
        <f>IF(I217="ENFASIS","ÉNFASIS "&amp;M217,IFERROR(VLOOKUP(J217,Grupos!$A$2:$D$100,4,FALSE),J217))</f>
        <v/>
      </c>
      <c r="R217">
        <f>O217&amp;IF(N217&lt;&gt;"",IF(O217&lt;&gt;""," · ","")&amp;"Con: "&amp;N217,"")</f>
        <v/>
      </c>
      <c r="S217">
        <f>C217&amp;"|"&amp;D217</f>
        <v/>
      </c>
      <c r="T217">
        <f>COUNTIF($S$2:S217,S217)</f>
        <v/>
      </c>
      <c r="U217">
        <f>S217&amp;"|"&amp;T217</f>
        <v/>
      </c>
      <c r="V217">
        <f>IFERROR(VLOOKUP(IF(I217="ENFASIS",LEFT(M217,FIND("+",M217&amp;"+")-1),J217),Direccion_Grupo!$A$2:$G$100,7,FALSE),"")</f>
        <v/>
      </c>
    </row>
    <row r="218">
      <c r="A218" t="n">
        <v>55</v>
      </c>
      <c r="B218" t="inlineStr">
        <is>
          <t>Zamora Ordóñez Celia Pastora</t>
        </is>
      </c>
      <c r="C218" t="inlineStr">
        <is>
          <t>LUNES</t>
        </is>
      </c>
      <c r="D218" t="n">
        <v>6</v>
      </c>
      <c r="E218" t="n">
        <v>3</v>
      </c>
      <c r="F218" t="n">
        <v>2</v>
      </c>
      <c r="G218" t="inlineStr">
        <is>
          <t>10:55</t>
        </is>
      </c>
      <c r="H218" t="inlineStr">
        <is>
          <t>11:40</t>
        </is>
      </c>
      <c r="I218" t="inlineStr">
        <is>
          <t>AREAS_MULTIPLES</t>
        </is>
      </c>
      <c r="J218" t="inlineStr">
        <is>
          <t>0401</t>
        </is>
      </c>
      <c r="K218" t="inlineStr">
        <is>
          <t>ÁREAS MÚLTIPLES</t>
        </is>
      </c>
      <c r="L218" t="inlineStr"/>
      <c r="M218" t="inlineStr"/>
      <c r="N218" t="inlineStr"/>
      <c r="O218" t="inlineStr">
        <is>
          <t>Maestro de aula: todas las áreas con su grupo</t>
        </is>
      </c>
      <c r="P218" t="inlineStr"/>
      <c r="Q218">
        <f>IF(I218="ENFASIS","ÉNFASIS "&amp;M218,IFERROR(VLOOKUP(J218,Grupos!$A$2:$D$100,4,FALSE),J218))</f>
        <v/>
      </c>
      <c r="R218">
        <f>O218&amp;IF(N218&lt;&gt;"",IF(O218&lt;&gt;""," · ","")&amp;"Con: "&amp;N218,"")</f>
        <v/>
      </c>
      <c r="S218">
        <f>C218&amp;"|"&amp;D218</f>
        <v/>
      </c>
      <c r="T218">
        <f>COUNTIF($S$2:S218,S218)</f>
        <v/>
      </c>
      <c r="U218">
        <f>S218&amp;"|"&amp;T218</f>
        <v/>
      </c>
      <c r="V218">
        <f>IFERROR(VLOOKUP(IF(I218="ENFASIS",LEFT(M218,FIND("+",M218&amp;"+")-1),J218),Direccion_Grupo!$A$2:$G$100,7,FALSE),"")</f>
        <v/>
      </c>
    </row>
    <row r="219">
      <c r="A219" t="n">
        <v>33</v>
      </c>
      <c r="B219" t="inlineStr">
        <is>
          <t>Núñez Perlaza Elcy</t>
        </is>
      </c>
      <c r="C219" t="inlineStr">
        <is>
          <t>LUNES</t>
        </is>
      </c>
      <c r="D219" t="n">
        <v>6</v>
      </c>
      <c r="E219" t="n">
        <v>3</v>
      </c>
      <c r="F219" t="n">
        <v>2</v>
      </c>
      <c r="G219" t="inlineStr">
        <is>
          <t>10:55</t>
        </is>
      </c>
      <c r="H219" t="inlineStr">
        <is>
          <t>11:40</t>
        </is>
      </c>
      <c r="I219" t="inlineStr">
        <is>
          <t>AREAS_MULTIPLES</t>
        </is>
      </c>
      <c r="J219" t="inlineStr">
        <is>
          <t>0402</t>
        </is>
      </c>
      <c r="K219" t="inlineStr">
        <is>
          <t>ÁREAS MÚLTIPLES</t>
        </is>
      </c>
      <c r="L219" t="inlineStr"/>
      <c r="M219" t="inlineStr"/>
      <c r="N219" t="inlineStr"/>
      <c r="O219" t="inlineStr">
        <is>
          <t>Maestro de aula: todas las áreas con su grupo</t>
        </is>
      </c>
      <c r="P219" t="inlineStr"/>
      <c r="Q219">
        <f>IF(I219="ENFASIS","ÉNFASIS "&amp;M219,IFERROR(VLOOKUP(J219,Grupos!$A$2:$D$100,4,FALSE),J219))</f>
        <v/>
      </c>
      <c r="R219">
        <f>O219&amp;IF(N219&lt;&gt;"",IF(O219&lt;&gt;""," · ","")&amp;"Con: "&amp;N219,"")</f>
        <v/>
      </c>
      <c r="S219">
        <f>C219&amp;"|"&amp;D219</f>
        <v/>
      </c>
      <c r="T219">
        <f>COUNTIF($S$2:S219,S219)</f>
        <v/>
      </c>
      <c r="U219">
        <f>S219&amp;"|"&amp;T219</f>
        <v/>
      </c>
      <c r="V219">
        <f>IFERROR(VLOOKUP(IF(I219="ENFASIS",LEFT(M219,FIND("+",M219&amp;"+")-1),J219),Direccion_Grupo!$A$2:$G$100,7,FALSE),"")</f>
        <v/>
      </c>
    </row>
    <row r="220">
      <c r="A220" t="n">
        <v>14</v>
      </c>
      <c r="B220" t="inlineStr">
        <is>
          <t>Cuéllar Gallo Nemesia</t>
        </is>
      </c>
      <c r="C220" t="inlineStr">
        <is>
          <t>LUNES</t>
        </is>
      </c>
      <c r="D220" t="n">
        <v>6</v>
      </c>
      <c r="E220" t="n">
        <v>3</v>
      </c>
      <c r="F220" t="n">
        <v>2</v>
      </c>
      <c r="G220" t="inlineStr">
        <is>
          <t>10:55</t>
        </is>
      </c>
      <c r="H220" t="inlineStr">
        <is>
          <t>11:40</t>
        </is>
      </c>
      <c r="I220" t="inlineStr">
        <is>
          <t>AREAS_MULTIPLES</t>
        </is>
      </c>
      <c r="J220" t="inlineStr">
        <is>
          <t>0501</t>
        </is>
      </c>
      <c r="K220" t="inlineStr">
        <is>
          <t>ÁREAS MÚLTIPLES</t>
        </is>
      </c>
      <c r="L220" t="inlineStr"/>
      <c r="M220" t="inlineStr"/>
      <c r="N220" t="inlineStr"/>
      <c r="O220" t="inlineStr">
        <is>
          <t>Maestro de aula: todas las áreas con su grupo</t>
        </is>
      </c>
      <c r="P220" t="inlineStr"/>
      <c r="Q220">
        <f>IF(I220="ENFASIS","ÉNFASIS "&amp;M220,IFERROR(VLOOKUP(J220,Grupos!$A$2:$D$100,4,FALSE),J220))</f>
        <v/>
      </c>
      <c r="R220">
        <f>O220&amp;IF(N220&lt;&gt;"",IF(O220&lt;&gt;""," · ","")&amp;"Con: "&amp;N220,"")</f>
        <v/>
      </c>
      <c r="S220">
        <f>C220&amp;"|"&amp;D220</f>
        <v/>
      </c>
      <c r="T220">
        <f>COUNTIF($S$2:S220,S220)</f>
        <v/>
      </c>
      <c r="U220">
        <f>S220&amp;"|"&amp;T220</f>
        <v/>
      </c>
      <c r="V220">
        <f>IFERROR(VLOOKUP(IF(I220="ENFASIS",LEFT(M220,FIND("+",M220&amp;"+")-1),J220),Direccion_Grupo!$A$2:$G$100,7,FALSE),"")</f>
        <v/>
      </c>
    </row>
    <row r="221">
      <c r="A221" t="n">
        <v>11</v>
      </c>
      <c r="B221" t="inlineStr">
        <is>
          <t>Centeno Zúñiga Claudia Patricia</t>
        </is>
      </c>
      <c r="C221" t="inlineStr">
        <is>
          <t>LUNES</t>
        </is>
      </c>
      <c r="D221" t="n">
        <v>6</v>
      </c>
      <c r="E221" t="n">
        <v>3</v>
      </c>
      <c r="F221" t="n">
        <v>2</v>
      </c>
      <c r="G221" t="inlineStr">
        <is>
          <t>10:55</t>
        </is>
      </c>
      <c r="H221" t="inlineStr">
        <is>
          <t>11:40</t>
        </is>
      </c>
      <c r="I221" t="inlineStr">
        <is>
          <t>AREAS_MULTIPLES</t>
        </is>
      </c>
      <c r="J221" t="inlineStr">
        <is>
          <t>0502</t>
        </is>
      </c>
      <c r="K221" t="inlineStr">
        <is>
          <t>ÁREAS MÚLTIPLES</t>
        </is>
      </c>
      <c r="L221" t="inlineStr"/>
      <c r="M221" t="inlineStr"/>
      <c r="N221" t="inlineStr"/>
      <c r="O221" t="inlineStr">
        <is>
          <t>Maestro de aula: todas las áreas con su grupo</t>
        </is>
      </c>
      <c r="P221" t="inlineStr"/>
      <c r="Q221">
        <f>IF(I221="ENFASIS","ÉNFASIS "&amp;M221,IFERROR(VLOOKUP(J221,Grupos!$A$2:$D$100,4,FALSE),J221))</f>
        <v/>
      </c>
      <c r="R221">
        <f>O221&amp;IF(N221&lt;&gt;"",IF(O221&lt;&gt;""," · ","")&amp;"Con: "&amp;N221,"")</f>
        <v/>
      </c>
      <c r="S221">
        <f>C221&amp;"|"&amp;D221</f>
        <v/>
      </c>
      <c r="T221">
        <f>COUNTIF($S$2:S221,S221)</f>
        <v/>
      </c>
      <c r="U221">
        <f>S221&amp;"|"&amp;T221</f>
        <v/>
      </c>
      <c r="V221">
        <f>IFERROR(VLOOKUP(IF(I221="ENFASIS",LEFT(M221,FIND("+",M221&amp;"+")-1),J221),Direccion_Grupo!$A$2:$G$100,7,FALSE),"")</f>
        <v/>
      </c>
    </row>
    <row r="222">
      <c r="A222" t="n">
        <v>32</v>
      </c>
      <c r="B222" t="inlineStr">
        <is>
          <t>Narváez Sánchez Dora Alejandra</t>
        </is>
      </c>
      <c r="C222" t="inlineStr">
        <is>
          <t>LUNES</t>
        </is>
      </c>
      <c r="D222" t="n">
        <v>6</v>
      </c>
      <c r="E222" t="n">
        <v>3</v>
      </c>
      <c r="F222" t="n">
        <v>2</v>
      </c>
      <c r="G222" t="inlineStr">
        <is>
          <t>10:55</t>
        </is>
      </c>
      <c r="H222" t="inlineStr">
        <is>
          <t>11:40</t>
        </is>
      </c>
      <c r="I222" t="inlineStr">
        <is>
          <t>AREAS_MULTIPLES</t>
        </is>
      </c>
      <c r="J222" t="inlineStr">
        <is>
          <t>0503</t>
        </is>
      </c>
      <c r="K222" t="inlineStr">
        <is>
          <t>ÁREAS MÚLTIPLES</t>
        </is>
      </c>
      <c r="L222" t="inlineStr"/>
      <c r="M222" t="inlineStr"/>
      <c r="N222" t="inlineStr"/>
      <c r="O222" t="inlineStr">
        <is>
          <t>Maestro de aula: todas las áreas con su grupo</t>
        </is>
      </c>
      <c r="P222" t="inlineStr"/>
      <c r="Q222">
        <f>IF(I222="ENFASIS","ÉNFASIS "&amp;M222,IFERROR(VLOOKUP(J222,Grupos!$A$2:$D$100,4,FALSE),J222))</f>
        <v/>
      </c>
      <c r="R222">
        <f>O222&amp;IF(N222&lt;&gt;"",IF(O222&lt;&gt;""," · ","")&amp;"Con: "&amp;N222,"")</f>
        <v/>
      </c>
      <c r="S222">
        <f>C222&amp;"|"&amp;D222</f>
        <v/>
      </c>
      <c r="T222">
        <f>COUNTIF($S$2:S222,S222)</f>
        <v/>
      </c>
      <c r="U222">
        <f>S222&amp;"|"&amp;T222</f>
        <v/>
      </c>
      <c r="V222">
        <f>IFERROR(VLOOKUP(IF(I222="ENFASIS",LEFT(M222,FIND("+",M222&amp;"+")-1),J222),Direccion_Grupo!$A$2:$G$100,7,FALSE),"")</f>
        <v/>
      </c>
    </row>
    <row r="223">
      <c r="A223" t="n">
        <v>17</v>
      </c>
      <c r="B223" t="inlineStr">
        <is>
          <t>Escobar Cortés Liliana</t>
        </is>
      </c>
      <c r="C223" t="inlineStr">
        <is>
          <t>LUNES</t>
        </is>
      </c>
      <c r="D223" t="n">
        <v>6</v>
      </c>
      <c r="E223" t="n">
        <v>3</v>
      </c>
      <c r="F223" t="n">
        <v>2</v>
      </c>
      <c r="G223" t="inlineStr">
        <is>
          <t>10:55</t>
        </is>
      </c>
      <c r="H223" t="inlineStr">
        <is>
          <t>11:40</t>
        </is>
      </c>
      <c r="I223" t="inlineStr">
        <is>
          <t>AREAS_MULTIPLES</t>
        </is>
      </c>
      <c r="J223" t="inlineStr">
        <is>
          <t>0504</t>
        </is>
      </c>
      <c r="K223" t="inlineStr">
        <is>
          <t>ÁREAS MÚLTIPLES</t>
        </is>
      </c>
      <c r="L223" t="inlineStr"/>
      <c r="M223" t="inlineStr"/>
      <c r="N223" t="inlineStr"/>
      <c r="O223" t="inlineStr">
        <is>
          <t>Maestro de aula: todas las áreas con su grupo</t>
        </is>
      </c>
      <c r="P223" t="inlineStr"/>
      <c r="Q223">
        <f>IF(I223="ENFASIS","ÉNFASIS "&amp;M223,IFERROR(VLOOKUP(J223,Grupos!$A$2:$D$100,4,FALSE),J223))</f>
        <v/>
      </c>
      <c r="R223">
        <f>O223&amp;IF(N223&lt;&gt;"",IF(O223&lt;&gt;""," · ","")&amp;"Con: "&amp;N223,"")</f>
        <v/>
      </c>
      <c r="S223">
        <f>C223&amp;"|"&amp;D223</f>
        <v/>
      </c>
      <c r="T223">
        <f>COUNTIF($S$2:S223,S223)</f>
        <v/>
      </c>
      <c r="U223">
        <f>S223&amp;"|"&amp;T223</f>
        <v/>
      </c>
      <c r="V223">
        <f>IFERROR(VLOOKUP(IF(I223="ENFASIS",LEFT(M223,FIND("+",M223&amp;"+")-1),J223),Direccion_Grupo!$A$2:$G$100,7,FALSE),"")</f>
        <v/>
      </c>
    </row>
    <row r="224">
      <c r="A224" t="n">
        <v>57</v>
      </c>
      <c r="B224" t="inlineStr">
        <is>
          <t>Armero Dájome Jesús</t>
        </is>
      </c>
      <c r="C224" t="inlineStr">
        <is>
          <t>LUNES</t>
        </is>
      </c>
      <c r="D224" t="n">
        <v>6</v>
      </c>
      <c r="E224" t="n">
        <v>3</v>
      </c>
      <c r="F224" t="n">
        <v>2</v>
      </c>
      <c r="G224" t="inlineStr">
        <is>
          <t>10:55</t>
        </is>
      </c>
      <c r="H224" t="inlineStr">
        <is>
          <t>11:40</t>
        </is>
      </c>
      <c r="I224" t="inlineStr">
        <is>
          <t>CLASE</t>
        </is>
      </c>
      <c r="J224" t="inlineStr">
        <is>
          <t>0601</t>
        </is>
      </c>
      <c r="K224" t="inlineStr">
        <is>
          <t>ERD</t>
        </is>
      </c>
      <c r="L224" t="inlineStr"/>
      <c r="M224" t="inlineStr"/>
      <c r="N224" t="inlineStr"/>
      <c r="O224" t="inlineStr"/>
      <c r="P224" t="inlineStr">
        <is>
          <t>0601-ERD</t>
        </is>
      </c>
      <c r="Q224">
        <f>IF(I224="ENFASIS","ÉNFASIS "&amp;M224,IFERROR(VLOOKUP(J224,Grupos!$A$2:$D$100,4,FALSE),J224))</f>
        <v/>
      </c>
      <c r="R224">
        <f>O224&amp;IF(N224&lt;&gt;"",IF(O224&lt;&gt;""," · ","")&amp;"Con: "&amp;N224,"")</f>
        <v/>
      </c>
      <c r="S224">
        <f>C224&amp;"|"&amp;D224</f>
        <v/>
      </c>
      <c r="T224">
        <f>COUNTIF($S$2:S224,S224)</f>
        <v/>
      </c>
      <c r="U224">
        <f>S224&amp;"|"&amp;T224</f>
        <v/>
      </c>
      <c r="V224">
        <f>IFERROR(VLOOKUP(IF(I224="ENFASIS",LEFT(M224,FIND("+",M224&amp;"+")-1),J224),Direccion_Grupo!$A$2:$G$100,7,FALSE),"")</f>
        <v/>
      </c>
    </row>
    <row r="225">
      <c r="A225" t="n">
        <v>20</v>
      </c>
      <c r="B225" t="inlineStr">
        <is>
          <t>García Gobea Saydi Magali</t>
        </is>
      </c>
      <c r="C225" t="inlineStr">
        <is>
          <t>LUNES</t>
        </is>
      </c>
      <c r="D225" t="n">
        <v>6</v>
      </c>
      <c r="E225" t="n">
        <v>3</v>
      </c>
      <c r="F225" t="n">
        <v>2</v>
      </c>
      <c r="G225" t="inlineStr">
        <is>
          <t>10:55</t>
        </is>
      </c>
      <c r="H225" t="inlineStr">
        <is>
          <t>11:40</t>
        </is>
      </c>
      <c r="I225" t="inlineStr">
        <is>
          <t>CLASE</t>
        </is>
      </c>
      <c r="J225" t="inlineStr">
        <is>
          <t>0602</t>
        </is>
      </c>
      <c r="K225" t="inlineStr">
        <is>
          <t>CSI</t>
        </is>
      </c>
      <c r="L225" t="inlineStr"/>
      <c r="M225" t="inlineStr"/>
      <c r="N225" t="inlineStr"/>
      <c r="O225" t="inlineStr">
        <is>
          <t>Sociales / Inglés (alternan cada semana)</t>
        </is>
      </c>
      <c r="P225" t="inlineStr">
        <is>
          <t>0602-CSI</t>
        </is>
      </c>
      <c r="Q225">
        <f>IF(I225="ENFASIS","ÉNFASIS "&amp;M225,IFERROR(VLOOKUP(J225,Grupos!$A$2:$D$100,4,FALSE),J225))</f>
        <v/>
      </c>
      <c r="R225">
        <f>O225&amp;IF(N225&lt;&gt;"",IF(O225&lt;&gt;""," · ","")&amp;"Con: "&amp;N225,"")</f>
        <v/>
      </c>
      <c r="S225">
        <f>C225&amp;"|"&amp;D225</f>
        <v/>
      </c>
      <c r="T225">
        <f>COUNTIF($S$2:S225,S225)</f>
        <v/>
      </c>
      <c r="U225">
        <f>S225&amp;"|"&amp;T225</f>
        <v/>
      </c>
      <c r="V225">
        <f>IFERROR(VLOOKUP(IF(I225="ENFASIS",LEFT(M225,FIND("+",M225&amp;"+")-1),J225),Direccion_Grupo!$A$2:$G$100,7,FALSE),"")</f>
        <v/>
      </c>
    </row>
    <row r="226">
      <c r="A226" t="n">
        <v>39</v>
      </c>
      <c r="B226" t="inlineStr">
        <is>
          <t>Puches Ana Milena</t>
        </is>
      </c>
      <c r="C226" t="inlineStr">
        <is>
          <t>LUNES</t>
        </is>
      </c>
      <c r="D226" t="n">
        <v>6</v>
      </c>
      <c r="E226" t="n">
        <v>3</v>
      </c>
      <c r="F226" t="n">
        <v>2</v>
      </c>
      <c r="G226" t="inlineStr">
        <is>
          <t>10:55</t>
        </is>
      </c>
      <c r="H226" t="inlineStr">
        <is>
          <t>11:40</t>
        </is>
      </c>
      <c r="I226" t="inlineStr">
        <is>
          <t>CLASE</t>
        </is>
      </c>
      <c r="J226" t="inlineStr">
        <is>
          <t>0701</t>
        </is>
      </c>
      <c r="K226" t="inlineStr">
        <is>
          <t>ART</t>
        </is>
      </c>
      <c r="L226" t="inlineStr"/>
      <c r="M226" t="inlineStr"/>
      <c r="N226" t="inlineStr"/>
      <c r="O226" t="inlineStr"/>
      <c r="P226" t="inlineStr">
        <is>
          <t>0701-ART</t>
        </is>
      </c>
      <c r="Q226">
        <f>IF(I226="ENFASIS","ÉNFASIS "&amp;M226,IFERROR(VLOOKUP(J226,Grupos!$A$2:$D$100,4,FALSE),J226))</f>
        <v/>
      </c>
      <c r="R226">
        <f>O226&amp;IF(N226&lt;&gt;"",IF(O226&lt;&gt;""," · ","")&amp;"Con: "&amp;N226,"")</f>
        <v/>
      </c>
      <c r="S226">
        <f>C226&amp;"|"&amp;D226</f>
        <v/>
      </c>
      <c r="T226">
        <f>COUNTIF($S$2:S226,S226)</f>
        <v/>
      </c>
      <c r="U226">
        <f>S226&amp;"|"&amp;T226</f>
        <v/>
      </c>
      <c r="V226">
        <f>IFERROR(VLOOKUP(IF(I226="ENFASIS",LEFT(M226,FIND("+",M226&amp;"+")-1),J226),Direccion_Grupo!$A$2:$G$100,7,FALSE),"")</f>
        <v/>
      </c>
    </row>
    <row r="227">
      <c r="A227" t="n">
        <v>34</v>
      </c>
      <c r="B227" t="inlineStr">
        <is>
          <t>Ordóñez Tenorio Jaime Marcial</t>
        </is>
      </c>
      <c r="C227" t="inlineStr">
        <is>
          <t>LUNES</t>
        </is>
      </c>
      <c r="D227" t="n">
        <v>6</v>
      </c>
      <c r="E227" t="n">
        <v>3</v>
      </c>
      <c r="F227" t="n">
        <v>2</v>
      </c>
      <c r="G227" t="inlineStr">
        <is>
          <t>10:55</t>
        </is>
      </c>
      <c r="H227" t="inlineStr">
        <is>
          <t>11:40</t>
        </is>
      </c>
      <c r="I227" t="inlineStr">
        <is>
          <t>CLASE</t>
        </is>
      </c>
      <c r="J227" t="inlineStr">
        <is>
          <t>0702</t>
        </is>
      </c>
      <c r="K227" t="inlineStr">
        <is>
          <t>CNA</t>
        </is>
      </c>
      <c r="L227" t="inlineStr"/>
      <c r="M227" t="inlineStr"/>
      <c r="N227" t="inlineStr"/>
      <c r="O227" t="inlineStr"/>
      <c r="P227" t="inlineStr">
        <is>
          <t>0702-CNA</t>
        </is>
      </c>
      <c r="Q227">
        <f>IF(I227="ENFASIS","ÉNFASIS "&amp;M227,IFERROR(VLOOKUP(J227,Grupos!$A$2:$D$100,4,FALSE),J227))</f>
        <v/>
      </c>
      <c r="R227">
        <f>O227&amp;IF(N227&lt;&gt;"",IF(O227&lt;&gt;""," · ","")&amp;"Con: "&amp;N227,"")</f>
        <v/>
      </c>
      <c r="S227">
        <f>C227&amp;"|"&amp;D227</f>
        <v/>
      </c>
      <c r="T227">
        <f>COUNTIF($S$2:S227,S227)</f>
        <v/>
      </c>
      <c r="U227">
        <f>S227&amp;"|"&amp;T227</f>
        <v/>
      </c>
      <c r="V227">
        <f>IFERROR(VLOOKUP(IF(I227="ENFASIS",LEFT(M227,FIND("+",M227&amp;"+")-1),J227),Direccion_Grupo!$A$2:$G$100,7,FALSE),"")</f>
        <v/>
      </c>
    </row>
    <row r="228">
      <c r="A228" t="n">
        <v>4</v>
      </c>
      <c r="B228" t="inlineStr">
        <is>
          <t>Arizala Castro Roberto Carlos</t>
        </is>
      </c>
      <c r="C228" t="inlineStr">
        <is>
          <t>LUNES</t>
        </is>
      </c>
      <c r="D228" t="n">
        <v>6</v>
      </c>
      <c r="E228" t="n">
        <v>3</v>
      </c>
      <c r="F228" t="n">
        <v>2</v>
      </c>
      <c r="G228" t="inlineStr">
        <is>
          <t>10:55</t>
        </is>
      </c>
      <c r="H228" t="inlineStr">
        <is>
          <t>11:40</t>
        </is>
      </c>
      <c r="I228" t="inlineStr">
        <is>
          <t>CLASE</t>
        </is>
      </c>
      <c r="J228" t="inlineStr">
        <is>
          <t>0703</t>
        </is>
      </c>
      <c r="K228" t="inlineStr">
        <is>
          <t>ERD</t>
        </is>
      </c>
      <c r="L228" t="inlineStr"/>
      <c r="M228" t="inlineStr"/>
      <c r="N228" t="inlineStr"/>
      <c r="O228" t="inlineStr"/>
      <c r="P228" t="inlineStr">
        <is>
          <t>0703-ERD</t>
        </is>
      </c>
      <c r="Q228">
        <f>IF(I228="ENFASIS","ÉNFASIS "&amp;M228,IFERROR(VLOOKUP(J228,Grupos!$A$2:$D$100,4,FALSE),J228))</f>
        <v/>
      </c>
      <c r="R228">
        <f>O228&amp;IF(N228&lt;&gt;"",IF(O228&lt;&gt;""," · ","")&amp;"Con: "&amp;N228,"")</f>
        <v/>
      </c>
      <c r="S228">
        <f>C228&amp;"|"&amp;D228</f>
        <v/>
      </c>
      <c r="T228">
        <f>COUNTIF($S$2:S228,S228)</f>
        <v/>
      </c>
      <c r="U228">
        <f>S228&amp;"|"&amp;T228</f>
        <v/>
      </c>
      <c r="V228">
        <f>IFERROR(VLOOKUP(IF(I228="ENFASIS",LEFT(M228,FIND("+",M228&amp;"+")-1),J228),Direccion_Grupo!$A$2:$G$100,7,FALSE),"")</f>
        <v/>
      </c>
    </row>
    <row r="229">
      <c r="A229" t="n">
        <v>15</v>
      </c>
      <c r="B229" t="inlineStr">
        <is>
          <t>Cuero Bamba Berte Levi</t>
        </is>
      </c>
      <c r="C229" t="inlineStr">
        <is>
          <t>LUNES</t>
        </is>
      </c>
      <c r="D229" t="n">
        <v>6</v>
      </c>
      <c r="E229" t="n">
        <v>3</v>
      </c>
      <c r="F229" t="n">
        <v>2</v>
      </c>
      <c r="G229" t="inlineStr">
        <is>
          <t>10:55</t>
        </is>
      </c>
      <c r="H229" t="inlineStr">
        <is>
          <t>11:40</t>
        </is>
      </c>
      <c r="I229" t="inlineStr">
        <is>
          <t>CLASE</t>
        </is>
      </c>
      <c r="J229" t="inlineStr">
        <is>
          <t>0801</t>
        </is>
      </c>
      <c r="K229" t="inlineStr">
        <is>
          <t>ERD</t>
        </is>
      </c>
      <c r="L229" t="inlineStr"/>
      <c r="M229" t="inlineStr"/>
      <c r="N229" t="inlineStr"/>
      <c r="O229" t="inlineStr"/>
      <c r="P229" t="inlineStr">
        <is>
          <t>0801-ERD</t>
        </is>
      </c>
      <c r="Q229">
        <f>IF(I229="ENFASIS","ÉNFASIS "&amp;M229,IFERROR(VLOOKUP(J229,Grupos!$A$2:$D$100,4,FALSE),J229))</f>
        <v/>
      </c>
      <c r="R229">
        <f>O229&amp;IF(N229&lt;&gt;"",IF(O229&lt;&gt;""," · ","")&amp;"Con: "&amp;N229,"")</f>
        <v/>
      </c>
      <c r="S229">
        <f>C229&amp;"|"&amp;D229</f>
        <v/>
      </c>
      <c r="T229">
        <f>COUNTIF($S$2:S229,S229)</f>
        <v/>
      </c>
      <c r="U229">
        <f>S229&amp;"|"&amp;T229</f>
        <v/>
      </c>
      <c r="V229">
        <f>IFERROR(VLOOKUP(IF(I229="ENFASIS",LEFT(M229,FIND("+",M229&amp;"+")-1),J229),Direccion_Grupo!$A$2:$G$100,7,FALSE),"")</f>
        <v/>
      </c>
    </row>
    <row r="230">
      <c r="A230" t="n">
        <v>6</v>
      </c>
      <c r="B230" t="inlineStr">
        <is>
          <t>Betancourth Ocampo Yohana Patricia</t>
        </is>
      </c>
      <c r="C230" t="inlineStr">
        <is>
          <t>LUNES</t>
        </is>
      </c>
      <c r="D230" t="n">
        <v>6</v>
      </c>
      <c r="E230" t="n">
        <v>3</v>
      </c>
      <c r="F230" t="n">
        <v>2</v>
      </c>
      <c r="G230" t="inlineStr">
        <is>
          <t>10:55</t>
        </is>
      </c>
      <c r="H230" t="inlineStr">
        <is>
          <t>11:40</t>
        </is>
      </c>
      <c r="I230" t="inlineStr">
        <is>
          <t>CLASE</t>
        </is>
      </c>
      <c r="J230" t="inlineStr">
        <is>
          <t>0902</t>
        </is>
      </c>
      <c r="K230" t="inlineStr">
        <is>
          <t>CSI</t>
        </is>
      </c>
      <c r="L230" t="inlineStr"/>
      <c r="M230" t="inlineStr"/>
      <c r="N230" t="inlineStr"/>
      <c r="O230" t="inlineStr">
        <is>
          <t>Sociales / Inglés (alternan cada semana)</t>
        </is>
      </c>
      <c r="P230" t="inlineStr">
        <is>
          <t>0902-CSI</t>
        </is>
      </c>
      <c r="Q230">
        <f>IF(I230="ENFASIS","ÉNFASIS "&amp;M230,IFERROR(VLOOKUP(J230,Grupos!$A$2:$D$100,4,FALSE),J230))</f>
        <v/>
      </c>
      <c r="R230">
        <f>O230&amp;IF(N230&lt;&gt;"",IF(O230&lt;&gt;""," · ","")&amp;"Con: "&amp;N230,"")</f>
        <v/>
      </c>
      <c r="S230">
        <f>C230&amp;"|"&amp;D230</f>
        <v/>
      </c>
      <c r="T230">
        <f>COUNTIF($S$2:S230,S230)</f>
        <v/>
      </c>
      <c r="U230">
        <f>S230&amp;"|"&amp;T230</f>
        <v/>
      </c>
      <c r="V230">
        <f>IFERROR(VLOOKUP(IF(I230="ENFASIS",LEFT(M230,FIND("+",M230&amp;"+")-1),J230),Direccion_Grupo!$A$2:$G$100,7,FALSE),"")</f>
        <v/>
      </c>
    </row>
    <row r="231">
      <c r="A231" t="n">
        <v>18</v>
      </c>
      <c r="B231" t="inlineStr">
        <is>
          <t>Estacio Estupiñán Rosario</t>
        </is>
      </c>
      <c r="C231" t="inlineStr">
        <is>
          <t>LUNES</t>
        </is>
      </c>
      <c r="D231" t="n">
        <v>6</v>
      </c>
      <c r="E231" t="n">
        <v>3</v>
      </c>
      <c r="F231" t="n">
        <v>2</v>
      </c>
      <c r="G231" t="inlineStr">
        <is>
          <t>10:55</t>
        </is>
      </c>
      <c r="H231" t="inlineStr">
        <is>
          <t>11:40</t>
        </is>
      </c>
      <c r="I231" t="inlineStr">
        <is>
          <t>CLASE</t>
        </is>
      </c>
      <c r="J231" t="inlineStr">
        <is>
          <t>1001</t>
        </is>
      </c>
      <c r="K231" t="inlineStr">
        <is>
          <t>ETR</t>
        </is>
      </c>
      <c r="L231" t="inlineStr"/>
      <c r="M231" t="inlineStr"/>
      <c r="N231" t="inlineStr"/>
      <c r="O231" t="inlineStr">
        <is>
          <t>Ética / Religión (alternan cada semana)</t>
        </is>
      </c>
      <c r="P231" t="inlineStr">
        <is>
          <t>1001-ETR</t>
        </is>
      </c>
      <c r="Q231">
        <f>IF(I231="ENFASIS","ÉNFASIS "&amp;M231,IFERROR(VLOOKUP(J231,Grupos!$A$2:$D$100,4,FALSE),J231))</f>
        <v/>
      </c>
      <c r="R231">
        <f>O231&amp;IF(N231&lt;&gt;"",IF(O231&lt;&gt;""," · ","")&amp;"Con: "&amp;N231,"")</f>
        <v/>
      </c>
      <c r="S231">
        <f>C231&amp;"|"&amp;D231</f>
        <v/>
      </c>
      <c r="T231">
        <f>COUNTIF($S$2:S231,S231)</f>
        <v/>
      </c>
      <c r="U231">
        <f>S231&amp;"|"&amp;T231</f>
        <v/>
      </c>
      <c r="V231">
        <f>IFERROR(VLOOKUP(IF(I231="ENFASIS",LEFT(M231,FIND("+",M231&amp;"+")-1),J231),Direccion_Grupo!$A$2:$G$100,7,FALSE),"")</f>
        <v/>
      </c>
    </row>
    <row r="232">
      <c r="A232" t="n">
        <v>30</v>
      </c>
      <c r="B232" t="inlineStr">
        <is>
          <t>Montaño Anchico Favio Héctor</t>
        </is>
      </c>
      <c r="C232" t="inlineStr">
        <is>
          <t>LUNES</t>
        </is>
      </c>
      <c r="D232" t="n">
        <v>6</v>
      </c>
      <c r="E232" t="n">
        <v>3</v>
      </c>
      <c r="F232" t="n">
        <v>2</v>
      </c>
      <c r="G232" t="inlineStr">
        <is>
          <t>10:55</t>
        </is>
      </c>
      <c r="H232" t="inlineStr">
        <is>
          <t>11:40</t>
        </is>
      </c>
      <c r="I232" t="inlineStr">
        <is>
          <t>CLASE</t>
        </is>
      </c>
      <c r="J232" t="inlineStr">
        <is>
          <t>1101</t>
        </is>
      </c>
      <c r="K232" t="inlineStr">
        <is>
          <t>CAS</t>
        </is>
      </c>
      <c r="L232" t="inlineStr"/>
      <c r="M232" t="inlineStr"/>
      <c r="N232" t="inlineStr"/>
      <c r="O232" t="inlineStr"/>
      <c r="P232" t="inlineStr">
        <is>
          <t>1101-CAS</t>
        </is>
      </c>
      <c r="Q232">
        <f>IF(I232="ENFASIS","ÉNFASIS "&amp;M232,IFERROR(VLOOKUP(J232,Grupos!$A$2:$D$100,4,FALSE),J232))</f>
        <v/>
      </c>
      <c r="R232">
        <f>O232&amp;IF(N232&lt;&gt;"",IF(O232&lt;&gt;""," · ","")&amp;"Con: "&amp;N232,"")</f>
        <v/>
      </c>
      <c r="S232">
        <f>C232&amp;"|"&amp;D232</f>
        <v/>
      </c>
      <c r="T232">
        <f>COUNTIF($S$2:S232,S232)</f>
        <v/>
      </c>
      <c r="U232">
        <f>S232&amp;"|"&amp;T232</f>
        <v/>
      </c>
      <c r="V232">
        <f>IFERROR(VLOOKUP(IF(I232="ENFASIS",LEFT(M232,FIND("+",M232&amp;"+")-1),J232),Direccion_Grupo!$A$2:$G$100,7,FALSE),"")</f>
        <v/>
      </c>
    </row>
    <row r="233">
      <c r="A233" t="n">
        <v>43</v>
      </c>
      <c r="B233" t="inlineStr">
        <is>
          <t>Ramírez Guerra Jimmy Eduardo</t>
        </is>
      </c>
      <c r="C233" t="inlineStr">
        <is>
          <t>LUNES</t>
        </is>
      </c>
      <c r="D233" t="n">
        <v>6</v>
      </c>
      <c r="E233" t="n">
        <v>3</v>
      </c>
      <c r="F233" t="n">
        <v>2</v>
      </c>
      <c r="G233" t="inlineStr">
        <is>
          <t>10:55</t>
        </is>
      </c>
      <c r="H233" t="inlineStr">
        <is>
          <t>11:40</t>
        </is>
      </c>
      <c r="I233" t="inlineStr">
        <is>
          <t>CLASE</t>
        </is>
      </c>
      <c r="J233" t="inlineStr">
        <is>
          <t>1102</t>
        </is>
      </c>
      <c r="K233" t="inlineStr">
        <is>
          <t>ERD</t>
        </is>
      </c>
      <c r="L233" t="inlineStr"/>
      <c r="M233" t="inlineStr"/>
      <c r="N233" t="inlineStr"/>
      <c r="O233" t="inlineStr"/>
      <c r="P233" t="inlineStr">
        <is>
          <t>1102-ERD</t>
        </is>
      </c>
      <c r="Q233">
        <f>IF(I233="ENFASIS","ÉNFASIS "&amp;M233,IFERROR(VLOOKUP(J233,Grupos!$A$2:$D$100,4,FALSE),J233))</f>
        <v/>
      </c>
      <c r="R233">
        <f>O233&amp;IF(N233&lt;&gt;"",IF(O233&lt;&gt;""," · ","")&amp;"Con: "&amp;N233,"")</f>
        <v/>
      </c>
      <c r="S233">
        <f>C233&amp;"|"&amp;D233</f>
        <v/>
      </c>
      <c r="T233">
        <f>COUNTIF($S$2:S233,S233)</f>
        <v/>
      </c>
      <c r="U233">
        <f>S233&amp;"|"&amp;T233</f>
        <v/>
      </c>
      <c r="V233">
        <f>IFERROR(VLOOKUP(IF(I233="ENFASIS",LEFT(M233,FIND("+",M233&amp;"+")-1),J233),Direccion_Grupo!$A$2:$G$100,7,FALSE),"")</f>
        <v/>
      </c>
    </row>
    <row r="234">
      <c r="A234" t="n">
        <v>42</v>
      </c>
      <c r="B234" t="inlineStr">
        <is>
          <t>Quiñones Cabezas Marcos Vidal</t>
        </is>
      </c>
      <c r="C234" t="inlineStr">
        <is>
          <t>LUNES</t>
        </is>
      </c>
      <c r="D234" t="n">
        <v>6</v>
      </c>
      <c r="E234" t="n">
        <v>3</v>
      </c>
      <c r="F234" t="n">
        <v>2</v>
      </c>
      <c r="G234" t="inlineStr">
        <is>
          <t>10:55</t>
        </is>
      </c>
      <c r="H234" t="inlineStr">
        <is>
          <t>11:40</t>
        </is>
      </c>
      <c r="I234" t="inlineStr">
        <is>
          <t>CLASE</t>
        </is>
      </c>
      <c r="J234" t="inlineStr">
        <is>
          <t>CS101</t>
        </is>
      </c>
      <c r="K234" t="inlineStr">
        <is>
          <t>TEI</t>
        </is>
      </c>
      <c r="L234" t="inlineStr"/>
      <c r="M234" t="inlineStr"/>
      <c r="N234" t="inlineStr"/>
      <c r="O234" t="inlineStr"/>
      <c r="P234" t="inlineStr">
        <is>
          <t>CS101-TEI</t>
        </is>
      </c>
      <c r="Q234">
        <f>IF(I234="ENFASIS","ÉNFASIS "&amp;M234,IFERROR(VLOOKUP(J234,Grupos!$A$2:$D$100,4,FALSE),J234))</f>
        <v/>
      </c>
      <c r="R234">
        <f>O234&amp;IF(N234&lt;&gt;"",IF(O234&lt;&gt;""," · ","")&amp;"Con: "&amp;N234,"")</f>
        <v/>
      </c>
      <c r="S234">
        <f>C234&amp;"|"&amp;D234</f>
        <v/>
      </c>
      <c r="T234">
        <f>COUNTIF($S$2:S234,S234)</f>
        <v/>
      </c>
      <c r="U234">
        <f>S234&amp;"|"&amp;T234</f>
        <v/>
      </c>
      <c r="V234">
        <f>IFERROR(VLOOKUP(IF(I234="ENFASIS",LEFT(M234,FIND("+",M234&amp;"+")-1),J234),Direccion_Grupo!$A$2:$G$100,7,FALSE),"")</f>
        <v/>
      </c>
    </row>
    <row r="235">
      <c r="A235" t="n">
        <v>16</v>
      </c>
      <c r="B235" t="inlineStr">
        <is>
          <t>Cuero Rincón Hernando Jesús</t>
        </is>
      </c>
      <c r="C235" t="inlineStr">
        <is>
          <t>LUNES</t>
        </is>
      </c>
      <c r="D235" t="n">
        <v>6</v>
      </c>
      <c r="E235" t="n">
        <v>3</v>
      </c>
      <c r="F235" t="n">
        <v>2</v>
      </c>
      <c r="G235" t="inlineStr">
        <is>
          <t>10:55</t>
        </is>
      </c>
      <c r="H235" t="inlineStr">
        <is>
          <t>11:40</t>
        </is>
      </c>
      <c r="I235" t="inlineStr">
        <is>
          <t>CLASE</t>
        </is>
      </c>
      <c r="J235" t="inlineStr">
        <is>
          <t>CS102</t>
        </is>
      </c>
      <c r="K235" t="inlineStr">
        <is>
          <t>CAS</t>
        </is>
      </c>
      <c r="L235" t="inlineStr"/>
      <c r="M235" t="inlineStr"/>
      <c r="N235" t="inlineStr"/>
      <c r="O235" t="inlineStr"/>
      <c r="P235" t="inlineStr">
        <is>
          <t>CS102-CAS</t>
        </is>
      </c>
      <c r="Q235">
        <f>IF(I235="ENFASIS","ÉNFASIS "&amp;M235,IFERROR(VLOOKUP(J235,Grupos!$A$2:$D$100,4,FALSE),J235))</f>
        <v/>
      </c>
      <c r="R235">
        <f>O235&amp;IF(N235&lt;&gt;"",IF(O235&lt;&gt;""," · ","")&amp;"Con: "&amp;N235,"")</f>
        <v/>
      </c>
      <c r="S235">
        <f>C235&amp;"|"&amp;D235</f>
        <v/>
      </c>
      <c r="T235">
        <f>COUNTIF($S$2:S235,S235)</f>
        <v/>
      </c>
      <c r="U235">
        <f>S235&amp;"|"&amp;T235</f>
        <v/>
      </c>
      <c r="V235">
        <f>IFERROR(VLOOKUP(IF(I235="ENFASIS",LEFT(M235,FIND("+",M235&amp;"+")-1),J235),Direccion_Grupo!$A$2:$G$100,7,FALSE),"")</f>
        <v/>
      </c>
    </row>
    <row r="236">
      <c r="A236" t="n">
        <v>12</v>
      </c>
      <c r="B236" t="inlineStr">
        <is>
          <t>Chillambo Quiñones María Rocío</t>
        </is>
      </c>
      <c r="C236" t="inlineStr">
        <is>
          <t>LUNES</t>
        </is>
      </c>
      <c r="D236" t="n">
        <v>6</v>
      </c>
      <c r="E236" t="n">
        <v>3</v>
      </c>
      <c r="F236" t="n">
        <v>2</v>
      </c>
      <c r="G236" t="inlineStr">
        <is>
          <t>10:55</t>
        </is>
      </c>
      <c r="H236" t="inlineStr">
        <is>
          <t>11:40</t>
        </is>
      </c>
      <c r="I236" t="inlineStr">
        <is>
          <t>CLASE</t>
        </is>
      </c>
      <c r="J236" t="inlineStr">
        <is>
          <t>CS201</t>
        </is>
      </c>
      <c r="K236" t="inlineStr">
        <is>
          <t>CNA</t>
        </is>
      </c>
      <c r="L236" t="inlineStr"/>
      <c r="M236" t="inlineStr"/>
      <c r="N236" t="inlineStr"/>
      <c r="O236" t="inlineStr"/>
      <c r="P236" t="inlineStr">
        <is>
          <t>CS201-CNA</t>
        </is>
      </c>
      <c r="Q236">
        <f>IF(I236="ENFASIS","ÉNFASIS "&amp;M236,IFERROR(VLOOKUP(J236,Grupos!$A$2:$D$100,4,FALSE),J236))</f>
        <v/>
      </c>
      <c r="R236">
        <f>O236&amp;IF(N236&lt;&gt;"",IF(O236&lt;&gt;""," · ","")&amp;"Con: "&amp;N236,"")</f>
        <v/>
      </c>
      <c r="S236">
        <f>C236&amp;"|"&amp;D236</f>
        <v/>
      </c>
      <c r="T236">
        <f>COUNTIF($S$2:S236,S236)</f>
        <v/>
      </c>
      <c r="U236">
        <f>S236&amp;"|"&amp;T236</f>
        <v/>
      </c>
      <c r="V236">
        <f>IFERROR(VLOOKUP(IF(I236="ENFASIS",LEFT(M236,FIND("+",M236&amp;"+")-1),J236),Direccion_Grupo!$A$2:$G$100,7,FALSE),"")</f>
        <v/>
      </c>
    </row>
    <row r="237">
      <c r="A237" t="n">
        <v>44</v>
      </c>
      <c r="B237" t="inlineStr">
        <is>
          <t>Samaniego Angulo Flor Mireya</t>
        </is>
      </c>
      <c r="C237" t="inlineStr">
        <is>
          <t>LUNES</t>
        </is>
      </c>
      <c r="D237" t="n">
        <v>6</v>
      </c>
      <c r="E237" t="n">
        <v>3</v>
      </c>
      <c r="F237" t="n">
        <v>2</v>
      </c>
      <c r="G237" t="inlineStr">
        <is>
          <t>10:55</t>
        </is>
      </c>
      <c r="H237" t="inlineStr">
        <is>
          <t>11:40</t>
        </is>
      </c>
      <c r="I237" t="inlineStr">
        <is>
          <t>CLASE</t>
        </is>
      </c>
      <c r="J237" t="inlineStr">
        <is>
          <t>CS202</t>
        </is>
      </c>
      <c r="K237" t="inlineStr">
        <is>
          <t>ART</t>
        </is>
      </c>
      <c r="L237" t="inlineStr"/>
      <c r="M237" t="inlineStr"/>
      <c r="N237" t="inlineStr"/>
      <c r="O237" t="inlineStr"/>
      <c r="P237" t="inlineStr">
        <is>
          <t>CS202-ART</t>
        </is>
      </c>
      <c r="Q237">
        <f>IF(I237="ENFASIS","ÉNFASIS "&amp;M237,IFERROR(VLOOKUP(J237,Grupos!$A$2:$D$100,4,FALSE),J237))</f>
        <v/>
      </c>
      <c r="R237">
        <f>O237&amp;IF(N237&lt;&gt;"",IF(O237&lt;&gt;""," · ","")&amp;"Con: "&amp;N237,"")</f>
        <v/>
      </c>
      <c r="S237">
        <f>C237&amp;"|"&amp;D237</f>
        <v/>
      </c>
      <c r="T237">
        <f>COUNTIF($S$2:S237,S237)</f>
        <v/>
      </c>
      <c r="U237">
        <f>S237&amp;"|"&amp;T237</f>
        <v/>
      </c>
      <c r="V237">
        <f>IFERROR(VLOOKUP(IF(I237="ENFASIS",LEFT(M237,FIND("+",M237&amp;"+")-1),J237),Direccion_Grupo!$A$2:$G$100,7,FALSE),"")</f>
        <v/>
      </c>
    </row>
    <row r="238">
      <c r="A238" t="n">
        <v>7</v>
      </c>
      <c r="B238" t="inlineStr">
        <is>
          <t>Casanova Casanova Johana Andrea</t>
        </is>
      </c>
      <c r="C238" t="inlineStr">
        <is>
          <t>LUNES</t>
        </is>
      </c>
      <c r="D238" t="n">
        <v>6</v>
      </c>
      <c r="E238" t="n">
        <v>3</v>
      </c>
      <c r="F238" t="n">
        <v>2</v>
      </c>
      <c r="G238" t="inlineStr">
        <is>
          <t>10:55</t>
        </is>
      </c>
      <c r="H238" t="inlineStr">
        <is>
          <t>11:40</t>
        </is>
      </c>
      <c r="I238" t="inlineStr">
        <is>
          <t>ORIENTACION</t>
        </is>
      </c>
      <c r="J238" t="inlineStr">
        <is>
          <t>ORIENT</t>
        </is>
      </c>
      <c r="K238" t="inlineStr">
        <is>
          <t>ORIENTACIÓN ESCOLAR</t>
        </is>
      </c>
      <c r="L238" t="inlineStr"/>
      <c r="M238" t="inlineStr"/>
      <c r="N238" t="inlineStr"/>
      <c r="O238" t="inlineStr">
        <is>
          <t>Jornada 07:30 a 14:30</t>
        </is>
      </c>
      <c r="P238" t="inlineStr"/>
      <c r="Q238">
        <f>IF(I238="ENFASIS","ÉNFASIS "&amp;M238,IFERROR(VLOOKUP(J238,Grupos!$A$2:$D$100,4,FALSE),J238))</f>
        <v/>
      </c>
      <c r="R238">
        <f>O238&amp;IF(N238&lt;&gt;"",IF(O238&lt;&gt;""," · ","")&amp;"Con: "&amp;N238,"")</f>
        <v/>
      </c>
      <c r="S238">
        <f>C238&amp;"|"&amp;D238</f>
        <v/>
      </c>
      <c r="T238">
        <f>COUNTIF($S$2:S238,S238)</f>
        <v/>
      </c>
      <c r="U238">
        <f>S238&amp;"|"&amp;T238</f>
        <v/>
      </c>
      <c r="V238">
        <f>IFERROR(VLOOKUP(IF(I238="ENFASIS",LEFT(M238,FIND("+",M238&amp;"+")-1),J238),Direccion_Grupo!$A$2:$G$100,7,FALSE),"")</f>
        <v/>
      </c>
    </row>
    <row r="239">
      <c r="A239" t="n">
        <v>36</v>
      </c>
      <c r="B239" t="inlineStr">
        <is>
          <t>Ponce Moncayo Ángela Paola</t>
        </is>
      </c>
      <c r="C239" t="inlineStr">
        <is>
          <t>LUNES</t>
        </is>
      </c>
      <c r="D239" t="n">
        <v>6</v>
      </c>
      <c r="E239" t="n">
        <v>3</v>
      </c>
      <c r="F239" t="n">
        <v>2</v>
      </c>
      <c r="G239" t="inlineStr">
        <is>
          <t>10:55</t>
        </is>
      </c>
      <c r="H239" t="inlineStr">
        <is>
          <t>11:40</t>
        </is>
      </c>
      <c r="I239" t="inlineStr">
        <is>
          <t>ORIENTACION</t>
        </is>
      </c>
      <c r="J239" t="inlineStr">
        <is>
          <t>ORIENT</t>
        </is>
      </c>
      <c r="K239" t="inlineStr">
        <is>
          <t>ORIENTACIÓN ESCOLAR</t>
        </is>
      </c>
      <c r="L239" t="inlineStr"/>
      <c r="M239" t="inlineStr"/>
      <c r="N239" t="inlineStr"/>
      <c r="O239" t="inlineStr">
        <is>
          <t>Jornada 08:30 a 13:30</t>
        </is>
      </c>
      <c r="P239" t="inlineStr"/>
      <c r="Q239">
        <f>IF(I239="ENFASIS","ÉNFASIS "&amp;M239,IFERROR(VLOOKUP(J239,Grupos!$A$2:$D$100,4,FALSE),J239))</f>
        <v/>
      </c>
      <c r="R239">
        <f>O239&amp;IF(N239&lt;&gt;"",IF(O239&lt;&gt;""," · ","")&amp;"Con: "&amp;N239,"")</f>
        <v/>
      </c>
      <c r="S239">
        <f>C239&amp;"|"&amp;D239</f>
        <v/>
      </c>
      <c r="T239">
        <f>COUNTIF($S$2:S239,S239)</f>
        <v/>
      </c>
      <c r="U239">
        <f>S239&amp;"|"&amp;T239</f>
        <v/>
      </c>
      <c r="V239">
        <f>IFERROR(VLOOKUP(IF(I239="ENFASIS",LEFT(M239,FIND("+",M239&amp;"+")-1),J239),Direccion_Grupo!$A$2:$G$100,7,FALSE),"")</f>
        <v/>
      </c>
    </row>
    <row r="240">
      <c r="A240" t="n">
        <v>56</v>
      </c>
      <c r="B240" t="inlineStr">
        <is>
          <t>Ortiz Estacio Martha Cecilia</t>
        </is>
      </c>
      <c r="C240" t="inlineStr">
        <is>
          <t>LUNES</t>
        </is>
      </c>
      <c r="D240" t="n">
        <v>6</v>
      </c>
      <c r="E240" t="n">
        <v>3</v>
      </c>
      <c r="F240" t="n">
        <v>2</v>
      </c>
      <c r="G240" t="inlineStr">
        <is>
          <t>10:55</t>
        </is>
      </c>
      <c r="H240" t="inlineStr">
        <is>
          <t>11:40</t>
        </is>
      </c>
      <c r="I240" t="inlineStr">
        <is>
          <t>TUTORIA</t>
        </is>
      </c>
      <c r="J240" t="inlineStr">
        <is>
          <t>PTAFI</t>
        </is>
      </c>
      <c r="K240" t="inlineStr">
        <is>
          <t>TUTORÍA PTAFI</t>
        </is>
      </c>
      <c r="L240" t="inlineStr"/>
      <c r="M240" t="inlineStr"/>
      <c r="N240" t="inlineStr"/>
      <c r="O240" t="inlineStr">
        <is>
          <t>Jornada 06:30 a 12:00</t>
        </is>
      </c>
      <c r="P240" t="inlineStr"/>
      <c r="Q240">
        <f>IF(I240="ENFASIS","ÉNFASIS "&amp;M240,IFERROR(VLOOKUP(J240,Grupos!$A$2:$D$100,4,FALSE),J240))</f>
        <v/>
      </c>
      <c r="R240">
        <f>O240&amp;IF(N240&lt;&gt;"",IF(O240&lt;&gt;""," · ","")&amp;"Con: "&amp;N240,"")</f>
        <v/>
      </c>
      <c r="S240">
        <f>C240&amp;"|"&amp;D240</f>
        <v/>
      </c>
      <c r="T240">
        <f>COUNTIF($S$2:S240,S240)</f>
        <v/>
      </c>
      <c r="U240">
        <f>S240&amp;"|"&amp;T240</f>
        <v/>
      </c>
      <c r="V240">
        <f>IFERROR(VLOOKUP(IF(I240="ENFASIS",LEFT(M240,FIND("+",M240&amp;"+")-1),J240),Direccion_Grupo!$A$2:$G$100,7,FALSE),"")</f>
        <v/>
      </c>
    </row>
    <row r="241">
      <c r="A241" t="n">
        <v>1</v>
      </c>
      <c r="B241" t="inlineStr">
        <is>
          <t>Aguirre Riascos Jorge Andrés</t>
        </is>
      </c>
      <c r="C241" t="inlineStr">
        <is>
          <t>LUNES</t>
        </is>
      </c>
      <c r="D241" t="n">
        <v>6</v>
      </c>
      <c r="E241" t="n">
        <v>3</v>
      </c>
      <c r="F241" t="n">
        <v>2</v>
      </c>
      <c r="G241" t="inlineStr">
        <is>
          <t>10:55</t>
        </is>
      </c>
      <c r="H241" t="inlineStr">
        <is>
          <t>11:40</t>
        </is>
      </c>
      <c r="I241" t="inlineStr">
        <is>
          <t>ENFASIS</t>
        </is>
      </c>
      <c r="J241" t="inlineStr"/>
      <c r="K241" t="inlineStr">
        <is>
          <t>TEI</t>
        </is>
      </c>
      <c r="L241" t="inlineStr">
        <is>
          <t>0704</t>
        </is>
      </c>
      <c r="M241" t="inlineStr">
        <is>
          <t>0704</t>
        </is>
      </c>
      <c r="N241" t="inlineStr">
        <is>
          <t>Vásquez Valencia Segundo Leoncio (MAT)</t>
        </is>
      </c>
      <c r="O241" t="inlineStr">
        <is>
          <t>PAREJA: comparten el énfasis y alternan por semana</t>
        </is>
      </c>
      <c r="P241" t="inlineStr">
        <is>
          <t>ENFASIS-0704</t>
        </is>
      </c>
      <c r="Q241">
        <f>IF(I241="ENFASIS","ÉNFASIS "&amp;M241,IFERROR(VLOOKUP(J241,Grupos!$A$2:$D$100,4,FALSE),J241))</f>
        <v/>
      </c>
      <c r="R241">
        <f>O241&amp;IF(N241&lt;&gt;"",IF(O241&lt;&gt;""," · ","")&amp;"Con: "&amp;N241,"")</f>
        <v/>
      </c>
      <c r="S241">
        <f>C241&amp;"|"&amp;D241</f>
        <v/>
      </c>
      <c r="T241">
        <f>COUNTIF($S$2:S241,S241)</f>
        <v/>
      </c>
      <c r="U241">
        <f>S241&amp;"|"&amp;T241</f>
        <v/>
      </c>
      <c r="V241">
        <f>IFERROR(VLOOKUP(IF(I241="ENFASIS",LEFT(M241,FIND("+",M241&amp;"+")-1),J241),Direccion_Grupo!$A$2:$G$100,7,FALSE),"")</f>
        <v/>
      </c>
    </row>
    <row r="242">
      <c r="A242" t="n">
        <v>52</v>
      </c>
      <c r="B242" t="inlineStr">
        <is>
          <t>Vásquez Valencia Segundo Leoncio</t>
        </is>
      </c>
      <c r="C242" t="inlineStr">
        <is>
          <t>LUNES</t>
        </is>
      </c>
      <c r="D242" t="n">
        <v>6</v>
      </c>
      <c r="E242" t="n">
        <v>3</v>
      </c>
      <c r="F242" t="n">
        <v>2</v>
      </c>
      <c r="G242" t="inlineStr">
        <is>
          <t>10:55</t>
        </is>
      </c>
      <c r="H242" t="inlineStr">
        <is>
          <t>11:40</t>
        </is>
      </c>
      <c r="I242" t="inlineStr">
        <is>
          <t>ENFASIS</t>
        </is>
      </c>
      <c r="J242" t="inlineStr"/>
      <c r="K242" t="inlineStr">
        <is>
          <t>MAT</t>
        </is>
      </c>
      <c r="L242" t="inlineStr">
        <is>
          <t>0704</t>
        </is>
      </c>
      <c r="M242" t="inlineStr">
        <is>
          <t>0704</t>
        </is>
      </c>
      <c r="N242" t="inlineStr">
        <is>
          <t>Aguirre Riascos Jorge Andrés (TEI)</t>
        </is>
      </c>
      <c r="O242" t="inlineStr">
        <is>
          <t>PAREJA: comparten el énfasis y alternan por semana</t>
        </is>
      </c>
      <c r="P242" t="inlineStr">
        <is>
          <t>ENFASIS-0704</t>
        </is>
      </c>
      <c r="Q242">
        <f>IF(I242="ENFASIS","ÉNFASIS "&amp;M242,IFERROR(VLOOKUP(J242,Grupos!$A$2:$D$100,4,FALSE),J242))</f>
        <v/>
      </c>
      <c r="R242">
        <f>O242&amp;IF(N242&lt;&gt;"",IF(O242&lt;&gt;""," · ","")&amp;"Con: "&amp;N242,"")</f>
        <v/>
      </c>
      <c r="S242">
        <f>C242&amp;"|"&amp;D242</f>
        <v/>
      </c>
      <c r="T242">
        <f>COUNTIF($S$2:S242,S242)</f>
        <v/>
      </c>
      <c r="U242">
        <f>S242&amp;"|"&amp;T242</f>
        <v/>
      </c>
      <c r="V242">
        <f>IFERROR(VLOOKUP(IF(I242="ENFASIS",LEFT(M242,FIND("+",M242&amp;"+")-1),J242),Direccion_Grupo!$A$2:$G$100,7,FALSE),"")</f>
        <v/>
      </c>
    </row>
    <row r="243">
      <c r="A243" t="n">
        <v>9</v>
      </c>
      <c r="B243" t="inlineStr">
        <is>
          <t>Castillo Angulo Martha Cecilia</t>
        </is>
      </c>
      <c r="C243" t="inlineStr">
        <is>
          <t>LUNES</t>
        </is>
      </c>
      <c r="D243" t="n">
        <v>6</v>
      </c>
      <c r="E243" t="n">
        <v>3</v>
      </c>
      <c r="F243" t="n">
        <v>2</v>
      </c>
      <c r="G243" t="inlineStr">
        <is>
          <t>10:55</t>
        </is>
      </c>
      <c r="H243" t="inlineStr">
        <is>
          <t>11:40</t>
        </is>
      </c>
      <c r="I243" t="inlineStr">
        <is>
          <t>ENFASIS</t>
        </is>
      </c>
      <c r="J243" t="inlineStr"/>
      <c r="K243" t="inlineStr">
        <is>
          <t>ETR</t>
        </is>
      </c>
      <c r="L243" t="inlineStr">
        <is>
          <t>0802</t>
        </is>
      </c>
      <c r="M243" t="inlineStr">
        <is>
          <t>0802</t>
        </is>
      </c>
      <c r="N243" t="inlineStr">
        <is>
          <t>Ortiz Araujo Adiela Carlota (CSI)</t>
        </is>
      </c>
      <c r="O243" t="inlineStr">
        <is>
          <t>PAREJA: comparten el énfasis y alternan por semana</t>
        </is>
      </c>
      <c r="P243" t="inlineStr">
        <is>
          <t>ENFASIS-0802</t>
        </is>
      </c>
      <c r="Q243">
        <f>IF(I243="ENFASIS","ÉNFASIS "&amp;M243,IFERROR(VLOOKUP(J243,Grupos!$A$2:$D$100,4,FALSE),J243))</f>
        <v/>
      </c>
      <c r="R243">
        <f>O243&amp;IF(N243&lt;&gt;"",IF(O243&lt;&gt;""," · ","")&amp;"Con: "&amp;N243,"")</f>
        <v/>
      </c>
      <c r="S243">
        <f>C243&amp;"|"&amp;D243</f>
        <v/>
      </c>
      <c r="T243">
        <f>COUNTIF($S$2:S243,S243)</f>
        <v/>
      </c>
      <c r="U243">
        <f>S243&amp;"|"&amp;T243</f>
        <v/>
      </c>
      <c r="V243">
        <f>IFERROR(VLOOKUP(IF(I243="ENFASIS",LEFT(M243,FIND("+",M243&amp;"+")-1),J243),Direccion_Grupo!$A$2:$G$100,7,FALSE),"")</f>
        <v/>
      </c>
    </row>
    <row r="244">
      <c r="A244" t="n">
        <v>19</v>
      </c>
      <c r="B244" t="inlineStr">
        <is>
          <t>Fernández Vélez Alfredo Enrique</t>
        </is>
      </c>
      <c r="C244" t="inlineStr">
        <is>
          <t>LUNES</t>
        </is>
      </c>
      <c r="D244" t="n">
        <v>6</v>
      </c>
      <c r="E244" t="n">
        <v>3</v>
      </c>
      <c r="F244" t="n">
        <v>2</v>
      </c>
      <c r="G244" t="inlineStr">
        <is>
          <t>10:55</t>
        </is>
      </c>
      <c r="H244" t="inlineStr">
        <is>
          <t>11:40</t>
        </is>
      </c>
      <c r="I244" t="inlineStr">
        <is>
          <t>ENFASIS</t>
        </is>
      </c>
      <c r="J244" t="inlineStr"/>
      <c r="K244" t="inlineStr">
        <is>
          <t>TEI</t>
        </is>
      </c>
      <c r="L244" t="inlineStr">
        <is>
          <t>D3-8°</t>
        </is>
      </c>
      <c r="M244" t="inlineStr">
        <is>
          <t>0802</t>
        </is>
      </c>
      <c r="N244" t="inlineStr">
        <is>
          <t>Preciado Torres Oleisa (MAT)</t>
        </is>
      </c>
      <c r="O244" t="inlineStr">
        <is>
          <t>PAREJA: comparten el énfasis y alternan por semana</t>
        </is>
      </c>
      <c r="P244" t="inlineStr">
        <is>
          <t>ENFASIS-D3-8°</t>
        </is>
      </c>
      <c r="Q244">
        <f>IF(I244="ENFASIS","ÉNFASIS "&amp;M244,IFERROR(VLOOKUP(J244,Grupos!$A$2:$D$100,4,FALSE),J244))</f>
        <v/>
      </c>
      <c r="R244">
        <f>O244&amp;IF(N244&lt;&gt;"",IF(O244&lt;&gt;""," · ","")&amp;"Con: "&amp;N244,"")</f>
        <v/>
      </c>
      <c r="S244">
        <f>C244&amp;"|"&amp;D244</f>
        <v/>
      </c>
      <c r="T244">
        <f>COUNTIF($S$2:S244,S244)</f>
        <v/>
      </c>
      <c r="U244">
        <f>S244&amp;"|"&amp;T244</f>
        <v/>
      </c>
      <c r="V244">
        <f>IFERROR(VLOOKUP(IF(I244="ENFASIS",LEFT(M244,FIND("+",M244&amp;"+")-1),J244),Direccion_Grupo!$A$2:$G$100,7,FALSE),"")</f>
        <v/>
      </c>
    </row>
    <row r="245">
      <c r="A245" t="n">
        <v>35</v>
      </c>
      <c r="B245" t="inlineStr">
        <is>
          <t>Ortiz Araujo Adiela Carlota</t>
        </is>
      </c>
      <c r="C245" t="inlineStr">
        <is>
          <t>LUNES</t>
        </is>
      </c>
      <c r="D245" t="n">
        <v>6</v>
      </c>
      <c r="E245" t="n">
        <v>3</v>
      </c>
      <c r="F245" t="n">
        <v>2</v>
      </c>
      <c r="G245" t="inlineStr">
        <is>
          <t>10:55</t>
        </is>
      </c>
      <c r="H245" t="inlineStr">
        <is>
          <t>11:40</t>
        </is>
      </c>
      <c r="I245" t="inlineStr">
        <is>
          <t>ENFASIS</t>
        </is>
      </c>
      <c r="J245" t="inlineStr"/>
      <c r="K245" t="inlineStr">
        <is>
          <t>CSI</t>
        </is>
      </c>
      <c r="L245" t="inlineStr">
        <is>
          <t>0802</t>
        </is>
      </c>
      <c r="M245" t="inlineStr">
        <is>
          <t>0802</t>
        </is>
      </c>
      <c r="N245" t="inlineStr">
        <is>
          <t>Castillo Angulo Martha Cecilia (ETR)</t>
        </is>
      </c>
      <c r="O245" t="inlineStr">
        <is>
          <t>PAREJA: comparten el énfasis y alternan por semana</t>
        </is>
      </c>
      <c r="P245" t="inlineStr">
        <is>
          <t>ENFASIS-0802</t>
        </is>
      </c>
      <c r="Q245">
        <f>IF(I245="ENFASIS","ÉNFASIS "&amp;M245,IFERROR(VLOOKUP(J245,Grupos!$A$2:$D$100,4,FALSE),J245))</f>
        <v/>
      </c>
      <c r="R245">
        <f>O245&amp;IF(N245&lt;&gt;"",IF(O245&lt;&gt;""," · ","")&amp;"Con: "&amp;N245,"")</f>
        <v/>
      </c>
      <c r="S245">
        <f>C245&amp;"|"&amp;D245</f>
        <v/>
      </c>
      <c r="T245">
        <f>COUNTIF($S$2:S245,S245)</f>
        <v/>
      </c>
      <c r="U245">
        <f>S245&amp;"|"&amp;T245</f>
        <v/>
      </c>
      <c r="V245">
        <f>IFERROR(VLOOKUP(IF(I245="ENFASIS",LEFT(M245,FIND("+",M245&amp;"+")-1),J245),Direccion_Grupo!$A$2:$G$100,7,FALSE),"")</f>
        <v/>
      </c>
    </row>
    <row r="246">
      <c r="A246" t="n">
        <v>38</v>
      </c>
      <c r="B246" t="inlineStr">
        <is>
          <t>Preciado Torres Oleisa</t>
        </is>
      </c>
      <c r="C246" t="inlineStr">
        <is>
          <t>LUNES</t>
        </is>
      </c>
      <c r="D246" t="n">
        <v>6</v>
      </c>
      <c r="E246" t="n">
        <v>3</v>
      </c>
      <c r="F246" t="n">
        <v>2</v>
      </c>
      <c r="G246" t="inlineStr">
        <is>
          <t>10:55</t>
        </is>
      </c>
      <c r="H246" t="inlineStr">
        <is>
          <t>11:40</t>
        </is>
      </c>
      <c r="I246" t="inlineStr">
        <is>
          <t>ENFASIS</t>
        </is>
      </c>
      <c r="J246" t="inlineStr"/>
      <c r="K246" t="inlineStr">
        <is>
          <t>MAT</t>
        </is>
      </c>
      <c r="L246" t="inlineStr">
        <is>
          <t>D3-8°</t>
        </is>
      </c>
      <c r="M246" t="inlineStr">
        <is>
          <t>0802</t>
        </is>
      </c>
      <c r="N246" t="inlineStr">
        <is>
          <t>Fernández Vélez Alfredo Enrique (TEI)</t>
        </is>
      </c>
      <c r="O246" t="inlineStr">
        <is>
          <t>PAREJA: comparten el énfasis y alternan por semana</t>
        </is>
      </c>
      <c r="P246" t="inlineStr">
        <is>
          <t>ENFASIS-D3-8°</t>
        </is>
      </c>
      <c r="Q246">
        <f>IF(I246="ENFASIS","ÉNFASIS "&amp;M246,IFERROR(VLOOKUP(J246,Grupos!$A$2:$D$100,4,FALSE),J246))</f>
        <v/>
      </c>
      <c r="R246">
        <f>O246&amp;IF(N246&lt;&gt;"",IF(O246&lt;&gt;""," · ","")&amp;"Con: "&amp;N246,"")</f>
        <v/>
      </c>
      <c r="S246">
        <f>C246&amp;"|"&amp;D246</f>
        <v/>
      </c>
      <c r="T246">
        <f>COUNTIF($S$2:S246,S246)</f>
        <v/>
      </c>
      <c r="U246">
        <f>S246&amp;"|"&amp;T246</f>
        <v/>
      </c>
      <c r="V246">
        <f>IFERROR(VLOOKUP(IF(I246="ENFASIS",LEFT(M246,FIND("+",M246&amp;"+")-1),J246),Direccion_Grupo!$A$2:$G$100,7,FALSE),"")</f>
        <v/>
      </c>
    </row>
    <row r="247">
      <c r="A247" t="n">
        <v>22</v>
      </c>
      <c r="B247" t="inlineStr">
        <is>
          <t>González Castillo Jólmer Jimy</t>
        </is>
      </c>
      <c r="C247" t="inlineStr">
        <is>
          <t>LUNES</t>
        </is>
      </c>
      <c r="D247" t="n">
        <v>6</v>
      </c>
      <c r="E247" t="n">
        <v>3</v>
      </c>
      <c r="F247" t="n">
        <v>2</v>
      </c>
      <c r="G247" t="inlineStr">
        <is>
          <t>10:55</t>
        </is>
      </c>
      <c r="H247" t="inlineStr">
        <is>
          <t>11:40</t>
        </is>
      </c>
      <c r="I247" t="inlineStr">
        <is>
          <t>ENFASIS</t>
        </is>
      </c>
      <c r="J247" t="inlineStr"/>
      <c r="K247" t="inlineStr">
        <is>
          <t>ERD</t>
        </is>
      </c>
      <c r="L247" t="inlineStr">
        <is>
          <t>0901</t>
        </is>
      </c>
      <c r="M247" t="inlineStr">
        <is>
          <t>0901</t>
        </is>
      </c>
      <c r="N247" t="inlineStr">
        <is>
          <t>Valencia Marínez Saidy Eufemia (ART); Meza Banguera Gladys Alicia (CAS); Lemos Guancha Miriam (CNA)</t>
        </is>
      </c>
      <c r="O247" t="inlineStr">
        <is>
          <t>EQUIPO DE 4: cada docente atiende un grupo de estudiantes en su área</t>
        </is>
      </c>
      <c r="P247" t="inlineStr">
        <is>
          <t>ENFASIS-0901</t>
        </is>
      </c>
      <c r="Q247">
        <f>IF(I247="ENFASIS","ÉNFASIS "&amp;M247,IFERROR(VLOOKUP(J247,Grupos!$A$2:$D$100,4,FALSE),J247))</f>
        <v/>
      </c>
      <c r="R247">
        <f>O247&amp;IF(N247&lt;&gt;"",IF(O247&lt;&gt;""," · ","")&amp;"Con: "&amp;N247,"")</f>
        <v/>
      </c>
      <c r="S247">
        <f>C247&amp;"|"&amp;D247</f>
        <v/>
      </c>
      <c r="T247">
        <f>COUNTIF($S$2:S247,S247)</f>
        <v/>
      </c>
      <c r="U247">
        <f>S247&amp;"|"&amp;T247</f>
        <v/>
      </c>
      <c r="V247">
        <f>IFERROR(VLOOKUP(IF(I247="ENFASIS",LEFT(M247,FIND("+",M247&amp;"+")-1),J247),Direccion_Grupo!$A$2:$G$100,7,FALSE),"")</f>
        <v/>
      </c>
    </row>
    <row r="248">
      <c r="A248" t="n">
        <v>25</v>
      </c>
      <c r="B248" t="inlineStr">
        <is>
          <t>Lemos Guancha Miriam</t>
        </is>
      </c>
      <c r="C248" t="inlineStr">
        <is>
          <t>LUNES</t>
        </is>
      </c>
      <c r="D248" t="n">
        <v>6</v>
      </c>
      <c r="E248" t="n">
        <v>3</v>
      </c>
      <c r="F248" t="n">
        <v>2</v>
      </c>
      <c r="G248" t="inlineStr">
        <is>
          <t>10:55</t>
        </is>
      </c>
      <c r="H248" t="inlineStr">
        <is>
          <t>11:40</t>
        </is>
      </c>
      <c r="I248" t="inlineStr">
        <is>
          <t>ENFASIS</t>
        </is>
      </c>
      <c r="J248" t="inlineStr"/>
      <c r="K248" t="inlineStr">
        <is>
          <t>CNA</t>
        </is>
      </c>
      <c r="L248" t="inlineStr">
        <is>
          <t>0901</t>
        </is>
      </c>
      <c r="M248" t="inlineStr">
        <is>
          <t>0901</t>
        </is>
      </c>
      <c r="N248" t="inlineStr">
        <is>
          <t>Valencia Marínez Saidy Eufemia (ART); Meza Banguera Gladys Alicia (CAS); González Castillo Jólmer Jimy (ERD)</t>
        </is>
      </c>
      <c r="O248" t="inlineStr">
        <is>
          <t>EQUIPO DE 4: cada docente atiende un grupo de estudiantes en su área</t>
        </is>
      </c>
      <c r="P248" t="inlineStr">
        <is>
          <t>ENFASIS-0901</t>
        </is>
      </c>
      <c r="Q248">
        <f>IF(I248="ENFASIS","ÉNFASIS "&amp;M248,IFERROR(VLOOKUP(J248,Grupos!$A$2:$D$100,4,FALSE),J248))</f>
        <v/>
      </c>
      <c r="R248">
        <f>O248&amp;IF(N248&lt;&gt;"",IF(O248&lt;&gt;""," · ","")&amp;"Con: "&amp;N248,"")</f>
        <v/>
      </c>
      <c r="S248">
        <f>C248&amp;"|"&amp;D248</f>
        <v/>
      </c>
      <c r="T248">
        <f>COUNTIF($S$2:S248,S248)</f>
        <v/>
      </c>
      <c r="U248">
        <f>S248&amp;"|"&amp;T248</f>
        <v/>
      </c>
      <c r="V248">
        <f>IFERROR(VLOOKUP(IF(I248="ENFASIS",LEFT(M248,FIND("+",M248&amp;"+")-1),J248),Direccion_Grupo!$A$2:$G$100,7,FALSE),"")</f>
        <v/>
      </c>
    </row>
    <row r="249">
      <c r="A249" t="n">
        <v>28</v>
      </c>
      <c r="B249" t="inlineStr">
        <is>
          <t>Meza Banguera Gladys Alicia</t>
        </is>
      </c>
      <c r="C249" t="inlineStr">
        <is>
          <t>LUNES</t>
        </is>
      </c>
      <c r="D249" t="n">
        <v>6</v>
      </c>
      <c r="E249" t="n">
        <v>3</v>
      </c>
      <c r="F249" t="n">
        <v>2</v>
      </c>
      <c r="G249" t="inlineStr">
        <is>
          <t>10:55</t>
        </is>
      </c>
      <c r="H249" t="inlineStr">
        <is>
          <t>11:40</t>
        </is>
      </c>
      <c r="I249" t="inlineStr">
        <is>
          <t>ENFASIS</t>
        </is>
      </c>
      <c r="J249" t="inlineStr"/>
      <c r="K249" t="inlineStr">
        <is>
          <t>CAS</t>
        </is>
      </c>
      <c r="L249" t="inlineStr">
        <is>
          <t>0901</t>
        </is>
      </c>
      <c r="M249" t="inlineStr">
        <is>
          <t>0901</t>
        </is>
      </c>
      <c r="N249" t="inlineStr">
        <is>
          <t>Valencia Marínez Saidy Eufemia (ART); González Castillo Jólmer Jimy (ERD); Lemos Guancha Miriam (CNA)</t>
        </is>
      </c>
      <c r="O249" t="inlineStr">
        <is>
          <t>EQUIPO DE 4: cada docente atiende un grupo de estudiantes en su área</t>
        </is>
      </c>
      <c r="P249" t="inlineStr">
        <is>
          <t>ENFASIS-0901</t>
        </is>
      </c>
      <c r="Q249">
        <f>IF(I249="ENFASIS","ÉNFASIS "&amp;M249,IFERROR(VLOOKUP(J249,Grupos!$A$2:$D$100,4,FALSE),J249))</f>
        <v/>
      </c>
      <c r="R249">
        <f>O249&amp;IF(N249&lt;&gt;"",IF(O249&lt;&gt;""," · ","")&amp;"Con: "&amp;N249,"")</f>
        <v/>
      </c>
      <c r="S249">
        <f>C249&amp;"|"&amp;D249</f>
        <v/>
      </c>
      <c r="T249">
        <f>COUNTIF($S$2:S249,S249)</f>
        <v/>
      </c>
      <c r="U249">
        <f>S249&amp;"|"&amp;T249</f>
        <v/>
      </c>
      <c r="V249">
        <f>IFERROR(VLOOKUP(IF(I249="ENFASIS",LEFT(M249,FIND("+",M249&amp;"+")-1),J249),Direccion_Grupo!$A$2:$G$100,7,FALSE),"")</f>
        <v/>
      </c>
    </row>
    <row r="250">
      <c r="A250" t="n">
        <v>49</v>
      </c>
      <c r="B250" t="inlineStr">
        <is>
          <t>Valencia Marínez Saidy Eufemia</t>
        </is>
      </c>
      <c r="C250" t="inlineStr">
        <is>
          <t>LUNES</t>
        </is>
      </c>
      <c r="D250" t="n">
        <v>6</v>
      </c>
      <c r="E250" t="n">
        <v>3</v>
      </c>
      <c r="F250" t="n">
        <v>2</v>
      </c>
      <c r="G250" t="inlineStr">
        <is>
          <t>10:55</t>
        </is>
      </c>
      <c r="H250" t="inlineStr">
        <is>
          <t>11:40</t>
        </is>
      </c>
      <c r="I250" t="inlineStr">
        <is>
          <t>ENFASIS</t>
        </is>
      </c>
      <c r="J250" t="inlineStr"/>
      <c r="K250" t="inlineStr">
        <is>
          <t>ART</t>
        </is>
      </c>
      <c r="L250" t="inlineStr">
        <is>
          <t>0901</t>
        </is>
      </c>
      <c r="M250" t="inlineStr">
        <is>
          <t>0901</t>
        </is>
      </c>
      <c r="N250" t="inlineStr">
        <is>
          <t>Meza Banguera Gladys Alicia (CAS); González Castillo Jólmer Jimy (ERD); Lemos Guancha Miriam (CNA)</t>
        </is>
      </c>
      <c r="O250" t="inlineStr">
        <is>
          <t>EQUIPO DE 4: cada docente atiende un grupo de estudiantes en su área</t>
        </is>
      </c>
      <c r="P250" t="inlineStr">
        <is>
          <t>ENFASIS-0901</t>
        </is>
      </c>
      <c r="Q250">
        <f>IF(I250="ENFASIS","ÉNFASIS "&amp;M250,IFERROR(VLOOKUP(J250,Grupos!$A$2:$D$100,4,FALSE),J250))</f>
        <v/>
      </c>
      <c r="R250">
        <f>O250&amp;IF(N250&lt;&gt;"",IF(O250&lt;&gt;""," · ","")&amp;"Con: "&amp;N250,"")</f>
        <v/>
      </c>
      <c r="S250">
        <f>C250&amp;"|"&amp;D250</f>
        <v/>
      </c>
      <c r="T250">
        <f>COUNTIF($S$2:S250,S250)</f>
        <v/>
      </c>
      <c r="U250">
        <f>S250&amp;"|"&amp;T250</f>
        <v/>
      </c>
      <c r="V250">
        <f>IFERROR(VLOOKUP(IF(I250="ENFASIS",LEFT(M250,FIND("+",M250&amp;"+")-1),J250),Direccion_Grupo!$A$2:$G$100,7,FALSE),"")</f>
        <v/>
      </c>
    </row>
    <row r="251">
      <c r="A251" t="n">
        <v>2</v>
      </c>
      <c r="B251" t="inlineStr">
        <is>
          <t>Angulo Lucero Andrés Mauricio</t>
        </is>
      </c>
      <c r="C251" t="inlineStr">
        <is>
          <t>LUNES</t>
        </is>
      </c>
      <c r="D251" t="n">
        <v>6</v>
      </c>
      <c r="E251" t="n">
        <v>3</v>
      </c>
      <c r="F251" t="n">
        <v>2</v>
      </c>
      <c r="G251" t="inlineStr">
        <is>
          <t>10:55</t>
        </is>
      </c>
      <c r="H251" t="inlineStr">
        <is>
          <t>11:40</t>
        </is>
      </c>
      <c r="I251" t="inlineStr">
        <is>
          <t>ENFASIS</t>
        </is>
      </c>
      <c r="J251" t="inlineStr"/>
      <c r="K251" t="inlineStr">
        <is>
          <t>TEI</t>
        </is>
      </c>
      <c r="L251" t="inlineStr">
        <is>
          <t>D5-10°</t>
        </is>
      </c>
      <c r="M251" t="inlineStr">
        <is>
          <t>1002</t>
        </is>
      </c>
      <c r="N251" t="inlineStr">
        <is>
          <t>Pulgarín Ortiz César Marino (CSI); Montaño Arizala Leidis Claudina (ETR); Villota Rubio Janeth del Carmen (MAT)</t>
        </is>
      </c>
      <c r="O251" t="inlineStr">
        <is>
          <t>EQUIPO DE 4: cada docente atiende un grupo de estudiantes en su área</t>
        </is>
      </c>
      <c r="P251" t="inlineStr">
        <is>
          <t>ENFASIS-D5-10°</t>
        </is>
      </c>
      <c r="Q251">
        <f>IF(I251="ENFASIS","ÉNFASIS "&amp;M251,IFERROR(VLOOKUP(J251,Grupos!$A$2:$D$100,4,FALSE),J251))</f>
        <v/>
      </c>
      <c r="R251">
        <f>O251&amp;IF(N251&lt;&gt;"",IF(O251&lt;&gt;""," · ","")&amp;"Con: "&amp;N251,"")</f>
        <v/>
      </c>
      <c r="S251">
        <f>C251&amp;"|"&amp;D251</f>
        <v/>
      </c>
      <c r="T251">
        <f>COUNTIF($S$2:S251,S251)</f>
        <v/>
      </c>
      <c r="U251">
        <f>S251&amp;"|"&amp;T251</f>
        <v/>
      </c>
      <c r="V251">
        <f>IFERROR(VLOOKUP(IF(I251="ENFASIS",LEFT(M251,FIND("+",M251&amp;"+")-1),J251),Direccion_Grupo!$A$2:$G$100,7,FALSE),"")</f>
        <v/>
      </c>
    </row>
    <row r="252">
      <c r="A252" t="n">
        <v>31</v>
      </c>
      <c r="B252" t="inlineStr">
        <is>
          <t>Montaño Arizala Leidis Claudina</t>
        </is>
      </c>
      <c r="C252" t="inlineStr">
        <is>
          <t>LUNES</t>
        </is>
      </c>
      <c r="D252" t="n">
        <v>6</v>
      </c>
      <c r="E252" t="n">
        <v>3</v>
      </c>
      <c r="F252" t="n">
        <v>2</v>
      </c>
      <c r="G252" t="inlineStr">
        <is>
          <t>10:55</t>
        </is>
      </c>
      <c r="H252" t="inlineStr">
        <is>
          <t>11:40</t>
        </is>
      </c>
      <c r="I252" t="inlineStr">
        <is>
          <t>ENFASIS</t>
        </is>
      </c>
      <c r="J252" t="inlineStr"/>
      <c r="K252" t="inlineStr">
        <is>
          <t>ETR</t>
        </is>
      </c>
      <c r="L252" t="inlineStr">
        <is>
          <t>D5-10°</t>
        </is>
      </c>
      <c r="M252" t="inlineStr">
        <is>
          <t>1002</t>
        </is>
      </c>
      <c r="N252" t="inlineStr">
        <is>
          <t>Pulgarín Ortiz César Marino (CSI); Villota Rubio Janeth del Carmen (MAT); Angulo Lucero Andrés Mauricio (TEI)</t>
        </is>
      </c>
      <c r="O252" t="inlineStr">
        <is>
          <t>EQUIPO DE 4: cada docente atiende un grupo de estudiantes en su área</t>
        </is>
      </c>
      <c r="P252" t="inlineStr">
        <is>
          <t>ENFASIS-D5-10°</t>
        </is>
      </c>
      <c r="Q252">
        <f>IF(I252="ENFASIS","ÉNFASIS "&amp;M252,IFERROR(VLOOKUP(J252,Grupos!$A$2:$D$100,4,FALSE),J252))</f>
        <v/>
      </c>
      <c r="R252">
        <f>O252&amp;IF(N252&lt;&gt;"",IF(O252&lt;&gt;""," · ","")&amp;"Con: "&amp;N252,"")</f>
        <v/>
      </c>
      <c r="S252">
        <f>C252&amp;"|"&amp;D252</f>
        <v/>
      </c>
      <c r="T252">
        <f>COUNTIF($S$2:S252,S252)</f>
        <v/>
      </c>
      <c r="U252">
        <f>S252&amp;"|"&amp;T252</f>
        <v/>
      </c>
      <c r="V252">
        <f>IFERROR(VLOOKUP(IF(I252="ENFASIS",LEFT(M252,FIND("+",M252&amp;"+")-1),J252),Direccion_Grupo!$A$2:$G$100,7,FALSE),"")</f>
        <v/>
      </c>
    </row>
    <row r="253">
      <c r="A253" t="n">
        <v>40</v>
      </c>
      <c r="B253" t="inlineStr">
        <is>
          <t>Pulgarín Ortiz César Marino</t>
        </is>
      </c>
      <c r="C253" t="inlineStr">
        <is>
          <t>LUNES</t>
        </is>
      </c>
      <c r="D253" t="n">
        <v>6</v>
      </c>
      <c r="E253" t="n">
        <v>3</v>
      </c>
      <c r="F253" t="n">
        <v>2</v>
      </c>
      <c r="G253" t="inlineStr">
        <is>
          <t>10:55</t>
        </is>
      </c>
      <c r="H253" t="inlineStr">
        <is>
          <t>11:40</t>
        </is>
      </c>
      <c r="I253" t="inlineStr">
        <is>
          <t>ENFASIS</t>
        </is>
      </c>
      <c r="J253" t="inlineStr"/>
      <c r="K253" t="inlineStr">
        <is>
          <t>CSI</t>
        </is>
      </c>
      <c r="L253" t="inlineStr">
        <is>
          <t>D5-10°</t>
        </is>
      </c>
      <c r="M253" t="inlineStr">
        <is>
          <t>1002</t>
        </is>
      </c>
      <c r="N253" t="inlineStr">
        <is>
          <t>Montaño Arizala Leidis Claudina (ETR); Villota Rubio Janeth del Carmen (MAT); Angulo Lucero Andrés Mauricio (TEI)</t>
        </is>
      </c>
      <c r="O253" t="inlineStr">
        <is>
          <t>EQUIPO DE 4: cada docente atiende un grupo de estudiantes en su área</t>
        </is>
      </c>
      <c r="P253" t="inlineStr">
        <is>
          <t>ENFASIS-D5-10°</t>
        </is>
      </c>
      <c r="Q253">
        <f>IF(I253="ENFASIS","ÉNFASIS "&amp;M253,IFERROR(VLOOKUP(J253,Grupos!$A$2:$D$100,4,FALSE),J253))</f>
        <v/>
      </c>
      <c r="R253">
        <f>O253&amp;IF(N253&lt;&gt;"",IF(O253&lt;&gt;""," · ","")&amp;"Con: "&amp;N253,"")</f>
        <v/>
      </c>
      <c r="S253">
        <f>C253&amp;"|"&amp;D253</f>
        <v/>
      </c>
      <c r="T253">
        <f>COUNTIF($S$2:S253,S253)</f>
        <v/>
      </c>
      <c r="U253">
        <f>S253&amp;"|"&amp;T253</f>
        <v/>
      </c>
      <c r="V253">
        <f>IFERROR(VLOOKUP(IF(I253="ENFASIS",LEFT(M253,FIND("+",M253&amp;"+")-1),J253),Direccion_Grupo!$A$2:$G$100,7,FALSE),"")</f>
        <v/>
      </c>
    </row>
    <row r="254">
      <c r="A254" t="n">
        <v>54</v>
      </c>
      <c r="B254" t="inlineStr">
        <is>
          <t>Villota Rubio Janeth del Carmen</t>
        </is>
      </c>
      <c r="C254" t="inlineStr">
        <is>
          <t>LUNES</t>
        </is>
      </c>
      <c r="D254" t="n">
        <v>6</v>
      </c>
      <c r="E254" t="n">
        <v>3</v>
      </c>
      <c r="F254" t="n">
        <v>2</v>
      </c>
      <c r="G254" t="inlineStr">
        <is>
          <t>10:55</t>
        </is>
      </c>
      <c r="H254" t="inlineStr">
        <is>
          <t>11:40</t>
        </is>
      </c>
      <c r="I254" t="inlineStr">
        <is>
          <t>ENFASIS</t>
        </is>
      </c>
      <c r="J254" t="inlineStr"/>
      <c r="K254" t="inlineStr">
        <is>
          <t>MAT</t>
        </is>
      </c>
      <c r="L254" t="inlineStr">
        <is>
          <t>D5-10°</t>
        </is>
      </c>
      <c r="M254" t="inlineStr">
        <is>
          <t>1002</t>
        </is>
      </c>
      <c r="N254" t="inlineStr">
        <is>
          <t>Pulgarín Ortiz César Marino (CSI); Montaño Arizala Leidis Claudina (ETR); Angulo Lucero Andrés Mauricio (TEI)</t>
        </is>
      </c>
      <c r="O254" t="inlineStr">
        <is>
          <t>EQUIPO DE 4: cada docente atiende un grupo de estudiantes en su área</t>
        </is>
      </c>
      <c r="P254" t="inlineStr">
        <is>
          <t>ENFASIS-D5-10°</t>
        </is>
      </c>
      <c r="Q254">
        <f>IF(I254="ENFASIS","ÉNFASIS "&amp;M254,IFERROR(VLOOKUP(J254,Grupos!$A$2:$D$100,4,FALSE),J254))</f>
        <v/>
      </c>
      <c r="R254">
        <f>O254&amp;IF(N254&lt;&gt;"",IF(O254&lt;&gt;""," · ","")&amp;"Con: "&amp;N254,"")</f>
        <v/>
      </c>
      <c r="S254">
        <f>C254&amp;"|"&amp;D254</f>
        <v/>
      </c>
      <c r="T254">
        <f>COUNTIF($S$2:S254,S254)</f>
        <v/>
      </c>
      <c r="U254">
        <f>S254&amp;"|"&amp;T254</f>
        <v/>
      </c>
      <c r="V254">
        <f>IFERROR(VLOOKUP(IF(I254="ENFASIS",LEFT(M254,FIND("+",M254&amp;"+")-1),J254),Direccion_Grupo!$A$2:$G$100,7,FALSE),"")</f>
        <v/>
      </c>
    </row>
    <row r="255">
      <c r="A255" t="n">
        <v>20</v>
      </c>
      <c r="B255" t="inlineStr">
        <is>
          <t>García Gobea Saydi Magali</t>
        </is>
      </c>
      <c r="C255" t="inlineStr">
        <is>
          <t>LUNES</t>
        </is>
      </c>
      <c r="D255" t="n">
        <v>7</v>
      </c>
      <c r="E255" t="n">
        <v>4</v>
      </c>
      <c r="F255" t="n">
        <v>1</v>
      </c>
      <c r="G255" t="inlineStr">
        <is>
          <t>12:00</t>
        </is>
      </c>
      <c r="H255" t="inlineStr">
        <is>
          <t>12:45</t>
        </is>
      </c>
      <c r="I255" t="inlineStr">
        <is>
          <t>CLASE</t>
        </is>
      </c>
      <c r="J255" t="inlineStr">
        <is>
          <t>0601</t>
        </is>
      </c>
      <c r="K255" t="inlineStr">
        <is>
          <t>CSI</t>
        </is>
      </c>
      <c r="L255" t="inlineStr"/>
      <c r="M255" t="inlineStr"/>
      <c r="N255" t="inlineStr"/>
      <c r="O255" t="inlineStr">
        <is>
          <t>Sociales / Inglés (alternan cada semana)</t>
        </is>
      </c>
      <c r="P255" t="inlineStr">
        <is>
          <t>0601-CSI</t>
        </is>
      </c>
      <c r="Q255">
        <f>IF(I255="ENFASIS","ÉNFASIS "&amp;M255,IFERROR(VLOOKUP(J255,Grupos!$A$2:$D$100,4,FALSE),J255))</f>
        <v/>
      </c>
      <c r="R255">
        <f>O255&amp;IF(N255&lt;&gt;"",IF(O255&lt;&gt;""," · ","")&amp;"Con: "&amp;N255,"")</f>
        <v/>
      </c>
      <c r="S255">
        <f>C255&amp;"|"&amp;D255</f>
        <v/>
      </c>
      <c r="T255">
        <f>COUNTIF($S$2:S255,S255)</f>
        <v/>
      </c>
      <c r="U255">
        <f>S255&amp;"|"&amp;T255</f>
        <v/>
      </c>
      <c r="V255">
        <f>IFERROR(VLOOKUP(IF(I255="ENFASIS",LEFT(M255,FIND("+",M255&amp;"+")-1),J255),Direccion_Grupo!$A$2:$G$100,7,FALSE),"")</f>
        <v/>
      </c>
    </row>
    <row r="256">
      <c r="A256" t="n">
        <v>16</v>
      </c>
      <c r="B256" t="inlineStr">
        <is>
          <t>Cuero Rincón Hernando Jesús</t>
        </is>
      </c>
      <c r="C256" t="inlineStr">
        <is>
          <t>LUNES</t>
        </is>
      </c>
      <c r="D256" t="n">
        <v>7</v>
      </c>
      <c r="E256" t="n">
        <v>4</v>
      </c>
      <c r="F256" t="n">
        <v>1</v>
      </c>
      <c r="G256" t="inlineStr">
        <is>
          <t>12:00</t>
        </is>
      </c>
      <c r="H256" t="inlineStr">
        <is>
          <t>12:45</t>
        </is>
      </c>
      <c r="I256" t="inlineStr">
        <is>
          <t>CLASE</t>
        </is>
      </c>
      <c r="J256" t="inlineStr">
        <is>
          <t>0602</t>
        </is>
      </c>
      <c r="K256" t="inlineStr">
        <is>
          <t>CAS</t>
        </is>
      </c>
      <c r="L256" t="inlineStr"/>
      <c r="M256" t="inlineStr"/>
      <c r="N256" t="inlineStr"/>
      <c r="O256" t="inlineStr"/>
      <c r="P256" t="inlineStr">
        <is>
          <t>0602-CAS</t>
        </is>
      </c>
      <c r="Q256">
        <f>IF(I256="ENFASIS","ÉNFASIS "&amp;M256,IFERROR(VLOOKUP(J256,Grupos!$A$2:$D$100,4,FALSE),J256))</f>
        <v/>
      </c>
      <c r="R256">
        <f>O256&amp;IF(N256&lt;&gt;"",IF(O256&lt;&gt;""," · ","")&amp;"Con: "&amp;N256,"")</f>
        <v/>
      </c>
      <c r="S256">
        <f>C256&amp;"|"&amp;D256</f>
        <v/>
      </c>
      <c r="T256">
        <f>COUNTIF($S$2:S256,S256)</f>
        <v/>
      </c>
      <c r="U256">
        <f>S256&amp;"|"&amp;T256</f>
        <v/>
      </c>
      <c r="V256">
        <f>IFERROR(VLOOKUP(IF(I256="ENFASIS",LEFT(M256,FIND("+",M256&amp;"+")-1),J256),Direccion_Grupo!$A$2:$G$100,7,FALSE),"")</f>
        <v/>
      </c>
    </row>
    <row r="257">
      <c r="A257" t="n">
        <v>34</v>
      </c>
      <c r="B257" t="inlineStr">
        <is>
          <t>Ordóñez Tenorio Jaime Marcial</t>
        </is>
      </c>
      <c r="C257" t="inlineStr">
        <is>
          <t>LUNES</t>
        </is>
      </c>
      <c r="D257" t="n">
        <v>7</v>
      </c>
      <c r="E257" t="n">
        <v>4</v>
      </c>
      <c r="F257" t="n">
        <v>1</v>
      </c>
      <c r="G257" t="inlineStr">
        <is>
          <t>12:00</t>
        </is>
      </c>
      <c r="H257" t="inlineStr">
        <is>
          <t>12:45</t>
        </is>
      </c>
      <c r="I257" t="inlineStr">
        <is>
          <t>CLASE</t>
        </is>
      </c>
      <c r="J257" t="inlineStr">
        <is>
          <t>0701</t>
        </is>
      </c>
      <c r="K257" t="inlineStr">
        <is>
          <t>CNA</t>
        </is>
      </c>
      <c r="L257" t="inlineStr"/>
      <c r="M257" t="inlineStr"/>
      <c r="N257" t="inlineStr"/>
      <c r="O257" t="inlineStr"/>
      <c r="P257" t="inlineStr">
        <is>
          <t>0701-CNA</t>
        </is>
      </c>
      <c r="Q257">
        <f>IF(I257="ENFASIS","ÉNFASIS "&amp;M257,IFERROR(VLOOKUP(J257,Grupos!$A$2:$D$100,4,FALSE),J257))</f>
        <v/>
      </c>
      <c r="R257">
        <f>O257&amp;IF(N257&lt;&gt;"",IF(O257&lt;&gt;""," · ","")&amp;"Con: "&amp;N257,"")</f>
        <v/>
      </c>
      <c r="S257">
        <f>C257&amp;"|"&amp;D257</f>
        <v/>
      </c>
      <c r="T257">
        <f>COUNTIF($S$2:S257,S257)</f>
        <v/>
      </c>
      <c r="U257">
        <f>S257&amp;"|"&amp;T257</f>
        <v/>
      </c>
      <c r="V257">
        <f>IFERROR(VLOOKUP(IF(I257="ENFASIS",LEFT(M257,FIND("+",M257&amp;"+")-1),J257),Direccion_Grupo!$A$2:$G$100,7,FALSE),"")</f>
        <v/>
      </c>
    </row>
    <row r="258">
      <c r="A258" t="n">
        <v>1</v>
      </c>
      <c r="B258" t="inlineStr">
        <is>
          <t>Aguirre Riascos Jorge Andrés</t>
        </is>
      </c>
      <c r="C258" t="inlineStr">
        <is>
          <t>LUNES</t>
        </is>
      </c>
      <c r="D258" t="n">
        <v>7</v>
      </c>
      <c r="E258" t="n">
        <v>4</v>
      </c>
      <c r="F258" t="n">
        <v>1</v>
      </c>
      <c r="G258" t="inlineStr">
        <is>
          <t>12:00</t>
        </is>
      </c>
      <c r="H258" t="inlineStr">
        <is>
          <t>12:45</t>
        </is>
      </c>
      <c r="I258" t="inlineStr">
        <is>
          <t>CLASE</t>
        </is>
      </c>
      <c r="J258" t="inlineStr">
        <is>
          <t>0702</t>
        </is>
      </c>
      <c r="K258" t="inlineStr">
        <is>
          <t>TEI</t>
        </is>
      </c>
      <c r="L258" t="inlineStr"/>
      <c r="M258" t="inlineStr"/>
      <c r="N258" t="inlineStr"/>
      <c r="O258" t="inlineStr"/>
      <c r="P258" t="inlineStr">
        <is>
          <t>0702-TEI</t>
        </is>
      </c>
      <c r="Q258">
        <f>IF(I258="ENFASIS","ÉNFASIS "&amp;M258,IFERROR(VLOOKUP(J258,Grupos!$A$2:$D$100,4,FALSE),J258))</f>
        <v/>
      </c>
      <c r="R258">
        <f>O258&amp;IF(N258&lt;&gt;"",IF(O258&lt;&gt;""," · ","")&amp;"Con: "&amp;N258,"")</f>
        <v/>
      </c>
      <c r="S258">
        <f>C258&amp;"|"&amp;D258</f>
        <v/>
      </c>
      <c r="T258">
        <f>COUNTIF($S$2:S258,S258)</f>
        <v/>
      </c>
      <c r="U258">
        <f>S258&amp;"|"&amp;T258</f>
        <v/>
      </c>
      <c r="V258">
        <f>IFERROR(VLOOKUP(IF(I258="ENFASIS",LEFT(M258,FIND("+",M258&amp;"+")-1),J258),Direccion_Grupo!$A$2:$G$100,7,FALSE),"")</f>
        <v/>
      </c>
    </row>
    <row r="259">
      <c r="A259" t="n">
        <v>8</v>
      </c>
      <c r="B259" t="inlineStr">
        <is>
          <t>Casanova Quiñones Yoli del Carmen</t>
        </is>
      </c>
      <c r="C259" t="inlineStr">
        <is>
          <t>LUNES</t>
        </is>
      </c>
      <c r="D259" t="n">
        <v>7</v>
      </c>
      <c r="E259" t="n">
        <v>4</v>
      </c>
      <c r="F259" t="n">
        <v>1</v>
      </c>
      <c r="G259" t="inlineStr">
        <is>
          <t>12:00</t>
        </is>
      </c>
      <c r="H259" t="inlineStr">
        <is>
          <t>12:45</t>
        </is>
      </c>
      <c r="I259" t="inlineStr">
        <is>
          <t>CLASE</t>
        </is>
      </c>
      <c r="J259" t="inlineStr">
        <is>
          <t>0703</t>
        </is>
      </c>
      <c r="K259" t="inlineStr">
        <is>
          <t>ETR</t>
        </is>
      </c>
      <c r="L259" t="inlineStr"/>
      <c r="M259" t="inlineStr"/>
      <c r="N259" t="inlineStr"/>
      <c r="O259" t="inlineStr">
        <is>
          <t>Ética / Religión (alternan cada semana)</t>
        </is>
      </c>
      <c r="P259" t="inlineStr">
        <is>
          <t>0703-REL</t>
        </is>
      </c>
      <c r="Q259">
        <f>IF(I259="ENFASIS","ÉNFASIS "&amp;M259,IFERROR(VLOOKUP(J259,Grupos!$A$2:$D$100,4,FALSE),J259))</f>
        <v/>
      </c>
      <c r="R259">
        <f>O259&amp;IF(N259&lt;&gt;"",IF(O259&lt;&gt;""," · ","")&amp;"Con: "&amp;N259,"")</f>
        <v/>
      </c>
      <c r="S259">
        <f>C259&amp;"|"&amp;D259</f>
        <v/>
      </c>
      <c r="T259">
        <f>COUNTIF($S$2:S259,S259)</f>
        <v/>
      </c>
      <c r="U259">
        <f>S259&amp;"|"&amp;T259</f>
        <v/>
      </c>
      <c r="V259">
        <f>IFERROR(VLOOKUP(IF(I259="ENFASIS",LEFT(M259,FIND("+",M259&amp;"+")-1),J259),Direccion_Grupo!$A$2:$G$100,7,FALSE),"")</f>
        <v/>
      </c>
    </row>
    <row r="260">
      <c r="A260" t="n">
        <v>10</v>
      </c>
      <c r="B260" t="inlineStr">
        <is>
          <t>Castillo Cuero Daira Eneida</t>
        </is>
      </c>
      <c r="C260" t="inlineStr">
        <is>
          <t>LUNES</t>
        </is>
      </c>
      <c r="D260" t="n">
        <v>7</v>
      </c>
      <c r="E260" t="n">
        <v>4</v>
      </c>
      <c r="F260" t="n">
        <v>1</v>
      </c>
      <c r="G260" t="inlineStr">
        <is>
          <t>12:00</t>
        </is>
      </c>
      <c r="H260" t="inlineStr">
        <is>
          <t>12:45</t>
        </is>
      </c>
      <c r="I260" t="inlineStr">
        <is>
          <t>CLASE</t>
        </is>
      </c>
      <c r="J260" t="inlineStr">
        <is>
          <t>0704</t>
        </is>
      </c>
      <c r="K260" t="inlineStr">
        <is>
          <t>CAS</t>
        </is>
      </c>
      <c r="L260" t="inlineStr"/>
      <c r="M260" t="inlineStr"/>
      <c r="N260" t="inlineStr"/>
      <c r="O260" t="inlineStr"/>
      <c r="P260" t="inlineStr">
        <is>
          <t>0704-CAS</t>
        </is>
      </c>
      <c r="Q260">
        <f>IF(I260="ENFASIS","ÉNFASIS "&amp;M260,IFERROR(VLOOKUP(J260,Grupos!$A$2:$D$100,4,FALSE),J260))</f>
        <v/>
      </c>
      <c r="R260">
        <f>O260&amp;IF(N260&lt;&gt;"",IF(O260&lt;&gt;""," · ","")&amp;"Con: "&amp;N260,"")</f>
        <v/>
      </c>
      <c r="S260">
        <f>C260&amp;"|"&amp;D260</f>
        <v/>
      </c>
      <c r="T260">
        <f>COUNTIF($S$2:S260,S260)</f>
        <v/>
      </c>
      <c r="U260">
        <f>S260&amp;"|"&amp;T260</f>
        <v/>
      </c>
      <c r="V260">
        <f>IFERROR(VLOOKUP(IF(I260="ENFASIS",LEFT(M260,FIND("+",M260&amp;"+")-1),J260),Direccion_Grupo!$A$2:$G$100,7,FALSE),"")</f>
        <v/>
      </c>
    </row>
    <row r="261">
      <c r="A261" t="n">
        <v>38</v>
      </c>
      <c r="B261" t="inlineStr">
        <is>
          <t>Preciado Torres Oleisa</t>
        </is>
      </c>
      <c r="C261" t="inlineStr">
        <is>
          <t>LUNES</t>
        </is>
      </c>
      <c r="D261" t="n">
        <v>7</v>
      </c>
      <c r="E261" t="n">
        <v>4</v>
      </c>
      <c r="F261" t="n">
        <v>1</v>
      </c>
      <c r="G261" t="inlineStr">
        <is>
          <t>12:00</t>
        </is>
      </c>
      <c r="H261" t="inlineStr">
        <is>
          <t>12:45</t>
        </is>
      </c>
      <c r="I261" t="inlineStr">
        <is>
          <t>CLASE</t>
        </is>
      </c>
      <c r="J261" t="inlineStr">
        <is>
          <t>0801</t>
        </is>
      </c>
      <c r="K261" t="inlineStr">
        <is>
          <t>MAT</t>
        </is>
      </c>
      <c r="L261" t="inlineStr"/>
      <c r="M261" t="inlineStr"/>
      <c r="N261" t="inlineStr"/>
      <c r="O261" t="inlineStr"/>
      <c r="P261" t="inlineStr">
        <is>
          <t>0801-MAT</t>
        </is>
      </c>
      <c r="Q261">
        <f>IF(I261="ENFASIS","ÉNFASIS "&amp;M261,IFERROR(VLOOKUP(J261,Grupos!$A$2:$D$100,4,FALSE),J261))</f>
        <v/>
      </c>
      <c r="R261">
        <f>O261&amp;IF(N261&lt;&gt;"",IF(O261&lt;&gt;""," · ","")&amp;"Con: "&amp;N261,"")</f>
        <v/>
      </c>
      <c r="S261">
        <f>C261&amp;"|"&amp;D261</f>
        <v/>
      </c>
      <c r="T261">
        <f>COUNTIF($S$2:S261,S261)</f>
        <v/>
      </c>
      <c r="U261">
        <f>S261&amp;"|"&amp;T261</f>
        <v/>
      </c>
      <c r="V261">
        <f>IFERROR(VLOOKUP(IF(I261="ENFASIS",LEFT(M261,FIND("+",M261&amp;"+")-1),J261),Direccion_Grupo!$A$2:$G$100,7,FALSE),"")</f>
        <v/>
      </c>
    </row>
    <row r="262">
      <c r="A262" t="n">
        <v>12</v>
      </c>
      <c r="B262" t="inlineStr">
        <is>
          <t>Chillambo Quiñones María Rocío</t>
        </is>
      </c>
      <c r="C262" t="inlineStr">
        <is>
          <t>LUNES</t>
        </is>
      </c>
      <c r="D262" t="n">
        <v>7</v>
      </c>
      <c r="E262" t="n">
        <v>4</v>
      </c>
      <c r="F262" t="n">
        <v>1</v>
      </c>
      <c r="G262" t="inlineStr">
        <is>
          <t>12:00</t>
        </is>
      </c>
      <c r="H262" t="inlineStr">
        <is>
          <t>12:45</t>
        </is>
      </c>
      <c r="I262" t="inlineStr">
        <is>
          <t>CLASE</t>
        </is>
      </c>
      <c r="J262" t="inlineStr">
        <is>
          <t>0802</t>
        </is>
      </c>
      <c r="K262" t="inlineStr">
        <is>
          <t>CNA</t>
        </is>
      </c>
      <c r="L262" t="inlineStr"/>
      <c r="M262" t="inlineStr"/>
      <c r="N262" t="inlineStr"/>
      <c r="O262" t="inlineStr"/>
      <c r="P262" t="inlineStr">
        <is>
          <t>0802-CNA</t>
        </is>
      </c>
      <c r="Q262">
        <f>IF(I262="ENFASIS","ÉNFASIS "&amp;M262,IFERROR(VLOOKUP(J262,Grupos!$A$2:$D$100,4,FALSE),J262))</f>
        <v/>
      </c>
      <c r="R262">
        <f>O262&amp;IF(N262&lt;&gt;"",IF(O262&lt;&gt;""," · ","")&amp;"Con: "&amp;N262,"")</f>
        <v/>
      </c>
      <c r="S262">
        <f>C262&amp;"|"&amp;D262</f>
        <v/>
      </c>
      <c r="T262">
        <f>COUNTIF($S$2:S262,S262)</f>
        <v/>
      </c>
      <c r="U262">
        <f>S262&amp;"|"&amp;T262</f>
        <v/>
      </c>
      <c r="V262">
        <f>IFERROR(VLOOKUP(IF(I262="ENFASIS",LEFT(M262,FIND("+",M262&amp;"+")-1),J262),Direccion_Grupo!$A$2:$G$100,7,FALSE),"")</f>
        <v/>
      </c>
    </row>
    <row r="263">
      <c r="A263" t="n">
        <v>18</v>
      </c>
      <c r="B263" t="inlineStr">
        <is>
          <t>Estacio Estupiñán Rosario</t>
        </is>
      </c>
      <c r="C263" t="inlineStr">
        <is>
          <t>LUNES</t>
        </is>
      </c>
      <c r="D263" t="n">
        <v>7</v>
      </c>
      <c r="E263" t="n">
        <v>4</v>
      </c>
      <c r="F263" t="n">
        <v>1</v>
      </c>
      <c r="G263" t="inlineStr">
        <is>
          <t>12:00</t>
        </is>
      </c>
      <c r="H263" t="inlineStr">
        <is>
          <t>12:45</t>
        </is>
      </c>
      <c r="I263" t="inlineStr">
        <is>
          <t>CLASE</t>
        </is>
      </c>
      <c r="J263" t="inlineStr">
        <is>
          <t>0901</t>
        </is>
      </c>
      <c r="K263" t="inlineStr">
        <is>
          <t>ETR</t>
        </is>
      </c>
      <c r="L263" t="inlineStr"/>
      <c r="M263" t="inlineStr"/>
      <c r="N263" t="inlineStr"/>
      <c r="O263" t="inlineStr">
        <is>
          <t>Ética / Religión (alternan cada semana)</t>
        </is>
      </c>
      <c r="P263" t="inlineStr">
        <is>
          <t>0901-ETR</t>
        </is>
      </c>
      <c r="Q263">
        <f>IF(I263="ENFASIS","ÉNFASIS "&amp;M263,IFERROR(VLOOKUP(J263,Grupos!$A$2:$D$100,4,FALSE),J263))</f>
        <v/>
      </c>
      <c r="R263">
        <f>O263&amp;IF(N263&lt;&gt;"",IF(O263&lt;&gt;""," · ","")&amp;"Con: "&amp;N263,"")</f>
        <v/>
      </c>
      <c r="S263">
        <f>C263&amp;"|"&amp;D263</f>
        <v/>
      </c>
      <c r="T263">
        <f>COUNTIF($S$2:S263,S263)</f>
        <v/>
      </c>
      <c r="U263">
        <f>S263&amp;"|"&amp;T263</f>
        <v/>
      </c>
      <c r="V263">
        <f>IFERROR(VLOOKUP(IF(I263="ENFASIS",LEFT(M263,FIND("+",M263&amp;"+")-1),J263),Direccion_Grupo!$A$2:$G$100,7,FALSE),"")</f>
        <v/>
      </c>
    </row>
    <row r="264">
      <c r="A264" t="n">
        <v>5</v>
      </c>
      <c r="B264" t="inlineStr">
        <is>
          <t>Bastidas Valencia Zeneida Judith</t>
        </is>
      </c>
      <c r="C264" t="inlineStr">
        <is>
          <t>LUNES</t>
        </is>
      </c>
      <c r="D264" t="n">
        <v>7</v>
      </c>
      <c r="E264" t="n">
        <v>4</v>
      </c>
      <c r="F264" t="n">
        <v>1</v>
      </c>
      <c r="G264" t="inlineStr">
        <is>
          <t>12:00</t>
        </is>
      </c>
      <c r="H264" t="inlineStr">
        <is>
          <t>12:45</t>
        </is>
      </c>
      <c r="I264" t="inlineStr">
        <is>
          <t>CLASE</t>
        </is>
      </c>
      <c r="J264" t="inlineStr">
        <is>
          <t>0902</t>
        </is>
      </c>
      <c r="K264" t="inlineStr">
        <is>
          <t>MAT</t>
        </is>
      </c>
      <c r="L264" t="inlineStr"/>
      <c r="M264" t="inlineStr"/>
      <c r="N264" t="inlineStr"/>
      <c r="O264" t="inlineStr"/>
      <c r="P264" t="inlineStr">
        <is>
          <t>0902-MAT</t>
        </is>
      </c>
      <c r="Q264">
        <f>IF(I264="ENFASIS","ÉNFASIS "&amp;M264,IFERROR(VLOOKUP(J264,Grupos!$A$2:$D$100,4,FALSE),J264))</f>
        <v/>
      </c>
      <c r="R264">
        <f>O264&amp;IF(N264&lt;&gt;"",IF(O264&lt;&gt;""," · ","")&amp;"Con: "&amp;N264,"")</f>
        <v/>
      </c>
      <c r="S264">
        <f>C264&amp;"|"&amp;D264</f>
        <v/>
      </c>
      <c r="T264">
        <f>COUNTIF($S$2:S264,S264)</f>
        <v/>
      </c>
      <c r="U264">
        <f>S264&amp;"|"&amp;T264</f>
        <v/>
      </c>
      <c r="V264">
        <f>IFERROR(VLOOKUP(IF(I264="ENFASIS",LEFT(M264,FIND("+",M264&amp;"+")-1),J264),Direccion_Grupo!$A$2:$G$100,7,FALSE),"")</f>
        <v/>
      </c>
    </row>
    <row r="265">
      <c r="A265" t="n">
        <v>29</v>
      </c>
      <c r="B265" t="inlineStr">
        <is>
          <t>Mindineros Satizábal John Jáver</t>
        </is>
      </c>
      <c r="C265" t="inlineStr">
        <is>
          <t>LUNES</t>
        </is>
      </c>
      <c r="D265" t="n">
        <v>7</v>
      </c>
      <c r="E265" t="n">
        <v>4</v>
      </c>
      <c r="F265" t="n">
        <v>1</v>
      </c>
      <c r="G265" t="inlineStr">
        <is>
          <t>12:00</t>
        </is>
      </c>
      <c r="H265" t="inlineStr">
        <is>
          <t>12:45</t>
        </is>
      </c>
      <c r="I265" t="inlineStr">
        <is>
          <t>CLASE</t>
        </is>
      </c>
      <c r="J265" t="inlineStr">
        <is>
          <t>1001</t>
        </is>
      </c>
      <c r="K265" t="inlineStr">
        <is>
          <t>TEI</t>
        </is>
      </c>
      <c r="L265" t="inlineStr"/>
      <c r="M265" t="inlineStr"/>
      <c r="N265" t="inlineStr"/>
      <c r="O265" t="inlineStr"/>
      <c r="P265" t="inlineStr">
        <is>
          <t>1001-TEI</t>
        </is>
      </c>
      <c r="Q265">
        <f>IF(I265="ENFASIS","ÉNFASIS "&amp;M265,IFERROR(VLOOKUP(J265,Grupos!$A$2:$D$100,4,FALSE),J265))</f>
        <v/>
      </c>
      <c r="R265">
        <f>O265&amp;IF(N265&lt;&gt;"",IF(O265&lt;&gt;""," · ","")&amp;"Con: "&amp;N265,"")</f>
        <v/>
      </c>
      <c r="S265">
        <f>C265&amp;"|"&amp;D265</f>
        <v/>
      </c>
      <c r="T265">
        <f>COUNTIF($S$2:S265,S265)</f>
        <v/>
      </c>
      <c r="U265">
        <f>S265&amp;"|"&amp;T265</f>
        <v/>
      </c>
      <c r="V265">
        <f>IFERROR(VLOOKUP(IF(I265="ENFASIS",LEFT(M265,FIND("+",M265&amp;"+")-1),J265),Direccion_Grupo!$A$2:$G$100,7,FALSE),"")</f>
        <v/>
      </c>
    </row>
    <row r="266">
      <c r="A266" t="n">
        <v>2</v>
      </c>
      <c r="B266" t="inlineStr">
        <is>
          <t>Angulo Lucero Andrés Mauricio</t>
        </is>
      </c>
      <c r="C266" t="inlineStr">
        <is>
          <t>LUNES</t>
        </is>
      </c>
      <c r="D266" t="n">
        <v>7</v>
      </c>
      <c r="E266" t="n">
        <v>4</v>
      </c>
      <c r="F266" t="n">
        <v>1</v>
      </c>
      <c r="G266" t="inlineStr">
        <is>
          <t>12:00</t>
        </is>
      </c>
      <c r="H266" t="inlineStr">
        <is>
          <t>12:45</t>
        </is>
      </c>
      <c r="I266" t="inlineStr">
        <is>
          <t>CLASE</t>
        </is>
      </c>
      <c r="J266" t="inlineStr">
        <is>
          <t>1002</t>
        </is>
      </c>
      <c r="K266" t="inlineStr">
        <is>
          <t>TEI</t>
        </is>
      </c>
      <c r="L266" t="inlineStr"/>
      <c r="M266" t="inlineStr"/>
      <c r="N266" t="inlineStr"/>
      <c r="O266" t="inlineStr"/>
      <c r="P266" t="inlineStr">
        <is>
          <t>1002-TEI</t>
        </is>
      </c>
      <c r="Q266">
        <f>IF(I266="ENFASIS","ÉNFASIS "&amp;M266,IFERROR(VLOOKUP(J266,Grupos!$A$2:$D$100,4,FALSE),J266))</f>
        <v/>
      </c>
      <c r="R266">
        <f>O266&amp;IF(N266&lt;&gt;"",IF(O266&lt;&gt;""," · ","")&amp;"Con: "&amp;N266,"")</f>
        <v/>
      </c>
      <c r="S266">
        <f>C266&amp;"|"&amp;D266</f>
        <v/>
      </c>
      <c r="T266">
        <f>COUNTIF($S$2:S266,S266)</f>
        <v/>
      </c>
      <c r="U266">
        <f>S266&amp;"|"&amp;T266</f>
        <v/>
      </c>
      <c r="V266">
        <f>IFERROR(VLOOKUP(IF(I266="ENFASIS",LEFT(M266,FIND("+",M266&amp;"+")-1),J266),Direccion_Grupo!$A$2:$G$100,7,FALSE),"")</f>
        <v/>
      </c>
    </row>
    <row r="267">
      <c r="A267" t="n">
        <v>31</v>
      </c>
      <c r="B267" t="inlineStr">
        <is>
          <t>Montaño Arizala Leidis Claudina</t>
        </is>
      </c>
      <c r="C267" t="inlineStr">
        <is>
          <t>LUNES</t>
        </is>
      </c>
      <c r="D267" t="n">
        <v>7</v>
      </c>
      <c r="E267" t="n">
        <v>4</v>
      </c>
      <c r="F267" t="n">
        <v>1</v>
      </c>
      <c r="G267" t="inlineStr">
        <is>
          <t>12:00</t>
        </is>
      </c>
      <c r="H267" t="inlineStr">
        <is>
          <t>12:45</t>
        </is>
      </c>
      <c r="I267" t="inlineStr">
        <is>
          <t>CLASE</t>
        </is>
      </c>
      <c r="J267" t="inlineStr">
        <is>
          <t>1102</t>
        </is>
      </c>
      <c r="K267" t="inlineStr">
        <is>
          <t>ETR</t>
        </is>
      </c>
      <c r="L267" t="inlineStr"/>
      <c r="M267" t="inlineStr"/>
      <c r="N267" t="inlineStr"/>
      <c r="O267" t="inlineStr">
        <is>
          <t>Ética / Religión (alternan cada semana)</t>
        </is>
      </c>
      <c r="P267" t="inlineStr">
        <is>
          <t>1102-ETR</t>
        </is>
      </c>
      <c r="Q267">
        <f>IF(I267="ENFASIS","ÉNFASIS "&amp;M267,IFERROR(VLOOKUP(J267,Grupos!$A$2:$D$100,4,FALSE),J267))</f>
        <v/>
      </c>
      <c r="R267">
        <f>O267&amp;IF(N267&lt;&gt;"",IF(O267&lt;&gt;""," · ","")&amp;"Con: "&amp;N267,"")</f>
        <v/>
      </c>
      <c r="S267">
        <f>C267&amp;"|"&amp;D267</f>
        <v/>
      </c>
      <c r="T267">
        <f>COUNTIF($S$2:S267,S267)</f>
        <v/>
      </c>
      <c r="U267">
        <f>S267&amp;"|"&amp;T267</f>
        <v/>
      </c>
      <c r="V267">
        <f>IFERROR(VLOOKUP(IF(I267="ENFASIS",LEFT(M267,FIND("+",M267&amp;"+")-1),J267),Direccion_Grupo!$A$2:$G$100,7,FALSE),"")</f>
        <v/>
      </c>
    </row>
    <row r="268">
      <c r="A268" t="n">
        <v>57</v>
      </c>
      <c r="B268" t="inlineStr">
        <is>
          <t>Armero Dájome Jesús</t>
        </is>
      </c>
      <c r="C268" t="inlineStr">
        <is>
          <t>LUNES</t>
        </is>
      </c>
      <c r="D268" t="n">
        <v>7</v>
      </c>
      <c r="E268" t="n">
        <v>4</v>
      </c>
      <c r="F268" t="n">
        <v>1</v>
      </c>
      <c r="G268" t="inlineStr">
        <is>
          <t>12:00</t>
        </is>
      </c>
      <c r="H268" t="inlineStr">
        <is>
          <t>12:45</t>
        </is>
      </c>
      <c r="I268" t="inlineStr">
        <is>
          <t>CLASE</t>
        </is>
      </c>
      <c r="J268" t="inlineStr">
        <is>
          <t>CS101</t>
        </is>
      </c>
      <c r="K268" t="inlineStr">
        <is>
          <t>ERD</t>
        </is>
      </c>
      <c r="L268" t="inlineStr"/>
      <c r="M268" t="inlineStr"/>
      <c r="N268" t="inlineStr"/>
      <c r="O268" t="inlineStr"/>
      <c r="P268" t="inlineStr">
        <is>
          <t>CS101-ERD</t>
        </is>
      </c>
      <c r="Q268">
        <f>IF(I268="ENFASIS","ÉNFASIS "&amp;M268,IFERROR(VLOOKUP(J268,Grupos!$A$2:$D$100,4,FALSE),J268))</f>
        <v/>
      </c>
      <c r="R268">
        <f>O268&amp;IF(N268&lt;&gt;"",IF(O268&lt;&gt;""," · ","")&amp;"Con: "&amp;N268,"")</f>
        <v/>
      </c>
      <c r="S268">
        <f>C268&amp;"|"&amp;D268</f>
        <v/>
      </c>
      <c r="T268">
        <f>COUNTIF($S$2:S268,S268)</f>
        <v/>
      </c>
      <c r="U268">
        <f>S268&amp;"|"&amp;T268</f>
        <v/>
      </c>
      <c r="V268">
        <f>IFERROR(VLOOKUP(IF(I268="ENFASIS",LEFT(M268,FIND("+",M268&amp;"+")-1),J268),Direccion_Grupo!$A$2:$G$100,7,FALSE),"")</f>
        <v/>
      </c>
    </row>
    <row r="269">
      <c r="A269" t="n">
        <v>42</v>
      </c>
      <c r="B269" t="inlineStr">
        <is>
          <t>Quiñones Cabezas Marcos Vidal</t>
        </is>
      </c>
      <c r="C269" t="inlineStr">
        <is>
          <t>LUNES</t>
        </is>
      </c>
      <c r="D269" t="n">
        <v>7</v>
      </c>
      <c r="E269" t="n">
        <v>4</v>
      </c>
      <c r="F269" t="n">
        <v>1</v>
      </c>
      <c r="G269" t="inlineStr">
        <is>
          <t>12:00</t>
        </is>
      </c>
      <c r="H269" t="inlineStr">
        <is>
          <t>12:45</t>
        </is>
      </c>
      <c r="I269" t="inlineStr">
        <is>
          <t>CLASE</t>
        </is>
      </c>
      <c r="J269" t="inlineStr">
        <is>
          <t>CS102</t>
        </is>
      </c>
      <c r="K269" t="inlineStr">
        <is>
          <t>MAT</t>
        </is>
      </c>
      <c r="L269" t="inlineStr"/>
      <c r="M269" t="inlineStr"/>
      <c r="N269" t="inlineStr"/>
      <c r="O269" t="inlineStr"/>
      <c r="P269" t="inlineStr">
        <is>
          <t>CS102-MAT</t>
        </is>
      </c>
      <c r="Q269">
        <f>IF(I269="ENFASIS","ÉNFASIS "&amp;M269,IFERROR(VLOOKUP(J269,Grupos!$A$2:$D$100,4,FALSE),J269))</f>
        <v/>
      </c>
      <c r="R269">
        <f>O269&amp;IF(N269&lt;&gt;"",IF(O269&lt;&gt;""," · ","")&amp;"Con: "&amp;N269,"")</f>
        <v/>
      </c>
      <c r="S269">
        <f>C269&amp;"|"&amp;D269</f>
        <v/>
      </c>
      <c r="T269">
        <f>COUNTIF($S$2:S269,S269)</f>
        <v/>
      </c>
      <c r="U269">
        <f>S269&amp;"|"&amp;T269</f>
        <v/>
      </c>
      <c r="V269">
        <f>IFERROR(VLOOKUP(IF(I269="ENFASIS",LEFT(M269,FIND("+",M269&amp;"+")-1),J269),Direccion_Grupo!$A$2:$G$100,7,FALSE),"")</f>
        <v/>
      </c>
    </row>
    <row r="270">
      <c r="A270" t="n">
        <v>51</v>
      </c>
      <c r="B270" t="inlineStr">
        <is>
          <t>Valverde Montaño María Teresa</t>
        </is>
      </c>
      <c r="C270" t="inlineStr">
        <is>
          <t>LUNES</t>
        </is>
      </c>
      <c r="D270" t="n">
        <v>7</v>
      </c>
      <c r="E270" t="n">
        <v>4</v>
      </c>
      <c r="F270" t="n">
        <v>1</v>
      </c>
      <c r="G270" t="inlineStr">
        <is>
          <t>12:00</t>
        </is>
      </c>
      <c r="H270" t="inlineStr">
        <is>
          <t>12:45</t>
        </is>
      </c>
      <c r="I270" t="inlineStr">
        <is>
          <t>CLASE</t>
        </is>
      </c>
      <c r="J270" t="inlineStr">
        <is>
          <t>CS202</t>
        </is>
      </c>
      <c r="K270" t="inlineStr">
        <is>
          <t>CAS</t>
        </is>
      </c>
      <c r="L270" t="inlineStr"/>
      <c r="M270" t="inlineStr"/>
      <c r="N270" t="inlineStr"/>
      <c r="O270" t="inlineStr"/>
      <c r="P270" t="inlineStr">
        <is>
          <t>CS202-CAS</t>
        </is>
      </c>
      <c r="Q270">
        <f>IF(I270="ENFASIS","ÉNFASIS "&amp;M270,IFERROR(VLOOKUP(J270,Grupos!$A$2:$D$100,4,FALSE),J270))</f>
        <v/>
      </c>
      <c r="R270">
        <f>O270&amp;IF(N270&lt;&gt;"",IF(O270&lt;&gt;""," · ","")&amp;"Con: "&amp;N270,"")</f>
        <v/>
      </c>
      <c r="S270">
        <f>C270&amp;"|"&amp;D270</f>
        <v/>
      </c>
      <c r="T270">
        <f>COUNTIF($S$2:S270,S270)</f>
        <v/>
      </c>
      <c r="U270">
        <f>S270&amp;"|"&amp;T270</f>
        <v/>
      </c>
      <c r="V270">
        <f>IFERROR(VLOOKUP(IF(I270="ENFASIS",LEFT(M270,FIND("+",M270&amp;"+")-1),J270),Direccion_Grupo!$A$2:$G$100,7,FALSE),"")</f>
        <v/>
      </c>
    </row>
    <row r="271">
      <c r="A271" t="n">
        <v>7</v>
      </c>
      <c r="B271" t="inlineStr">
        <is>
          <t>Casanova Casanova Johana Andrea</t>
        </is>
      </c>
      <c r="C271" t="inlineStr">
        <is>
          <t>LUNES</t>
        </is>
      </c>
      <c r="D271" t="n">
        <v>7</v>
      </c>
      <c r="E271" t="n">
        <v>4</v>
      </c>
      <c r="F271" t="n">
        <v>1</v>
      </c>
      <c r="G271" t="inlineStr">
        <is>
          <t>12:00</t>
        </is>
      </c>
      <c r="H271" t="inlineStr">
        <is>
          <t>12:45</t>
        </is>
      </c>
      <c r="I271" t="inlineStr">
        <is>
          <t>ORIENTACION</t>
        </is>
      </c>
      <c r="J271" t="inlineStr">
        <is>
          <t>ORIENT</t>
        </is>
      </c>
      <c r="K271" t="inlineStr">
        <is>
          <t>ORIENTACIÓN ESCOLAR</t>
        </is>
      </c>
      <c r="L271" t="inlineStr"/>
      <c r="M271" t="inlineStr"/>
      <c r="N271" t="inlineStr"/>
      <c r="O271" t="inlineStr">
        <is>
          <t>Jornada 07:30 a 14:30</t>
        </is>
      </c>
      <c r="P271" t="inlineStr"/>
      <c r="Q271">
        <f>IF(I271="ENFASIS","ÉNFASIS "&amp;M271,IFERROR(VLOOKUP(J271,Grupos!$A$2:$D$100,4,FALSE),J271))</f>
        <v/>
      </c>
      <c r="R271">
        <f>O271&amp;IF(N271&lt;&gt;"",IF(O271&lt;&gt;""," · ","")&amp;"Con: "&amp;N271,"")</f>
        <v/>
      </c>
      <c r="S271">
        <f>C271&amp;"|"&amp;D271</f>
        <v/>
      </c>
      <c r="T271">
        <f>COUNTIF($S$2:S271,S271)</f>
        <v/>
      </c>
      <c r="U271">
        <f>S271&amp;"|"&amp;T271</f>
        <v/>
      </c>
      <c r="V271">
        <f>IFERROR(VLOOKUP(IF(I271="ENFASIS",LEFT(M271,FIND("+",M271&amp;"+")-1),J271),Direccion_Grupo!$A$2:$G$100,7,FALSE),"")</f>
        <v/>
      </c>
    </row>
    <row r="272">
      <c r="A272" t="n">
        <v>36</v>
      </c>
      <c r="B272" t="inlineStr">
        <is>
          <t>Ponce Moncayo Ángela Paola</t>
        </is>
      </c>
      <c r="C272" t="inlineStr">
        <is>
          <t>LUNES</t>
        </is>
      </c>
      <c r="D272" t="n">
        <v>7</v>
      </c>
      <c r="E272" t="n">
        <v>4</v>
      </c>
      <c r="F272" t="n">
        <v>1</v>
      </c>
      <c r="G272" t="inlineStr">
        <is>
          <t>12:00</t>
        </is>
      </c>
      <c r="H272" t="inlineStr">
        <is>
          <t>12:45</t>
        </is>
      </c>
      <c r="I272" t="inlineStr">
        <is>
          <t>ORIENTACION</t>
        </is>
      </c>
      <c r="J272" t="inlineStr">
        <is>
          <t>ORIENT</t>
        </is>
      </c>
      <c r="K272" t="inlineStr">
        <is>
          <t>ORIENTACIÓN ESCOLAR</t>
        </is>
      </c>
      <c r="L272" t="inlineStr"/>
      <c r="M272" t="inlineStr"/>
      <c r="N272" t="inlineStr"/>
      <c r="O272" t="inlineStr">
        <is>
          <t>Jornada 08:30 a 13:30</t>
        </is>
      </c>
      <c r="P272" t="inlineStr"/>
      <c r="Q272">
        <f>IF(I272="ENFASIS","ÉNFASIS "&amp;M272,IFERROR(VLOOKUP(J272,Grupos!$A$2:$D$100,4,FALSE),J272))</f>
        <v/>
      </c>
      <c r="R272">
        <f>O272&amp;IF(N272&lt;&gt;"",IF(O272&lt;&gt;""," · ","")&amp;"Con: "&amp;N272,"")</f>
        <v/>
      </c>
      <c r="S272">
        <f>C272&amp;"|"&amp;D272</f>
        <v/>
      </c>
      <c r="T272">
        <f>COUNTIF($S$2:S272,S272)</f>
        <v/>
      </c>
      <c r="U272">
        <f>S272&amp;"|"&amp;T272</f>
        <v/>
      </c>
      <c r="V272">
        <f>IFERROR(VLOOKUP(IF(I272="ENFASIS",LEFT(M272,FIND("+",M272&amp;"+")-1),J272),Direccion_Grupo!$A$2:$G$100,7,FALSE),"")</f>
        <v/>
      </c>
    </row>
    <row r="273">
      <c r="A273" t="n">
        <v>3</v>
      </c>
      <c r="B273" t="inlineStr">
        <is>
          <t>Arboleda Ortiz Luz América</t>
        </is>
      </c>
      <c r="C273" t="inlineStr">
        <is>
          <t>LUNES</t>
        </is>
      </c>
      <c r="D273" t="n">
        <v>7</v>
      </c>
      <c r="E273" t="n">
        <v>4</v>
      </c>
      <c r="F273" t="n">
        <v>1</v>
      </c>
      <c r="G273" t="inlineStr">
        <is>
          <t>12:00</t>
        </is>
      </c>
      <c r="H273" t="inlineStr">
        <is>
          <t>12:45</t>
        </is>
      </c>
      <c r="I273" t="inlineStr">
        <is>
          <t>ENFASIS</t>
        </is>
      </c>
      <c r="J273" t="inlineStr"/>
      <c r="K273" t="inlineStr">
        <is>
          <t>ART</t>
        </is>
      </c>
      <c r="L273" t="inlineStr">
        <is>
          <t>D5-11°</t>
        </is>
      </c>
      <c r="M273" t="inlineStr">
        <is>
          <t>1101</t>
        </is>
      </c>
      <c r="N273" t="inlineStr">
        <is>
          <t>Montaño Anchico Favio Héctor (CAS); Ramírez Guerra Jimmy Eduardo (ERD); Villota Rubio Héctor Hugo (CNA)</t>
        </is>
      </c>
      <c r="O273" t="inlineStr">
        <is>
          <t>EQUIPO DE 4: cada docente atiende un grupo de estudiantes en su área</t>
        </is>
      </c>
      <c r="P273" t="inlineStr">
        <is>
          <t>ENFASIS-D5-11°</t>
        </is>
      </c>
      <c r="Q273">
        <f>IF(I273="ENFASIS","ÉNFASIS "&amp;M273,IFERROR(VLOOKUP(J273,Grupos!$A$2:$D$100,4,FALSE),J273))</f>
        <v/>
      </c>
      <c r="R273">
        <f>O273&amp;IF(N273&lt;&gt;"",IF(O273&lt;&gt;""," · ","")&amp;"Con: "&amp;N273,"")</f>
        <v/>
      </c>
      <c r="S273">
        <f>C273&amp;"|"&amp;D273</f>
        <v/>
      </c>
      <c r="T273">
        <f>COUNTIF($S$2:S273,S273)</f>
        <v/>
      </c>
      <c r="U273">
        <f>S273&amp;"|"&amp;T273</f>
        <v/>
      </c>
      <c r="V273">
        <f>IFERROR(VLOOKUP(IF(I273="ENFASIS",LEFT(M273,FIND("+",M273&amp;"+")-1),J273),Direccion_Grupo!$A$2:$G$100,7,FALSE),"")</f>
        <v/>
      </c>
    </row>
    <row r="274">
      <c r="A274" t="n">
        <v>30</v>
      </c>
      <c r="B274" t="inlineStr">
        <is>
          <t>Montaño Anchico Favio Héctor</t>
        </is>
      </c>
      <c r="C274" t="inlineStr">
        <is>
          <t>LUNES</t>
        </is>
      </c>
      <c r="D274" t="n">
        <v>7</v>
      </c>
      <c r="E274" t="n">
        <v>4</v>
      </c>
      <c r="F274" t="n">
        <v>1</v>
      </c>
      <c r="G274" t="inlineStr">
        <is>
          <t>12:00</t>
        </is>
      </c>
      <c r="H274" t="inlineStr">
        <is>
          <t>12:45</t>
        </is>
      </c>
      <c r="I274" t="inlineStr">
        <is>
          <t>ENFASIS</t>
        </is>
      </c>
      <c r="J274" t="inlineStr"/>
      <c r="K274" t="inlineStr">
        <is>
          <t>CAS</t>
        </is>
      </c>
      <c r="L274" t="inlineStr">
        <is>
          <t>D5-11°</t>
        </is>
      </c>
      <c r="M274" t="inlineStr">
        <is>
          <t>1101</t>
        </is>
      </c>
      <c r="N274" t="inlineStr">
        <is>
          <t>Arboleda Ortiz Luz América (ART); Ramírez Guerra Jimmy Eduardo (ERD); Villota Rubio Héctor Hugo (CNA)</t>
        </is>
      </c>
      <c r="O274" t="inlineStr">
        <is>
          <t>EQUIPO DE 4: cada docente atiende un grupo de estudiantes en su área</t>
        </is>
      </c>
      <c r="P274" t="inlineStr">
        <is>
          <t>ENFASIS-D5-11°</t>
        </is>
      </c>
      <c r="Q274">
        <f>IF(I274="ENFASIS","ÉNFASIS "&amp;M274,IFERROR(VLOOKUP(J274,Grupos!$A$2:$D$100,4,FALSE),J274))</f>
        <v/>
      </c>
      <c r="R274">
        <f>O274&amp;IF(N274&lt;&gt;"",IF(O274&lt;&gt;""," · ","")&amp;"Con: "&amp;N274,"")</f>
        <v/>
      </c>
      <c r="S274">
        <f>C274&amp;"|"&amp;D274</f>
        <v/>
      </c>
      <c r="T274">
        <f>COUNTIF($S$2:S274,S274)</f>
        <v/>
      </c>
      <c r="U274">
        <f>S274&amp;"|"&amp;T274</f>
        <v/>
      </c>
      <c r="V274">
        <f>IFERROR(VLOOKUP(IF(I274="ENFASIS",LEFT(M274,FIND("+",M274&amp;"+")-1),J274),Direccion_Grupo!$A$2:$G$100,7,FALSE),"")</f>
        <v/>
      </c>
    </row>
    <row r="275">
      <c r="A275" t="n">
        <v>43</v>
      </c>
      <c r="B275" t="inlineStr">
        <is>
          <t>Ramírez Guerra Jimmy Eduardo</t>
        </is>
      </c>
      <c r="C275" t="inlineStr">
        <is>
          <t>LUNES</t>
        </is>
      </c>
      <c r="D275" t="n">
        <v>7</v>
      </c>
      <c r="E275" t="n">
        <v>4</v>
      </c>
      <c r="F275" t="n">
        <v>1</v>
      </c>
      <c r="G275" t="inlineStr">
        <is>
          <t>12:00</t>
        </is>
      </c>
      <c r="H275" t="inlineStr">
        <is>
          <t>12:45</t>
        </is>
      </c>
      <c r="I275" t="inlineStr">
        <is>
          <t>ENFASIS</t>
        </is>
      </c>
      <c r="J275" t="inlineStr"/>
      <c r="K275" t="inlineStr">
        <is>
          <t>ERD</t>
        </is>
      </c>
      <c r="L275" t="inlineStr">
        <is>
          <t>D5-11°</t>
        </is>
      </c>
      <c r="M275" t="inlineStr">
        <is>
          <t>1101</t>
        </is>
      </c>
      <c r="N275" t="inlineStr">
        <is>
          <t>Arboleda Ortiz Luz América (ART); Montaño Anchico Favio Héctor (CAS); Villota Rubio Héctor Hugo (CNA)</t>
        </is>
      </c>
      <c r="O275" t="inlineStr">
        <is>
          <t>EQUIPO DE 4: cada docente atiende un grupo de estudiantes en su área</t>
        </is>
      </c>
      <c r="P275" t="inlineStr">
        <is>
          <t>ENFASIS-D5-11°</t>
        </is>
      </c>
      <c r="Q275">
        <f>IF(I275="ENFASIS","ÉNFASIS "&amp;M275,IFERROR(VLOOKUP(J275,Grupos!$A$2:$D$100,4,FALSE),J275))</f>
        <v/>
      </c>
      <c r="R275">
        <f>O275&amp;IF(N275&lt;&gt;"",IF(O275&lt;&gt;""," · ","")&amp;"Con: "&amp;N275,"")</f>
        <v/>
      </c>
      <c r="S275">
        <f>C275&amp;"|"&amp;D275</f>
        <v/>
      </c>
      <c r="T275">
        <f>COUNTIF($S$2:S275,S275)</f>
        <v/>
      </c>
      <c r="U275">
        <f>S275&amp;"|"&amp;T275</f>
        <v/>
      </c>
      <c r="V275">
        <f>IFERROR(VLOOKUP(IF(I275="ENFASIS",LEFT(M275,FIND("+",M275&amp;"+")-1),J275),Direccion_Grupo!$A$2:$G$100,7,FALSE),"")</f>
        <v/>
      </c>
    </row>
    <row r="276">
      <c r="A276" t="n">
        <v>53</v>
      </c>
      <c r="B276" t="inlineStr">
        <is>
          <t>Villota Rubio Héctor Hugo</t>
        </is>
      </c>
      <c r="C276" t="inlineStr">
        <is>
          <t>LUNES</t>
        </is>
      </c>
      <c r="D276" t="n">
        <v>7</v>
      </c>
      <c r="E276" t="n">
        <v>4</v>
      </c>
      <c r="F276" t="n">
        <v>1</v>
      </c>
      <c r="G276" t="inlineStr">
        <is>
          <t>12:00</t>
        </is>
      </c>
      <c r="H276" t="inlineStr">
        <is>
          <t>12:45</t>
        </is>
      </c>
      <c r="I276" t="inlineStr">
        <is>
          <t>ENFASIS</t>
        </is>
      </c>
      <c r="J276" t="inlineStr"/>
      <c r="K276" t="inlineStr">
        <is>
          <t>CNA</t>
        </is>
      </c>
      <c r="L276" t="inlineStr">
        <is>
          <t>D5-11°</t>
        </is>
      </c>
      <c r="M276" t="inlineStr">
        <is>
          <t>1101</t>
        </is>
      </c>
      <c r="N276" t="inlineStr">
        <is>
          <t>Arboleda Ortiz Luz América (ART); Montaño Anchico Favio Héctor (CAS); Ramírez Guerra Jimmy Eduardo (ERD)</t>
        </is>
      </c>
      <c r="O276" t="inlineStr">
        <is>
          <t>EQUIPO DE 4: cada docente atiende un grupo de estudiantes en su área</t>
        </is>
      </c>
      <c r="P276" t="inlineStr">
        <is>
          <t>ENFASIS-D5-11°</t>
        </is>
      </c>
      <c r="Q276">
        <f>IF(I276="ENFASIS","ÉNFASIS "&amp;M276,IFERROR(VLOOKUP(J276,Grupos!$A$2:$D$100,4,FALSE),J276))</f>
        <v/>
      </c>
      <c r="R276">
        <f>O276&amp;IF(N276&lt;&gt;"",IF(O276&lt;&gt;""," · ","")&amp;"Con: "&amp;N276,"")</f>
        <v/>
      </c>
      <c r="S276">
        <f>C276&amp;"|"&amp;D276</f>
        <v/>
      </c>
      <c r="T276">
        <f>COUNTIF($S$2:S276,S276)</f>
        <v/>
      </c>
      <c r="U276">
        <f>S276&amp;"|"&amp;T276</f>
        <v/>
      </c>
      <c r="V276">
        <f>IFERROR(VLOOKUP(IF(I276="ENFASIS",LEFT(M276,FIND("+",M276&amp;"+")-1),J276),Direccion_Grupo!$A$2:$G$100,7,FALSE),"")</f>
        <v/>
      </c>
    </row>
    <row r="277">
      <c r="A277" t="n">
        <v>22</v>
      </c>
      <c r="B277" t="inlineStr">
        <is>
          <t>González Castillo Jólmer Jimy</t>
        </is>
      </c>
      <c r="C277" t="inlineStr">
        <is>
          <t>LUNES</t>
        </is>
      </c>
      <c r="D277" t="n">
        <v>7</v>
      </c>
      <c r="E277" t="n">
        <v>4</v>
      </c>
      <c r="F277" t="n">
        <v>1</v>
      </c>
      <c r="G277" t="inlineStr">
        <is>
          <t>12:00</t>
        </is>
      </c>
      <c r="H277" t="inlineStr">
        <is>
          <t>12:45</t>
        </is>
      </c>
      <c r="I277" t="inlineStr">
        <is>
          <t>ENFASIS</t>
        </is>
      </c>
      <c r="J277" t="inlineStr"/>
      <c r="K277" t="inlineStr">
        <is>
          <t>ERD</t>
        </is>
      </c>
      <c r="L277" t="inlineStr">
        <is>
          <t>CS201</t>
        </is>
      </c>
      <c r="M277" t="inlineStr">
        <is>
          <t>CS201</t>
        </is>
      </c>
      <c r="N277" t="inlineStr">
        <is>
          <t>Valencia Marínez Saidy Eufemia (ART); Meza Banguera Gladys Alicia (CAS); Lemos Guancha Miriam (CNA)</t>
        </is>
      </c>
      <c r="O277" t="inlineStr">
        <is>
          <t>EQUIPO DE 4: cada docente atiende un grupo de estudiantes en su área</t>
        </is>
      </c>
      <c r="P277" t="inlineStr">
        <is>
          <t>ENFASIS-CS201</t>
        </is>
      </c>
      <c r="Q277">
        <f>IF(I277="ENFASIS","ÉNFASIS "&amp;M277,IFERROR(VLOOKUP(J277,Grupos!$A$2:$D$100,4,FALSE),J277))</f>
        <v/>
      </c>
      <c r="R277">
        <f>O277&amp;IF(N277&lt;&gt;"",IF(O277&lt;&gt;""," · ","")&amp;"Con: "&amp;N277,"")</f>
        <v/>
      </c>
      <c r="S277">
        <f>C277&amp;"|"&amp;D277</f>
        <v/>
      </c>
      <c r="T277">
        <f>COUNTIF($S$2:S277,S277)</f>
        <v/>
      </c>
      <c r="U277">
        <f>S277&amp;"|"&amp;T277</f>
        <v/>
      </c>
      <c r="V277">
        <f>IFERROR(VLOOKUP(IF(I277="ENFASIS",LEFT(M277,FIND("+",M277&amp;"+")-1),J277),Direccion_Grupo!$A$2:$G$100,7,FALSE),"")</f>
        <v/>
      </c>
    </row>
    <row r="278">
      <c r="A278" t="n">
        <v>25</v>
      </c>
      <c r="B278" t="inlineStr">
        <is>
          <t>Lemos Guancha Miriam</t>
        </is>
      </c>
      <c r="C278" t="inlineStr">
        <is>
          <t>LUNES</t>
        </is>
      </c>
      <c r="D278" t="n">
        <v>7</v>
      </c>
      <c r="E278" t="n">
        <v>4</v>
      </c>
      <c r="F278" t="n">
        <v>1</v>
      </c>
      <c r="G278" t="inlineStr">
        <is>
          <t>12:00</t>
        </is>
      </c>
      <c r="H278" t="inlineStr">
        <is>
          <t>12:45</t>
        </is>
      </c>
      <c r="I278" t="inlineStr">
        <is>
          <t>ENFASIS</t>
        </is>
      </c>
      <c r="J278" t="inlineStr"/>
      <c r="K278" t="inlineStr">
        <is>
          <t>CNA</t>
        </is>
      </c>
      <c r="L278" t="inlineStr">
        <is>
          <t>CS201</t>
        </is>
      </c>
      <c r="M278" t="inlineStr">
        <is>
          <t>CS201</t>
        </is>
      </c>
      <c r="N278" t="inlineStr">
        <is>
          <t>Valencia Marínez Saidy Eufemia (ART); Meza Banguera Gladys Alicia (CAS); González Castillo Jólmer Jimy (ERD)</t>
        </is>
      </c>
      <c r="O278" t="inlineStr">
        <is>
          <t>EQUIPO DE 4: cada docente atiende un grupo de estudiantes en su área</t>
        </is>
      </c>
      <c r="P278" t="inlineStr">
        <is>
          <t>ENFASIS-CS201</t>
        </is>
      </c>
      <c r="Q278">
        <f>IF(I278="ENFASIS","ÉNFASIS "&amp;M278,IFERROR(VLOOKUP(J278,Grupos!$A$2:$D$100,4,FALSE),J278))</f>
        <v/>
      </c>
      <c r="R278">
        <f>O278&amp;IF(N278&lt;&gt;"",IF(O278&lt;&gt;""," · ","")&amp;"Con: "&amp;N278,"")</f>
        <v/>
      </c>
      <c r="S278">
        <f>C278&amp;"|"&amp;D278</f>
        <v/>
      </c>
      <c r="T278">
        <f>COUNTIF($S$2:S278,S278)</f>
        <v/>
      </c>
      <c r="U278">
        <f>S278&amp;"|"&amp;T278</f>
        <v/>
      </c>
      <c r="V278">
        <f>IFERROR(VLOOKUP(IF(I278="ENFASIS",LEFT(M278,FIND("+",M278&amp;"+")-1),J278),Direccion_Grupo!$A$2:$G$100,7,FALSE),"")</f>
        <v/>
      </c>
    </row>
    <row r="279">
      <c r="A279" t="n">
        <v>28</v>
      </c>
      <c r="B279" t="inlineStr">
        <is>
          <t>Meza Banguera Gladys Alicia</t>
        </is>
      </c>
      <c r="C279" t="inlineStr">
        <is>
          <t>LUNES</t>
        </is>
      </c>
      <c r="D279" t="n">
        <v>7</v>
      </c>
      <c r="E279" t="n">
        <v>4</v>
      </c>
      <c r="F279" t="n">
        <v>1</v>
      </c>
      <c r="G279" t="inlineStr">
        <is>
          <t>12:00</t>
        </is>
      </c>
      <c r="H279" t="inlineStr">
        <is>
          <t>12:45</t>
        </is>
      </c>
      <c r="I279" t="inlineStr">
        <is>
          <t>ENFASIS</t>
        </is>
      </c>
      <c r="J279" t="inlineStr"/>
      <c r="K279" t="inlineStr">
        <is>
          <t>CAS</t>
        </is>
      </c>
      <c r="L279" t="inlineStr">
        <is>
          <t>CS201</t>
        </is>
      </c>
      <c r="M279" t="inlineStr">
        <is>
          <t>CS201</t>
        </is>
      </c>
      <c r="N279" t="inlineStr">
        <is>
          <t>Valencia Marínez Saidy Eufemia (ART); González Castillo Jólmer Jimy (ERD); Lemos Guancha Miriam (CNA)</t>
        </is>
      </c>
      <c r="O279" t="inlineStr">
        <is>
          <t>EQUIPO DE 4: cada docente atiende un grupo de estudiantes en su área</t>
        </is>
      </c>
      <c r="P279" t="inlineStr">
        <is>
          <t>ENFASIS-CS201</t>
        </is>
      </c>
      <c r="Q279">
        <f>IF(I279="ENFASIS","ÉNFASIS "&amp;M279,IFERROR(VLOOKUP(J279,Grupos!$A$2:$D$100,4,FALSE),J279))</f>
        <v/>
      </c>
      <c r="R279">
        <f>O279&amp;IF(N279&lt;&gt;"",IF(O279&lt;&gt;""," · ","")&amp;"Con: "&amp;N279,"")</f>
        <v/>
      </c>
      <c r="S279">
        <f>C279&amp;"|"&amp;D279</f>
        <v/>
      </c>
      <c r="T279">
        <f>COUNTIF($S$2:S279,S279)</f>
        <v/>
      </c>
      <c r="U279">
        <f>S279&amp;"|"&amp;T279</f>
        <v/>
      </c>
      <c r="V279">
        <f>IFERROR(VLOOKUP(IF(I279="ENFASIS",LEFT(M279,FIND("+",M279&amp;"+")-1),J279),Direccion_Grupo!$A$2:$G$100,7,FALSE),"")</f>
        <v/>
      </c>
    </row>
    <row r="280">
      <c r="A280" t="n">
        <v>49</v>
      </c>
      <c r="B280" t="inlineStr">
        <is>
          <t>Valencia Marínez Saidy Eufemia</t>
        </is>
      </c>
      <c r="C280" t="inlineStr">
        <is>
          <t>LUNES</t>
        </is>
      </c>
      <c r="D280" t="n">
        <v>7</v>
      </c>
      <c r="E280" t="n">
        <v>4</v>
      </c>
      <c r="F280" t="n">
        <v>1</v>
      </c>
      <c r="G280" t="inlineStr">
        <is>
          <t>12:00</t>
        </is>
      </c>
      <c r="H280" t="inlineStr">
        <is>
          <t>12:45</t>
        </is>
      </c>
      <c r="I280" t="inlineStr">
        <is>
          <t>ENFASIS</t>
        </is>
      </c>
      <c r="J280" t="inlineStr"/>
      <c r="K280" t="inlineStr">
        <is>
          <t>ART</t>
        </is>
      </c>
      <c r="L280" t="inlineStr">
        <is>
          <t>CS201</t>
        </is>
      </c>
      <c r="M280" t="inlineStr">
        <is>
          <t>CS201</t>
        </is>
      </c>
      <c r="N280" t="inlineStr">
        <is>
          <t>Meza Banguera Gladys Alicia (CAS); González Castillo Jólmer Jimy (ERD); Lemos Guancha Miriam (CNA)</t>
        </is>
      </c>
      <c r="O280" t="inlineStr">
        <is>
          <t>EQUIPO DE 4: cada docente atiende un grupo de estudiantes en su área</t>
        </is>
      </c>
      <c r="P280" t="inlineStr">
        <is>
          <t>ENFASIS-CS201</t>
        </is>
      </c>
      <c r="Q280">
        <f>IF(I280="ENFASIS","ÉNFASIS "&amp;M280,IFERROR(VLOOKUP(J280,Grupos!$A$2:$D$100,4,FALSE),J280))</f>
        <v/>
      </c>
      <c r="R280">
        <f>O280&amp;IF(N280&lt;&gt;"",IF(O280&lt;&gt;""," · ","")&amp;"Con: "&amp;N280,"")</f>
        <v/>
      </c>
      <c r="S280">
        <f>C280&amp;"|"&amp;D280</f>
        <v/>
      </c>
      <c r="T280">
        <f>COUNTIF($S$2:S280,S280)</f>
        <v/>
      </c>
      <c r="U280">
        <f>S280&amp;"|"&amp;T280</f>
        <v/>
      </c>
      <c r="V280">
        <f>IFERROR(VLOOKUP(IF(I280="ENFASIS",LEFT(M280,FIND("+",M280&amp;"+")-1),J280),Direccion_Grupo!$A$2:$G$100,7,FALSE),"")</f>
        <v/>
      </c>
    </row>
    <row r="281">
      <c r="A281" t="n">
        <v>20</v>
      </c>
      <c r="B281" t="inlineStr">
        <is>
          <t>García Gobea Saydi Magali</t>
        </is>
      </c>
      <c r="C281" t="inlineStr">
        <is>
          <t>LUNES</t>
        </is>
      </c>
      <c r="D281" t="n">
        <v>8</v>
      </c>
      <c r="E281" t="n">
        <v>4</v>
      </c>
      <c r="F281" t="n">
        <v>2</v>
      </c>
      <c r="G281" t="inlineStr">
        <is>
          <t>12:45</t>
        </is>
      </c>
      <c r="H281" t="inlineStr">
        <is>
          <t>13:30</t>
        </is>
      </c>
      <c r="I281" t="inlineStr">
        <is>
          <t>CLASE</t>
        </is>
      </c>
      <c r="J281" t="inlineStr">
        <is>
          <t>0601</t>
        </is>
      </c>
      <c r="K281" t="inlineStr">
        <is>
          <t>CSI</t>
        </is>
      </c>
      <c r="L281" t="inlineStr"/>
      <c r="M281" t="inlineStr"/>
      <c r="N281" t="inlineStr"/>
      <c r="O281" t="inlineStr">
        <is>
          <t>Sociales / Inglés (alternan cada semana)</t>
        </is>
      </c>
      <c r="P281" t="inlineStr">
        <is>
          <t>0601-CSI</t>
        </is>
      </c>
      <c r="Q281">
        <f>IF(I281="ENFASIS","ÉNFASIS "&amp;M281,IFERROR(VLOOKUP(J281,Grupos!$A$2:$D$100,4,FALSE),J281))</f>
        <v/>
      </c>
      <c r="R281">
        <f>O281&amp;IF(N281&lt;&gt;"",IF(O281&lt;&gt;""," · ","")&amp;"Con: "&amp;N281,"")</f>
        <v/>
      </c>
      <c r="S281">
        <f>C281&amp;"|"&amp;D281</f>
        <v/>
      </c>
      <c r="T281">
        <f>COUNTIF($S$2:S281,S281)</f>
        <v/>
      </c>
      <c r="U281">
        <f>S281&amp;"|"&amp;T281</f>
        <v/>
      </c>
      <c r="V281">
        <f>IFERROR(VLOOKUP(IF(I281="ENFASIS",LEFT(M281,FIND("+",M281&amp;"+")-1),J281),Direccion_Grupo!$A$2:$G$100,7,FALSE),"")</f>
        <v/>
      </c>
    </row>
    <row r="282">
      <c r="A282" t="n">
        <v>16</v>
      </c>
      <c r="B282" t="inlineStr">
        <is>
          <t>Cuero Rincón Hernando Jesús</t>
        </is>
      </c>
      <c r="C282" t="inlineStr">
        <is>
          <t>LUNES</t>
        </is>
      </c>
      <c r="D282" t="n">
        <v>8</v>
      </c>
      <c r="E282" t="n">
        <v>4</v>
      </c>
      <c r="F282" t="n">
        <v>2</v>
      </c>
      <c r="G282" t="inlineStr">
        <is>
          <t>12:45</t>
        </is>
      </c>
      <c r="H282" t="inlineStr">
        <is>
          <t>13:30</t>
        </is>
      </c>
      <c r="I282" t="inlineStr">
        <is>
          <t>CLASE</t>
        </is>
      </c>
      <c r="J282" t="inlineStr">
        <is>
          <t>0602</t>
        </is>
      </c>
      <c r="K282" t="inlineStr">
        <is>
          <t>CAS</t>
        </is>
      </c>
      <c r="L282" t="inlineStr"/>
      <c r="M282" t="inlineStr"/>
      <c r="N282" t="inlineStr"/>
      <c r="O282" t="inlineStr"/>
      <c r="P282" t="inlineStr">
        <is>
          <t>0602-CAS</t>
        </is>
      </c>
      <c r="Q282">
        <f>IF(I282="ENFASIS","ÉNFASIS "&amp;M282,IFERROR(VLOOKUP(J282,Grupos!$A$2:$D$100,4,FALSE),J282))</f>
        <v/>
      </c>
      <c r="R282">
        <f>O282&amp;IF(N282&lt;&gt;"",IF(O282&lt;&gt;""," · ","")&amp;"Con: "&amp;N282,"")</f>
        <v/>
      </c>
      <c r="S282">
        <f>C282&amp;"|"&amp;D282</f>
        <v/>
      </c>
      <c r="T282">
        <f>COUNTIF($S$2:S282,S282)</f>
        <v/>
      </c>
      <c r="U282">
        <f>S282&amp;"|"&amp;T282</f>
        <v/>
      </c>
      <c r="V282">
        <f>IFERROR(VLOOKUP(IF(I282="ENFASIS",LEFT(M282,FIND("+",M282&amp;"+")-1),J282),Direccion_Grupo!$A$2:$G$100,7,FALSE),"")</f>
        <v/>
      </c>
    </row>
    <row r="283">
      <c r="A283" t="n">
        <v>34</v>
      </c>
      <c r="B283" t="inlineStr">
        <is>
          <t>Ordóñez Tenorio Jaime Marcial</t>
        </is>
      </c>
      <c r="C283" t="inlineStr">
        <is>
          <t>LUNES</t>
        </is>
      </c>
      <c r="D283" t="n">
        <v>8</v>
      </c>
      <c r="E283" t="n">
        <v>4</v>
      </c>
      <c r="F283" t="n">
        <v>2</v>
      </c>
      <c r="G283" t="inlineStr">
        <is>
          <t>12:45</t>
        </is>
      </c>
      <c r="H283" t="inlineStr">
        <is>
          <t>13:30</t>
        </is>
      </c>
      <c r="I283" t="inlineStr">
        <is>
          <t>CLASE</t>
        </is>
      </c>
      <c r="J283" t="inlineStr">
        <is>
          <t>0701</t>
        </is>
      </c>
      <c r="K283" t="inlineStr">
        <is>
          <t>CNA</t>
        </is>
      </c>
      <c r="L283" t="inlineStr"/>
      <c r="M283" t="inlineStr"/>
      <c r="N283" t="inlineStr"/>
      <c r="O283" t="inlineStr"/>
      <c r="P283" t="inlineStr">
        <is>
          <t>0701-CNA</t>
        </is>
      </c>
      <c r="Q283">
        <f>IF(I283="ENFASIS","ÉNFASIS "&amp;M283,IFERROR(VLOOKUP(J283,Grupos!$A$2:$D$100,4,FALSE),J283))</f>
        <v/>
      </c>
      <c r="R283">
        <f>O283&amp;IF(N283&lt;&gt;"",IF(O283&lt;&gt;""," · ","")&amp;"Con: "&amp;N283,"")</f>
        <v/>
      </c>
      <c r="S283">
        <f>C283&amp;"|"&amp;D283</f>
        <v/>
      </c>
      <c r="T283">
        <f>COUNTIF($S$2:S283,S283)</f>
        <v/>
      </c>
      <c r="U283">
        <f>S283&amp;"|"&amp;T283</f>
        <v/>
      </c>
      <c r="V283">
        <f>IFERROR(VLOOKUP(IF(I283="ENFASIS",LEFT(M283,FIND("+",M283&amp;"+")-1),J283),Direccion_Grupo!$A$2:$G$100,7,FALSE),"")</f>
        <v/>
      </c>
    </row>
    <row r="284">
      <c r="A284" t="n">
        <v>1</v>
      </c>
      <c r="B284" t="inlineStr">
        <is>
          <t>Aguirre Riascos Jorge Andrés</t>
        </is>
      </c>
      <c r="C284" t="inlineStr">
        <is>
          <t>LUNES</t>
        </is>
      </c>
      <c r="D284" t="n">
        <v>8</v>
      </c>
      <c r="E284" t="n">
        <v>4</v>
      </c>
      <c r="F284" t="n">
        <v>2</v>
      </c>
      <c r="G284" t="inlineStr">
        <is>
          <t>12:45</t>
        </is>
      </c>
      <c r="H284" t="inlineStr">
        <is>
          <t>13:30</t>
        </is>
      </c>
      <c r="I284" t="inlineStr">
        <is>
          <t>CLASE</t>
        </is>
      </c>
      <c r="J284" t="inlineStr">
        <is>
          <t>0702</t>
        </is>
      </c>
      <c r="K284" t="inlineStr">
        <is>
          <t>TEI</t>
        </is>
      </c>
      <c r="L284" t="inlineStr"/>
      <c r="M284" t="inlineStr"/>
      <c r="N284" t="inlineStr"/>
      <c r="O284" t="inlineStr"/>
      <c r="P284" t="inlineStr">
        <is>
          <t>0702-TEI</t>
        </is>
      </c>
      <c r="Q284">
        <f>IF(I284="ENFASIS","ÉNFASIS "&amp;M284,IFERROR(VLOOKUP(J284,Grupos!$A$2:$D$100,4,FALSE),J284))</f>
        <v/>
      </c>
      <c r="R284">
        <f>O284&amp;IF(N284&lt;&gt;"",IF(O284&lt;&gt;""," · ","")&amp;"Con: "&amp;N284,"")</f>
        <v/>
      </c>
      <c r="S284">
        <f>C284&amp;"|"&amp;D284</f>
        <v/>
      </c>
      <c r="T284">
        <f>COUNTIF($S$2:S284,S284)</f>
        <v/>
      </c>
      <c r="U284">
        <f>S284&amp;"|"&amp;T284</f>
        <v/>
      </c>
      <c r="V284">
        <f>IFERROR(VLOOKUP(IF(I284="ENFASIS",LEFT(M284,FIND("+",M284&amp;"+")-1),J284),Direccion_Grupo!$A$2:$G$100,7,FALSE),"")</f>
        <v/>
      </c>
    </row>
    <row r="285">
      <c r="A285" t="n">
        <v>8</v>
      </c>
      <c r="B285" t="inlineStr">
        <is>
          <t>Casanova Quiñones Yoli del Carmen</t>
        </is>
      </c>
      <c r="C285" t="inlineStr">
        <is>
          <t>LUNES</t>
        </is>
      </c>
      <c r="D285" t="n">
        <v>8</v>
      </c>
      <c r="E285" t="n">
        <v>4</v>
      </c>
      <c r="F285" t="n">
        <v>2</v>
      </c>
      <c r="G285" t="inlineStr">
        <is>
          <t>12:45</t>
        </is>
      </c>
      <c r="H285" t="inlineStr">
        <is>
          <t>13:30</t>
        </is>
      </c>
      <c r="I285" t="inlineStr">
        <is>
          <t>CLASE</t>
        </is>
      </c>
      <c r="J285" t="inlineStr">
        <is>
          <t>0703</t>
        </is>
      </c>
      <c r="K285" t="inlineStr">
        <is>
          <t>ETR</t>
        </is>
      </c>
      <c r="L285" t="inlineStr"/>
      <c r="M285" t="inlineStr"/>
      <c r="N285" t="inlineStr"/>
      <c r="O285" t="inlineStr">
        <is>
          <t>Ética / Religión (alternan cada semana)</t>
        </is>
      </c>
      <c r="P285" t="inlineStr">
        <is>
          <t>0703-REL</t>
        </is>
      </c>
      <c r="Q285">
        <f>IF(I285="ENFASIS","ÉNFASIS "&amp;M285,IFERROR(VLOOKUP(J285,Grupos!$A$2:$D$100,4,FALSE),J285))</f>
        <v/>
      </c>
      <c r="R285">
        <f>O285&amp;IF(N285&lt;&gt;"",IF(O285&lt;&gt;""," · ","")&amp;"Con: "&amp;N285,"")</f>
        <v/>
      </c>
      <c r="S285">
        <f>C285&amp;"|"&amp;D285</f>
        <v/>
      </c>
      <c r="T285">
        <f>COUNTIF($S$2:S285,S285)</f>
        <v/>
      </c>
      <c r="U285">
        <f>S285&amp;"|"&amp;T285</f>
        <v/>
      </c>
      <c r="V285">
        <f>IFERROR(VLOOKUP(IF(I285="ENFASIS",LEFT(M285,FIND("+",M285&amp;"+")-1),J285),Direccion_Grupo!$A$2:$G$100,7,FALSE),"")</f>
        <v/>
      </c>
    </row>
    <row r="286">
      <c r="A286" t="n">
        <v>10</v>
      </c>
      <c r="B286" t="inlineStr">
        <is>
          <t>Castillo Cuero Daira Eneida</t>
        </is>
      </c>
      <c r="C286" t="inlineStr">
        <is>
          <t>LUNES</t>
        </is>
      </c>
      <c r="D286" t="n">
        <v>8</v>
      </c>
      <c r="E286" t="n">
        <v>4</v>
      </c>
      <c r="F286" t="n">
        <v>2</v>
      </c>
      <c r="G286" t="inlineStr">
        <is>
          <t>12:45</t>
        </is>
      </c>
      <c r="H286" t="inlineStr">
        <is>
          <t>13:30</t>
        </is>
      </c>
      <c r="I286" t="inlineStr">
        <is>
          <t>CLASE</t>
        </is>
      </c>
      <c r="J286" t="inlineStr">
        <is>
          <t>0704</t>
        </is>
      </c>
      <c r="K286" t="inlineStr">
        <is>
          <t>CAS</t>
        </is>
      </c>
      <c r="L286" t="inlineStr"/>
      <c r="M286" t="inlineStr"/>
      <c r="N286" t="inlineStr"/>
      <c r="O286" t="inlineStr"/>
      <c r="P286" t="inlineStr">
        <is>
          <t>0704-CAS</t>
        </is>
      </c>
      <c r="Q286">
        <f>IF(I286="ENFASIS","ÉNFASIS "&amp;M286,IFERROR(VLOOKUP(J286,Grupos!$A$2:$D$100,4,FALSE),J286))</f>
        <v/>
      </c>
      <c r="R286">
        <f>O286&amp;IF(N286&lt;&gt;"",IF(O286&lt;&gt;""," · ","")&amp;"Con: "&amp;N286,"")</f>
        <v/>
      </c>
      <c r="S286">
        <f>C286&amp;"|"&amp;D286</f>
        <v/>
      </c>
      <c r="T286">
        <f>COUNTIF($S$2:S286,S286)</f>
        <v/>
      </c>
      <c r="U286">
        <f>S286&amp;"|"&amp;T286</f>
        <v/>
      </c>
      <c r="V286">
        <f>IFERROR(VLOOKUP(IF(I286="ENFASIS",LEFT(M286,FIND("+",M286&amp;"+")-1),J286),Direccion_Grupo!$A$2:$G$100,7,FALSE),"")</f>
        <v/>
      </c>
    </row>
    <row r="287">
      <c r="A287" t="n">
        <v>38</v>
      </c>
      <c r="B287" t="inlineStr">
        <is>
          <t>Preciado Torres Oleisa</t>
        </is>
      </c>
      <c r="C287" t="inlineStr">
        <is>
          <t>LUNES</t>
        </is>
      </c>
      <c r="D287" t="n">
        <v>8</v>
      </c>
      <c r="E287" t="n">
        <v>4</v>
      </c>
      <c r="F287" t="n">
        <v>2</v>
      </c>
      <c r="G287" t="inlineStr">
        <is>
          <t>12:45</t>
        </is>
      </c>
      <c r="H287" t="inlineStr">
        <is>
          <t>13:30</t>
        </is>
      </c>
      <c r="I287" t="inlineStr">
        <is>
          <t>CLASE</t>
        </is>
      </c>
      <c r="J287" t="inlineStr">
        <is>
          <t>0801</t>
        </is>
      </c>
      <c r="K287" t="inlineStr">
        <is>
          <t>MAT</t>
        </is>
      </c>
      <c r="L287" t="inlineStr"/>
      <c r="M287" t="inlineStr"/>
      <c r="N287" t="inlineStr"/>
      <c r="O287" t="inlineStr"/>
      <c r="P287" t="inlineStr">
        <is>
          <t>0801-MAT</t>
        </is>
      </c>
      <c r="Q287">
        <f>IF(I287="ENFASIS","ÉNFASIS "&amp;M287,IFERROR(VLOOKUP(J287,Grupos!$A$2:$D$100,4,FALSE),J287))</f>
        <v/>
      </c>
      <c r="R287">
        <f>O287&amp;IF(N287&lt;&gt;"",IF(O287&lt;&gt;""," · ","")&amp;"Con: "&amp;N287,"")</f>
        <v/>
      </c>
      <c r="S287">
        <f>C287&amp;"|"&amp;D287</f>
        <v/>
      </c>
      <c r="T287">
        <f>COUNTIF($S$2:S287,S287)</f>
        <v/>
      </c>
      <c r="U287">
        <f>S287&amp;"|"&amp;T287</f>
        <v/>
      </c>
      <c r="V287">
        <f>IFERROR(VLOOKUP(IF(I287="ENFASIS",LEFT(M287,FIND("+",M287&amp;"+")-1),J287),Direccion_Grupo!$A$2:$G$100,7,FALSE),"")</f>
        <v/>
      </c>
    </row>
    <row r="288">
      <c r="A288" t="n">
        <v>12</v>
      </c>
      <c r="B288" t="inlineStr">
        <is>
          <t>Chillambo Quiñones María Rocío</t>
        </is>
      </c>
      <c r="C288" t="inlineStr">
        <is>
          <t>LUNES</t>
        </is>
      </c>
      <c r="D288" t="n">
        <v>8</v>
      </c>
      <c r="E288" t="n">
        <v>4</v>
      </c>
      <c r="F288" t="n">
        <v>2</v>
      </c>
      <c r="G288" t="inlineStr">
        <is>
          <t>12:45</t>
        </is>
      </c>
      <c r="H288" t="inlineStr">
        <is>
          <t>13:30</t>
        </is>
      </c>
      <c r="I288" t="inlineStr">
        <is>
          <t>CLASE</t>
        </is>
      </c>
      <c r="J288" t="inlineStr">
        <is>
          <t>0802</t>
        </is>
      </c>
      <c r="K288" t="inlineStr">
        <is>
          <t>CNA</t>
        </is>
      </c>
      <c r="L288" t="inlineStr"/>
      <c r="M288" t="inlineStr"/>
      <c r="N288" t="inlineStr"/>
      <c r="O288" t="inlineStr"/>
      <c r="P288" t="inlineStr">
        <is>
          <t>0802-CNA</t>
        </is>
      </c>
      <c r="Q288">
        <f>IF(I288="ENFASIS","ÉNFASIS "&amp;M288,IFERROR(VLOOKUP(J288,Grupos!$A$2:$D$100,4,FALSE),J288))</f>
        <v/>
      </c>
      <c r="R288">
        <f>O288&amp;IF(N288&lt;&gt;"",IF(O288&lt;&gt;""," · ","")&amp;"Con: "&amp;N288,"")</f>
        <v/>
      </c>
      <c r="S288">
        <f>C288&amp;"|"&amp;D288</f>
        <v/>
      </c>
      <c r="T288">
        <f>COUNTIF($S$2:S288,S288)</f>
        <v/>
      </c>
      <c r="U288">
        <f>S288&amp;"|"&amp;T288</f>
        <v/>
      </c>
      <c r="V288">
        <f>IFERROR(VLOOKUP(IF(I288="ENFASIS",LEFT(M288,FIND("+",M288&amp;"+")-1),J288),Direccion_Grupo!$A$2:$G$100,7,FALSE),"")</f>
        <v/>
      </c>
    </row>
    <row r="289">
      <c r="A289" t="n">
        <v>18</v>
      </c>
      <c r="B289" t="inlineStr">
        <is>
          <t>Estacio Estupiñán Rosario</t>
        </is>
      </c>
      <c r="C289" t="inlineStr">
        <is>
          <t>LUNES</t>
        </is>
      </c>
      <c r="D289" t="n">
        <v>8</v>
      </c>
      <c r="E289" t="n">
        <v>4</v>
      </c>
      <c r="F289" t="n">
        <v>2</v>
      </c>
      <c r="G289" t="inlineStr">
        <is>
          <t>12:45</t>
        </is>
      </c>
      <c r="H289" t="inlineStr">
        <is>
          <t>13:30</t>
        </is>
      </c>
      <c r="I289" t="inlineStr">
        <is>
          <t>CLASE</t>
        </is>
      </c>
      <c r="J289" t="inlineStr">
        <is>
          <t>0901</t>
        </is>
      </c>
      <c r="K289" t="inlineStr">
        <is>
          <t>ETR</t>
        </is>
      </c>
      <c r="L289" t="inlineStr"/>
      <c r="M289" t="inlineStr"/>
      <c r="N289" t="inlineStr"/>
      <c r="O289" t="inlineStr">
        <is>
          <t>Ética / Religión (alternan cada semana)</t>
        </is>
      </c>
      <c r="P289" t="inlineStr">
        <is>
          <t>0901-ETR</t>
        </is>
      </c>
      <c r="Q289">
        <f>IF(I289="ENFASIS","ÉNFASIS "&amp;M289,IFERROR(VLOOKUP(J289,Grupos!$A$2:$D$100,4,FALSE),J289))</f>
        <v/>
      </c>
      <c r="R289">
        <f>O289&amp;IF(N289&lt;&gt;"",IF(O289&lt;&gt;""," · ","")&amp;"Con: "&amp;N289,"")</f>
        <v/>
      </c>
      <c r="S289">
        <f>C289&amp;"|"&amp;D289</f>
        <v/>
      </c>
      <c r="T289">
        <f>COUNTIF($S$2:S289,S289)</f>
        <v/>
      </c>
      <c r="U289">
        <f>S289&amp;"|"&amp;T289</f>
        <v/>
      </c>
      <c r="V289">
        <f>IFERROR(VLOOKUP(IF(I289="ENFASIS",LEFT(M289,FIND("+",M289&amp;"+")-1),J289),Direccion_Grupo!$A$2:$G$100,7,FALSE),"")</f>
        <v/>
      </c>
    </row>
    <row r="290">
      <c r="A290" t="n">
        <v>5</v>
      </c>
      <c r="B290" t="inlineStr">
        <is>
          <t>Bastidas Valencia Zeneida Judith</t>
        </is>
      </c>
      <c r="C290" t="inlineStr">
        <is>
          <t>LUNES</t>
        </is>
      </c>
      <c r="D290" t="n">
        <v>8</v>
      </c>
      <c r="E290" t="n">
        <v>4</v>
      </c>
      <c r="F290" t="n">
        <v>2</v>
      </c>
      <c r="G290" t="inlineStr">
        <is>
          <t>12:45</t>
        </is>
      </c>
      <c r="H290" t="inlineStr">
        <is>
          <t>13:30</t>
        </is>
      </c>
      <c r="I290" t="inlineStr">
        <is>
          <t>CLASE</t>
        </is>
      </c>
      <c r="J290" t="inlineStr">
        <is>
          <t>0902</t>
        </is>
      </c>
      <c r="K290" t="inlineStr">
        <is>
          <t>MAT</t>
        </is>
      </c>
      <c r="L290" t="inlineStr"/>
      <c r="M290" t="inlineStr"/>
      <c r="N290" t="inlineStr"/>
      <c r="O290" t="inlineStr"/>
      <c r="P290" t="inlineStr">
        <is>
          <t>0902-MAT</t>
        </is>
      </c>
      <c r="Q290">
        <f>IF(I290="ENFASIS","ÉNFASIS "&amp;M290,IFERROR(VLOOKUP(J290,Grupos!$A$2:$D$100,4,FALSE),J290))</f>
        <v/>
      </c>
      <c r="R290">
        <f>O290&amp;IF(N290&lt;&gt;"",IF(O290&lt;&gt;""," · ","")&amp;"Con: "&amp;N290,"")</f>
        <v/>
      </c>
      <c r="S290">
        <f>C290&amp;"|"&amp;D290</f>
        <v/>
      </c>
      <c r="T290">
        <f>COUNTIF($S$2:S290,S290)</f>
        <v/>
      </c>
      <c r="U290">
        <f>S290&amp;"|"&amp;T290</f>
        <v/>
      </c>
      <c r="V290">
        <f>IFERROR(VLOOKUP(IF(I290="ENFASIS",LEFT(M290,FIND("+",M290&amp;"+")-1),J290),Direccion_Grupo!$A$2:$G$100,7,FALSE),"")</f>
        <v/>
      </c>
    </row>
    <row r="291">
      <c r="A291" t="n">
        <v>29</v>
      </c>
      <c r="B291" t="inlineStr">
        <is>
          <t>Mindineros Satizábal John Jáver</t>
        </is>
      </c>
      <c r="C291" t="inlineStr">
        <is>
          <t>LUNES</t>
        </is>
      </c>
      <c r="D291" t="n">
        <v>8</v>
      </c>
      <c r="E291" t="n">
        <v>4</v>
      </c>
      <c r="F291" t="n">
        <v>2</v>
      </c>
      <c r="G291" t="inlineStr">
        <is>
          <t>12:45</t>
        </is>
      </c>
      <c r="H291" t="inlineStr">
        <is>
          <t>13:30</t>
        </is>
      </c>
      <c r="I291" t="inlineStr">
        <is>
          <t>CLASE</t>
        </is>
      </c>
      <c r="J291" t="inlineStr">
        <is>
          <t>1001</t>
        </is>
      </c>
      <c r="K291" t="inlineStr">
        <is>
          <t>TEI</t>
        </is>
      </c>
      <c r="L291" t="inlineStr"/>
      <c r="M291" t="inlineStr"/>
      <c r="N291" t="inlineStr"/>
      <c r="O291" t="inlineStr"/>
      <c r="P291" t="inlineStr">
        <is>
          <t>1001-TEI</t>
        </is>
      </c>
      <c r="Q291">
        <f>IF(I291="ENFASIS","ÉNFASIS "&amp;M291,IFERROR(VLOOKUP(J291,Grupos!$A$2:$D$100,4,FALSE),J291))</f>
        <v/>
      </c>
      <c r="R291">
        <f>O291&amp;IF(N291&lt;&gt;"",IF(O291&lt;&gt;""," · ","")&amp;"Con: "&amp;N291,"")</f>
        <v/>
      </c>
      <c r="S291">
        <f>C291&amp;"|"&amp;D291</f>
        <v/>
      </c>
      <c r="T291">
        <f>COUNTIF($S$2:S291,S291)</f>
        <v/>
      </c>
      <c r="U291">
        <f>S291&amp;"|"&amp;T291</f>
        <v/>
      </c>
      <c r="V291">
        <f>IFERROR(VLOOKUP(IF(I291="ENFASIS",LEFT(M291,FIND("+",M291&amp;"+")-1),J291),Direccion_Grupo!$A$2:$G$100,7,FALSE),"")</f>
        <v/>
      </c>
    </row>
    <row r="292">
      <c r="A292" t="n">
        <v>2</v>
      </c>
      <c r="B292" t="inlineStr">
        <is>
          <t>Angulo Lucero Andrés Mauricio</t>
        </is>
      </c>
      <c r="C292" t="inlineStr">
        <is>
          <t>LUNES</t>
        </is>
      </c>
      <c r="D292" t="n">
        <v>8</v>
      </c>
      <c r="E292" t="n">
        <v>4</v>
      </c>
      <c r="F292" t="n">
        <v>2</v>
      </c>
      <c r="G292" t="inlineStr">
        <is>
          <t>12:45</t>
        </is>
      </c>
      <c r="H292" t="inlineStr">
        <is>
          <t>13:30</t>
        </is>
      </c>
      <c r="I292" t="inlineStr">
        <is>
          <t>CLASE</t>
        </is>
      </c>
      <c r="J292" t="inlineStr">
        <is>
          <t>1002</t>
        </is>
      </c>
      <c r="K292" t="inlineStr">
        <is>
          <t>TEI</t>
        </is>
      </c>
      <c r="L292" t="inlineStr"/>
      <c r="M292" t="inlineStr"/>
      <c r="N292" t="inlineStr"/>
      <c r="O292" t="inlineStr"/>
      <c r="P292" t="inlineStr">
        <is>
          <t>1002-TEI</t>
        </is>
      </c>
      <c r="Q292">
        <f>IF(I292="ENFASIS","ÉNFASIS "&amp;M292,IFERROR(VLOOKUP(J292,Grupos!$A$2:$D$100,4,FALSE),J292))</f>
        <v/>
      </c>
      <c r="R292">
        <f>O292&amp;IF(N292&lt;&gt;"",IF(O292&lt;&gt;""," · ","")&amp;"Con: "&amp;N292,"")</f>
        <v/>
      </c>
      <c r="S292">
        <f>C292&amp;"|"&amp;D292</f>
        <v/>
      </c>
      <c r="T292">
        <f>COUNTIF($S$2:S292,S292)</f>
        <v/>
      </c>
      <c r="U292">
        <f>S292&amp;"|"&amp;T292</f>
        <v/>
      </c>
      <c r="V292">
        <f>IFERROR(VLOOKUP(IF(I292="ENFASIS",LEFT(M292,FIND("+",M292&amp;"+")-1),J292),Direccion_Grupo!$A$2:$G$100,7,FALSE),"")</f>
        <v/>
      </c>
    </row>
    <row r="293">
      <c r="A293" t="n">
        <v>31</v>
      </c>
      <c r="B293" t="inlineStr">
        <is>
          <t>Montaño Arizala Leidis Claudina</t>
        </is>
      </c>
      <c r="C293" t="inlineStr">
        <is>
          <t>LUNES</t>
        </is>
      </c>
      <c r="D293" t="n">
        <v>8</v>
      </c>
      <c r="E293" t="n">
        <v>4</v>
      </c>
      <c r="F293" t="n">
        <v>2</v>
      </c>
      <c r="G293" t="inlineStr">
        <is>
          <t>12:45</t>
        </is>
      </c>
      <c r="H293" t="inlineStr">
        <is>
          <t>13:30</t>
        </is>
      </c>
      <c r="I293" t="inlineStr">
        <is>
          <t>CLASE</t>
        </is>
      </c>
      <c r="J293" t="inlineStr">
        <is>
          <t>1102</t>
        </is>
      </c>
      <c r="K293" t="inlineStr">
        <is>
          <t>ETR</t>
        </is>
      </c>
      <c r="L293" t="inlineStr"/>
      <c r="M293" t="inlineStr"/>
      <c r="N293" t="inlineStr"/>
      <c r="O293" t="inlineStr">
        <is>
          <t>Ética / Religión (alternan cada semana)</t>
        </is>
      </c>
      <c r="P293" t="inlineStr">
        <is>
          <t>1102-ETR</t>
        </is>
      </c>
      <c r="Q293">
        <f>IF(I293="ENFASIS","ÉNFASIS "&amp;M293,IFERROR(VLOOKUP(J293,Grupos!$A$2:$D$100,4,FALSE),J293))</f>
        <v/>
      </c>
      <c r="R293">
        <f>O293&amp;IF(N293&lt;&gt;"",IF(O293&lt;&gt;""," · ","")&amp;"Con: "&amp;N293,"")</f>
        <v/>
      </c>
      <c r="S293">
        <f>C293&amp;"|"&amp;D293</f>
        <v/>
      </c>
      <c r="T293">
        <f>COUNTIF($S$2:S293,S293)</f>
        <v/>
      </c>
      <c r="U293">
        <f>S293&amp;"|"&amp;T293</f>
        <v/>
      </c>
      <c r="V293">
        <f>IFERROR(VLOOKUP(IF(I293="ENFASIS",LEFT(M293,FIND("+",M293&amp;"+")-1),J293),Direccion_Grupo!$A$2:$G$100,7,FALSE),"")</f>
        <v/>
      </c>
    </row>
    <row r="294">
      <c r="A294" t="n">
        <v>57</v>
      </c>
      <c r="B294" t="inlineStr">
        <is>
          <t>Armero Dájome Jesús</t>
        </is>
      </c>
      <c r="C294" t="inlineStr">
        <is>
          <t>LUNES</t>
        </is>
      </c>
      <c r="D294" t="n">
        <v>8</v>
      </c>
      <c r="E294" t="n">
        <v>4</v>
      </c>
      <c r="F294" t="n">
        <v>2</v>
      </c>
      <c r="G294" t="inlineStr">
        <is>
          <t>12:45</t>
        </is>
      </c>
      <c r="H294" t="inlineStr">
        <is>
          <t>13:30</t>
        </is>
      </c>
      <c r="I294" t="inlineStr">
        <is>
          <t>CLASE</t>
        </is>
      </c>
      <c r="J294" t="inlineStr">
        <is>
          <t>CS101</t>
        </is>
      </c>
      <c r="K294" t="inlineStr">
        <is>
          <t>ERD</t>
        </is>
      </c>
      <c r="L294" t="inlineStr"/>
      <c r="M294" t="inlineStr"/>
      <c r="N294" t="inlineStr"/>
      <c r="O294" t="inlineStr"/>
      <c r="P294" t="inlineStr">
        <is>
          <t>CS101-ERD</t>
        </is>
      </c>
      <c r="Q294">
        <f>IF(I294="ENFASIS","ÉNFASIS "&amp;M294,IFERROR(VLOOKUP(J294,Grupos!$A$2:$D$100,4,FALSE),J294))</f>
        <v/>
      </c>
      <c r="R294">
        <f>O294&amp;IF(N294&lt;&gt;"",IF(O294&lt;&gt;""," · ","")&amp;"Con: "&amp;N294,"")</f>
        <v/>
      </c>
      <c r="S294">
        <f>C294&amp;"|"&amp;D294</f>
        <v/>
      </c>
      <c r="T294">
        <f>COUNTIF($S$2:S294,S294)</f>
        <v/>
      </c>
      <c r="U294">
        <f>S294&amp;"|"&amp;T294</f>
        <v/>
      </c>
      <c r="V294">
        <f>IFERROR(VLOOKUP(IF(I294="ENFASIS",LEFT(M294,FIND("+",M294&amp;"+")-1),J294),Direccion_Grupo!$A$2:$G$100,7,FALSE),"")</f>
        <v/>
      </c>
    </row>
    <row r="295">
      <c r="A295" t="n">
        <v>42</v>
      </c>
      <c r="B295" t="inlineStr">
        <is>
          <t>Quiñones Cabezas Marcos Vidal</t>
        </is>
      </c>
      <c r="C295" t="inlineStr">
        <is>
          <t>LUNES</t>
        </is>
      </c>
      <c r="D295" t="n">
        <v>8</v>
      </c>
      <c r="E295" t="n">
        <v>4</v>
      </c>
      <c r="F295" t="n">
        <v>2</v>
      </c>
      <c r="G295" t="inlineStr">
        <is>
          <t>12:45</t>
        </is>
      </c>
      <c r="H295" t="inlineStr">
        <is>
          <t>13:30</t>
        </is>
      </c>
      <c r="I295" t="inlineStr">
        <is>
          <t>CLASE</t>
        </is>
      </c>
      <c r="J295" t="inlineStr">
        <is>
          <t>CS102</t>
        </is>
      </c>
      <c r="K295" t="inlineStr">
        <is>
          <t>MAT</t>
        </is>
      </c>
      <c r="L295" t="inlineStr"/>
      <c r="M295" t="inlineStr"/>
      <c r="N295" t="inlineStr"/>
      <c r="O295" t="inlineStr"/>
      <c r="P295" t="inlineStr">
        <is>
          <t>CS102-MAT</t>
        </is>
      </c>
      <c r="Q295">
        <f>IF(I295="ENFASIS","ÉNFASIS "&amp;M295,IFERROR(VLOOKUP(J295,Grupos!$A$2:$D$100,4,FALSE),J295))</f>
        <v/>
      </c>
      <c r="R295">
        <f>O295&amp;IF(N295&lt;&gt;"",IF(O295&lt;&gt;""," · ","")&amp;"Con: "&amp;N295,"")</f>
        <v/>
      </c>
      <c r="S295">
        <f>C295&amp;"|"&amp;D295</f>
        <v/>
      </c>
      <c r="T295">
        <f>COUNTIF($S$2:S295,S295)</f>
        <v/>
      </c>
      <c r="U295">
        <f>S295&amp;"|"&amp;T295</f>
        <v/>
      </c>
      <c r="V295">
        <f>IFERROR(VLOOKUP(IF(I295="ENFASIS",LEFT(M295,FIND("+",M295&amp;"+")-1),J295),Direccion_Grupo!$A$2:$G$100,7,FALSE),"")</f>
        <v/>
      </c>
    </row>
    <row r="296">
      <c r="A296" t="n">
        <v>51</v>
      </c>
      <c r="B296" t="inlineStr">
        <is>
          <t>Valverde Montaño María Teresa</t>
        </is>
      </c>
      <c r="C296" t="inlineStr">
        <is>
          <t>LUNES</t>
        </is>
      </c>
      <c r="D296" t="n">
        <v>8</v>
      </c>
      <c r="E296" t="n">
        <v>4</v>
      </c>
      <c r="F296" t="n">
        <v>2</v>
      </c>
      <c r="G296" t="inlineStr">
        <is>
          <t>12:45</t>
        </is>
      </c>
      <c r="H296" t="inlineStr">
        <is>
          <t>13:30</t>
        </is>
      </c>
      <c r="I296" t="inlineStr">
        <is>
          <t>CLASE</t>
        </is>
      </c>
      <c r="J296" t="inlineStr">
        <is>
          <t>CS202</t>
        </is>
      </c>
      <c r="K296" t="inlineStr">
        <is>
          <t>CAS</t>
        </is>
      </c>
      <c r="L296" t="inlineStr"/>
      <c r="M296" t="inlineStr"/>
      <c r="N296" t="inlineStr"/>
      <c r="O296" t="inlineStr"/>
      <c r="P296" t="inlineStr">
        <is>
          <t>CS202-CAS</t>
        </is>
      </c>
      <c r="Q296">
        <f>IF(I296="ENFASIS","ÉNFASIS "&amp;M296,IFERROR(VLOOKUP(J296,Grupos!$A$2:$D$100,4,FALSE),J296))</f>
        <v/>
      </c>
      <c r="R296">
        <f>O296&amp;IF(N296&lt;&gt;"",IF(O296&lt;&gt;""," · ","")&amp;"Con: "&amp;N296,"")</f>
        <v/>
      </c>
      <c r="S296">
        <f>C296&amp;"|"&amp;D296</f>
        <v/>
      </c>
      <c r="T296">
        <f>COUNTIF($S$2:S296,S296)</f>
        <v/>
      </c>
      <c r="U296">
        <f>S296&amp;"|"&amp;T296</f>
        <v/>
      </c>
      <c r="V296">
        <f>IFERROR(VLOOKUP(IF(I296="ENFASIS",LEFT(M296,FIND("+",M296&amp;"+")-1),J296),Direccion_Grupo!$A$2:$G$100,7,FALSE),"")</f>
        <v/>
      </c>
    </row>
    <row r="297">
      <c r="A297" t="n">
        <v>7</v>
      </c>
      <c r="B297" t="inlineStr">
        <is>
          <t>Casanova Casanova Johana Andrea</t>
        </is>
      </c>
      <c r="C297" t="inlineStr">
        <is>
          <t>LUNES</t>
        </is>
      </c>
      <c r="D297" t="n">
        <v>8</v>
      </c>
      <c r="E297" t="n">
        <v>4</v>
      </c>
      <c r="F297" t="n">
        <v>2</v>
      </c>
      <c r="G297" t="inlineStr">
        <is>
          <t>12:45</t>
        </is>
      </c>
      <c r="H297" t="inlineStr">
        <is>
          <t>13:30</t>
        </is>
      </c>
      <c r="I297" t="inlineStr">
        <is>
          <t>ORIENTACION</t>
        </is>
      </c>
      <c r="J297" t="inlineStr">
        <is>
          <t>ORIENT</t>
        </is>
      </c>
      <c r="K297" t="inlineStr">
        <is>
          <t>ORIENTACIÓN ESCOLAR</t>
        </is>
      </c>
      <c r="L297" t="inlineStr"/>
      <c r="M297" t="inlineStr"/>
      <c r="N297" t="inlineStr"/>
      <c r="O297" t="inlineStr">
        <is>
          <t>Jornada 07:30 a 14:30</t>
        </is>
      </c>
      <c r="P297" t="inlineStr"/>
      <c r="Q297">
        <f>IF(I297="ENFASIS","ÉNFASIS "&amp;M297,IFERROR(VLOOKUP(J297,Grupos!$A$2:$D$100,4,FALSE),J297))</f>
        <v/>
      </c>
      <c r="R297">
        <f>O297&amp;IF(N297&lt;&gt;"",IF(O297&lt;&gt;""," · ","")&amp;"Con: "&amp;N297,"")</f>
        <v/>
      </c>
      <c r="S297">
        <f>C297&amp;"|"&amp;D297</f>
        <v/>
      </c>
      <c r="T297">
        <f>COUNTIF($S$2:S297,S297)</f>
        <v/>
      </c>
      <c r="U297">
        <f>S297&amp;"|"&amp;T297</f>
        <v/>
      </c>
      <c r="V297">
        <f>IFERROR(VLOOKUP(IF(I297="ENFASIS",LEFT(M297,FIND("+",M297&amp;"+")-1),J297),Direccion_Grupo!$A$2:$G$100,7,FALSE),"")</f>
        <v/>
      </c>
    </row>
    <row r="298">
      <c r="A298" t="n">
        <v>36</v>
      </c>
      <c r="B298" t="inlineStr">
        <is>
          <t>Ponce Moncayo Ángela Paola</t>
        </is>
      </c>
      <c r="C298" t="inlineStr">
        <is>
          <t>LUNES</t>
        </is>
      </c>
      <c r="D298" t="n">
        <v>8</v>
      </c>
      <c r="E298" t="n">
        <v>4</v>
      </c>
      <c r="F298" t="n">
        <v>2</v>
      </c>
      <c r="G298" t="inlineStr">
        <is>
          <t>12:45</t>
        </is>
      </c>
      <c r="H298" t="inlineStr">
        <is>
          <t>13:30</t>
        </is>
      </c>
      <c r="I298" t="inlineStr">
        <is>
          <t>ORIENTACION</t>
        </is>
      </c>
      <c r="J298" t="inlineStr">
        <is>
          <t>ORIENT</t>
        </is>
      </c>
      <c r="K298" t="inlineStr">
        <is>
          <t>ORIENTACIÓN ESCOLAR</t>
        </is>
      </c>
      <c r="L298" t="inlineStr"/>
      <c r="M298" t="inlineStr"/>
      <c r="N298" t="inlineStr"/>
      <c r="O298" t="inlineStr">
        <is>
          <t>Jornada 08:30 a 13:30</t>
        </is>
      </c>
      <c r="P298" t="inlineStr"/>
      <c r="Q298">
        <f>IF(I298="ENFASIS","ÉNFASIS "&amp;M298,IFERROR(VLOOKUP(J298,Grupos!$A$2:$D$100,4,FALSE),J298))</f>
        <v/>
      </c>
      <c r="R298">
        <f>O298&amp;IF(N298&lt;&gt;"",IF(O298&lt;&gt;""," · ","")&amp;"Con: "&amp;N298,"")</f>
        <v/>
      </c>
      <c r="S298">
        <f>C298&amp;"|"&amp;D298</f>
        <v/>
      </c>
      <c r="T298">
        <f>COUNTIF($S$2:S298,S298)</f>
        <v/>
      </c>
      <c r="U298">
        <f>S298&amp;"|"&amp;T298</f>
        <v/>
      </c>
      <c r="V298">
        <f>IFERROR(VLOOKUP(IF(I298="ENFASIS",LEFT(M298,FIND("+",M298&amp;"+")-1),J298),Direccion_Grupo!$A$2:$G$100,7,FALSE),"")</f>
        <v/>
      </c>
    </row>
    <row r="299">
      <c r="A299" t="n">
        <v>3</v>
      </c>
      <c r="B299" t="inlineStr">
        <is>
          <t>Arboleda Ortiz Luz América</t>
        </is>
      </c>
      <c r="C299" t="inlineStr">
        <is>
          <t>LUNES</t>
        </is>
      </c>
      <c r="D299" t="n">
        <v>8</v>
      </c>
      <c r="E299" t="n">
        <v>4</v>
      </c>
      <c r="F299" t="n">
        <v>2</v>
      </c>
      <c r="G299" t="inlineStr">
        <is>
          <t>12:45</t>
        </is>
      </c>
      <c r="H299" t="inlineStr">
        <is>
          <t>13:30</t>
        </is>
      </c>
      <c r="I299" t="inlineStr">
        <is>
          <t>ENFASIS</t>
        </is>
      </c>
      <c r="J299" t="inlineStr"/>
      <c r="K299" t="inlineStr">
        <is>
          <t>ART</t>
        </is>
      </c>
      <c r="L299" t="inlineStr">
        <is>
          <t>D5-11°</t>
        </is>
      </c>
      <c r="M299" t="inlineStr">
        <is>
          <t>1101</t>
        </is>
      </c>
      <c r="N299" t="inlineStr">
        <is>
          <t>Montaño Anchico Favio Héctor (CAS); Ramírez Guerra Jimmy Eduardo (ERD); Villota Rubio Héctor Hugo (CNA)</t>
        </is>
      </c>
      <c r="O299" t="inlineStr">
        <is>
          <t>EQUIPO DE 4: cada docente atiende un grupo de estudiantes en su área</t>
        </is>
      </c>
      <c r="P299" t="inlineStr">
        <is>
          <t>ENFASIS-D5-11°</t>
        </is>
      </c>
      <c r="Q299">
        <f>IF(I299="ENFASIS","ÉNFASIS "&amp;M299,IFERROR(VLOOKUP(J299,Grupos!$A$2:$D$100,4,FALSE),J299))</f>
        <v/>
      </c>
      <c r="R299">
        <f>O299&amp;IF(N299&lt;&gt;"",IF(O299&lt;&gt;""," · ","")&amp;"Con: "&amp;N299,"")</f>
        <v/>
      </c>
      <c r="S299">
        <f>C299&amp;"|"&amp;D299</f>
        <v/>
      </c>
      <c r="T299">
        <f>COUNTIF($S$2:S299,S299)</f>
        <v/>
      </c>
      <c r="U299">
        <f>S299&amp;"|"&amp;T299</f>
        <v/>
      </c>
      <c r="V299">
        <f>IFERROR(VLOOKUP(IF(I299="ENFASIS",LEFT(M299,FIND("+",M299&amp;"+")-1),J299),Direccion_Grupo!$A$2:$G$100,7,FALSE),"")</f>
        <v/>
      </c>
    </row>
    <row r="300">
      <c r="A300" t="n">
        <v>30</v>
      </c>
      <c r="B300" t="inlineStr">
        <is>
          <t>Montaño Anchico Favio Héctor</t>
        </is>
      </c>
      <c r="C300" t="inlineStr">
        <is>
          <t>LUNES</t>
        </is>
      </c>
      <c r="D300" t="n">
        <v>8</v>
      </c>
      <c r="E300" t="n">
        <v>4</v>
      </c>
      <c r="F300" t="n">
        <v>2</v>
      </c>
      <c r="G300" t="inlineStr">
        <is>
          <t>12:45</t>
        </is>
      </c>
      <c r="H300" t="inlineStr">
        <is>
          <t>13:30</t>
        </is>
      </c>
      <c r="I300" t="inlineStr">
        <is>
          <t>ENFASIS</t>
        </is>
      </c>
      <c r="J300" t="inlineStr"/>
      <c r="K300" t="inlineStr">
        <is>
          <t>CAS</t>
        </is>
      </c>
      <c r="L300" t="inlineStr">
        <is>
          <t>D5-11°</t>
        </is>
      </c>
      <c r="M300" t="inlineStr">
        <is>
          <t>1101</t>
        </is>
      </c>
      <c r="N300" t="inlineStr">
        <is>
          <t>Arboleda Ortiz Luz América (ART); Ramírez Guerra Jimmy Eduardo (ERD); Villota Rubio Héctor Hugo (CNA)</t>
        </is>
      </c>
      <c r="O300" t="inlineStr">
        <is>
          <t>EQUIPO DE 4: cada docente atiende un grupo de estudiantes en su área</t>
        </is>
      </c>
      <c r="P300" t="inlineStr">
        <is>
          <t>ENFASIS-D5-11°</t>
        </is>
      </c>
      <c r="Q300">
        <f>IF(I300="ENFASIS","ÉNFASIS "&amp;M300,IFERROR(VLOOKUP(J300,Grupos!$A$2:$D$100,4,FALSE),J300))</f>
        <v/>
      </c>
      <c r="R300">
        <f>O300&amp;IF(N300&lt;&gt;"",IF(O300&lt;&gt;""," · ","")&amp;"Con: "&amp;N300,"")</f>
        <v/>
      </c>
      <c r="S300">
        <f>C300&amp;"|"&amp;D300</f>
        <v/>
      </c>
      <c r="T300">
        <f>COUNTIF($S$2:S300,S300)</f>
        <v/>
      </c>
      <c r="U300">
        <f>S300&amp;"|"&amp;T300</f>
        <v/>
      </c>
      <c r="V300">
        <f>IFERROR(VLOOKUP(IF(I300="ENFASIS",LEFT(M300,FIND("+",M300&amp;"+")-1),J300),Direccion_Grupo!$A$2:$G$100,7,FALSE),"")</f>
        <v/>
      </c>
    </row>
    <row r="301">
      <c r="A301" t="n">
        <v>43</v>
      </c>
      <c r="B301" t="inlineStr">
        <is>
          <t>Ramírez Guerra Jimmy Eduardo</t>
        </is>
      </c>
      <c r="C301" t="inlineStr">
        <is>
          <t>LUNES</t>
        </is>
      </c>
      <c r="D301" t="n">
        <v>8</v>
      </c>
      <c r="E301" t="n">
        <v>4</v>
      </c>
      <c r="F301" t="n">
        <v>2</v>
      </c>
      <c r="G301" t="inlineStr">
        <is>
          <t>12:45</t>
        </is>
      </c>
      <c r="H301" t="inlineStr">
        <is>
          <t>13:30</t>
        </is>
      </c>
      <c r="I301" t="inlineStr">
        <is>
          <t>ENFASIS</t>
        </is>
      </c>
      <c r="J301" t="inlineStr"/>
      <c r="K301" t="inlineStr">
        <is>
          <t>ERD</t>
        </is>
      </c>
      <c r="L301" t="inlineStr">
        <is>
          <t>D5-11°</t>
        </is>
      </c>
      <c r="M301" t="inlineStr">
        <is>
          <t>1101</t>
        </is>
      </c>
      <c r="N301" t="inlineStr">
        <is>
          <t>Arboleda Ortiz Luz América (ART); Montaño Anchico Favio Héctor (CAS); Villota Rubio Héctor Hugo (CNA)</t>
        </is>
      </c>
      <c r="O301" t="inlineStr">
        <is>
          <t>EQUIPO DE 4: cada docente atiende un grupo de estudiantes en su área</t>
        </is>
      </c>
      <c r="P301" t="inlineStr">
        <is>
          <t>ENFASIS-D5-11°</t>
        </is>
      </c>
      <c r="Q301">
        <f>IF(I301="ENFASIS","ÉNFASIS "&amp;M301,IFERROR(VLOOKUP(J301,Grupos!$A$2:$D$100,4,FALSE),J301))</f>
        <v/>
      </c>
      <c r="R301">
        <f>O301&amp;IF(N301&lt;&gt;"",IF(O301&lt;&gt;""," · ","")&amp;"Con: "&amp;N301,"")</f>
        <v/>
      </c>
      <c r="S301">
        <f>C301&amp;"|"&amp;D301</f>
        <v/>
      </c>
      <c r="T301">
        <f>COUNTIF($S$2:S301,S301)</f>
        <v/>
      </c>
      <c r="U301">
        <f>S301&amp;"|"&amp;T301</f>
        <v/>
      </c>
      <c r="V301">
        <f>IFERROR(VLOOKUP(IF(I301="ENFASIS",LEFT(M301,FIND("+",M301&amp;"+")-1),J301),Direccion_Grupo!$A$2:$G$100,7,FALSE),"")</f>
        <v/>
      </c>
    </row>
    <row r="302">
      <c r="A302" t="n">
        <v>53</v>
      </c>
      <c r="B302" t="inlineStr">
        <is>
          <t>Villota Rubio Héctor Hugo</t>
        </is>
      </c>
      <c r="C302" t="inlineStr">
        <is>
          <t>LUNES</t>
        </is>
      </c>
      <c r="D302" t="n">
        <v>8</v>
      </c>
      <c r="E302" t="n">
        <v>4</v>
      </c>
      <c r="F302" t="n">
        <v>2</v>
      </c>
      <c r="G302" t="inlineStr">
        <is>
          <t>12:45</t>
        </is>
      </c>
      <c r="H302" t="inlineStr">
        <is>
          <t>13:30</t>
        </is>
      </c>
      <c r="I302" t="inlineStr">
        <is>
          <t>ENFASIS</t>
        </is>
      </c>
      <c r="J302" t="inlineStr"/>
      <c r="K302" t="inlineStr">
        <is>
          <t>CNA</t>
        </is>
      </c>
      <c r="L302" t="inlineStr">
        <is>
          <t>D5-11°</t>
        </is>
      </c>
      <c r="M302" t="inlineStr">
        <is>
          <t>1101</t>
        </is>
      </c>
      <c r="N302" t="inlineStr">
        <is>
          <t>Arboleda Ortiz Luz América (ART); Montaño Anchico Favio Héctor (CAS); Ramírez Guerra Jimmy Eduardo (ERD)</t>
        </is>
      </c>
      <c r="O302" t="inlineStr">
        <is>
          <t>EQUIPO DE 4: cada docente atiende un grupo de estudiantes en su área</t>
        </is>
      </c>
      <c r="P302" t="inlineStr">
        <is>
          <t>ENFASIS-D5-11°</t>
        </is>
      </c>
      <c r="Q302">
        <f>IF(I302="ENFASIS","ÉNFASIS "&amp;M302,IFERROR(VLOOKUP(J302,Grupos!$A$2:$D$100,4,FALSE),J302))</f>
        <v/>
      </c>
      <c r="R302">
        <f>O302&amp;IF(N302&lt;&gt;"",IF(O302&lt;&gt;""," · ","")&amp;"Con: "&amp;N302,"")</f>
        <v/>
      </c>
      <c r="S302">
        <f>C302&amp;"|"&amp;D302</f>
        <v/>
      </c>
      <c r="T302">
        <f>COUNTIF($S$2:S302,S302)</f>
        <v/>
      </c>
      <c r="U302">
        <f>S302&amp;"|"&amp;T302</f>
        <v/>
      </c>
      <c r="V302">
        <f>IFERROR(VLOOKUP(IF(I302="ENFASIS",LEFT(M302,FIND("+",M302&amp;"+")-1),J302),Direccion_Grupo!$A$2:$G$100,7,FALSE),"")</f>
        <v/>
      </c>
    </row>
    <row r="303">
      <c r="A303" t="n">
        <v>22</v>
      </c>
      <c r="B303" t="inlineStr">
        <is>
          <t>González Castillo Jólmer Jimy</t>
        </is>
      </c>
      <c r="C303" t="inlineStr">
        <is>
          <t>LUNES</t>
        </is>
      </c>
      <c r="D303" t="n">
        <v>8</v>
      </c>
      <c r="E303" t="n">
        <v>4</v>
      </c>
      <c r="F303" t="n">
        <v>2</v>
      </c>
      <c r="G303" t="inlineStr">
        <is>
          <t>12:45</t>
        </is>
      </c>
      <c r="H303" t="inlineStr">
        <is>
          <t>13:30</t>
        </is>
      </c>
      <c r="I303" t="inlineStr">
        <is>
          <t>ENFASIS</t>
        </is>
      </c>
      <c r="J303" t="inlineStr"/>
      <c r="K303" t="inlineStr">
        <is>
          <t>ERD</t>
        </is>
      </c>
      <c r="L303" t="inlineStr">
        <is>
          <t>CS201</t>
        </is>
      </c>
      <c r="M303" t="inlineStr">
        <is>
          <t>CS201</t>
        </is>
      </c>
      <c r="N303" t="inlineStr">
        <is>
          <t>Valencia Marínez Saidy Eufemia (ART); Meza Banguera Gladys Alicia (CAS); Lemos Guancha Miriam (CNA)</t>
        </is>
      </c>
      <c r="O303" t="inlineStr">
        <is>
          <t>EQUIPO DE 4: cada docente atiende un grupo de estudiantes en su área</t>
        </is>
      </c>
      <c r="P303" t="inlineStr">
        <is>
          <t>ENFASIS-CS201</t>
        </is>
      </c>
      <c r="Q303">
        <f>IF(I303="ENFASIS","ÉNFASIS "&amp;M303,IFERROR(VLOOKUP(J303,Grupos!$A$2:$D$100,4,FALSE),J303))</f>
        <v/>
      </c>
      <c r="R303">
        <f>O303&amp;IF(N303&lt;&gt;"",IF(O303&lt;&gt;""," · ","")&amp;"Con: "&amp;N303,"")</f>
        <v/>
      </c>
      <c r="S303">
        <f>C303&amp;"|"&amp;D303</f>
        <v/>
      </c>
      <c r="T303">
        <f>COUNTIF($S$2:S303,S303)</f>
        <v/>
      </c>
      <c r="U303">
        <f>S303&amp;"|"&amp;T303</f>
        <v/>
      </c>
      <c r="V303">
        <f>IFERROR(VLOOKUP(IF(I303="ENFASIS",LEFT(M303,FIND("+",M303&amp;"+")-1),J303),Direccion_Grupo!$A$2:$G$100,7,FALSE),"")</f>
        <v/>
      </c>
    </row>
    <row r="304">
      <c r="A304" t="n">
        <v>25</v>
      </c>
      <c r="B304" t="inlineStr">
        <is>
          <t>Lemos Guancha Miriam</t>
        </is>
      </c>
      <c r="C304" t="inlineStr">
        <is>
          <t>LUNES</t>
        </is>
      </c>
      <c r="D304" t="n">
        <v>8</v>
      </c>
      <c r="E304" t="n">
        <v>4</v>
      </c>
      <c r="F304" t="n">
        <v>2</v>
      </c>
      <c r="G304" t="inlineStr">
        <is>
          <t>12:45</t>
        </is>
      </c>
      <c r="H304" t="inlineStr">
        <is>
          <t>13:30</t>
        </is>
      </c>
      <c r="I304" t="inlineStr">
        <is>
          <t>ENFASIS</t>
        </is>
      </c>
      <c r="J304" t="inlineStr"/>
      <c r="K304" t="inlineStr">
        <is>
          <t>CNA</t>
        </is>
      </c>
      <c r="L304" t="inlineStr">
        <is>
          <t>CS201</t>
        </is>
      </c>
      <c r="M304" t="inlineStr">
        <is>
          <t>CS201</t>
        </is>
      </c>
      <c r="N304" t="inlineStr">
        <is>
          <t>Valencia Marínez Saidy Eufemia (ART); Meza Banguera Gladys Alicia (CAS); González Castillo Jólmer Jimy (ERD)</t>
        </is>
      </c>
      <c r="O304" t="inlineStr">
        <is>
          <t>EQUIPO DE 4: cada docente atiende un grupo de estudiantes en su área</t>
        </is>
      </c>
      <c r="P304" t="inlineStr">
        <is>
          <t>ENFASIS-CS201</t>
        </is>
      </c>
      <c r="Q304">
        <f>IF(I304="ENFASIS","ÉNFASIS "&amp;M304,IFERROR(VLOOKUP(J304,Grupos!$A$2:$D$100,4,FALSE),J304))</f>
        <v/>
      </c>
      <c r="R304">
        <f>O304&amp;IF(N304&lt;&gt;"",IF(O304&lt;&gt;""," · ","")&amp;"Con: "&amp;N304,"")</f>
        <v/>
      </c>
      <c r="S304">
        <f>C304&amp;"|"&amp;D304</f>
        <v/>
      </c>
      <c r="T304">
        <f>COUNTIF($S$2:S304,S304)</f>
        <v/>
      </c>
      <c r="U304">
        <f>S304&amp;"|"&amp;T304</f>
        <v/>
      </c>
      <c r="V304">
        <f>IFERROR(VLOOKUP(IF(I304="ENFASIS",LEFT(M304,FIND("+",M304&amp;"+")-1),J304),Direccion_Grupo!$A$2:$G$100,7,FALSE),"")</f>
        <v/>
      </c>
    </row>
    <row r="305">
      <c r="A305" t="n">
        <v>28</v>
      </c>
      <c r="B305" t="inlineStr">
        <is>
          <t>Meza Banguera Gladys Alicia</t>
        </is>
      </c>
      <c r="C305" t="inlineStr">
        <is>
          <t>LUNES</t>
        </is>
      </c>
      <c r="D305" t="n">
        <v>8</v>
      </c>
      <c r="E305" t="n">
        <v>4</v>
      </c>
      <c r="F305" t="n">
        <v>2</v>
      </c>
      <c r="G305" t="inlineStr">
        <is>
          <t>12:45</t>
        </is>
      </c>
      <c r="H305" t="inlineStr">
        <is>
          <t>13:30</t>
        </is>
      </c>
      <c r="I305" t="inlineStr">
        <is>
          <t>ENFASIS</t>
        </is>
      </c>
      <c r="J305" t="inlineStr"/>
      <c r="K305" t="inlineStr">
        <is>
          <t>CAS</t>
        </is>
      </c>
      <c r="L305" t="inlineStr">
        <is>
          <t>CS201</t>
        </is>
      </c>
      <c r="M305" t="inlineStr">
        <is>
          <t>CS201</t>
        </is>
      </c>
      <c r="N305" t="inlineStr">
        <is>
          <t>Valencia Marínez Saidy Eufemia (ART); González Castillo Jólmer Jimy (ERD); Lemos Guancha Miriam (CNA)</t>
        </is>
      </c>
      <c r="O305" t="inlineStr">
        <is>
          <t>EQUIPO DE 4: cada docente atiende un grupo de estudiantes en su área</t>
        </is>
      </c>
      <c r="P305" t="inlineStr">
        <is>
          <t>ENFASIS-CS201</t>
        </is>
      </c>
      <c r="Q305">
        <f>IF(I305="ENFASIS","ÉNFASIS "&amp;M305,IFERROR(VLOOKUP(J305,Grupos!$A$2:$D$100,4,FALSE),J305))</f>
        <v/>
      </c>
      <c r="R305">
        <f>O305&amp;IF(N305&lt;&gt;"",IF(O305&lt;&gt;""," · ","")&amp;"Con: "&amp;N305,"")</f>
        <v/>
      </c>
      <c r="S305">
        <f>C305&amp;"|"&amp;D305</f>
        <v/>
      </c>
      <c r="T305">
        <f>COUNTIF($S$2:S305,S305)</f>
        <v/>
      </c>
      <c r="U305">
        <f>S305&amp;"|"&amp;T305</f>
        <v/>
      </c>
      <c r="V305">
        <f>IFERROR(VLOOKUP(IF(I305="ENFASIS",LEFT(M305,FIND("+",M305&amp;"+")-1),J305),Direccion_Grupo!$A$2:$G$100,7,FALSE),"")</f>
        <v/>
      </c>
    </row>
    <row r="306">
      <c r="A306" t="n">
        <v>49</v>
      </c>
      <c r="B306" t="inlineStr">
        <is>
          <t>Valencia Marínez Saidy Eufemia</t>
        </is>
      </c>
      <c r="C306" t="inlineStr">
        <is>
          <t>LUNES</t>
        </is>
      </c>
      <c r="D306" t="n">
        <v>8</v>
      </c>
      <c r="E306" t="n">
        <v>4</v>
      </c>
      <c r="F306" t="n">
        <v>2</v>
      </c>
      <c r="G306" t="inlineStr">
        <is>
          <t>12:45</t>
        </is>
      </c>
      <c r="H306" t="inlineStr">
        <is>
          <t>13:30</t>
        </is>
      </c>
      <c r="I306" t="inlineStr">
        <is>
          <t>ENFASIS</t>
        </is>
      </c>
      <c r="J306" t="inlineStr"/>
      <c r="K306" t="inlineStr">
        <is>
          <t>ART</t>
        </is>
      </c>
      <c r="L306" t="inlineStr">
        <is>
          <t>CS201</t>
        </is>
      </c>
      <c r="M306" t="inlineStr">
        <is>
          <t>CS201</t>
        </is>
      </c>
      <c r="N306" t="inlineStr">
        <is>
          <t>Meza Banguera Gladys Alicia (CAS); González Castillo Jólmer Jimy (ERD); Lemos Guancha Miriam (CNA)</t>
        </is>
      </c>
      <c r="O306" t="inlineStr">
        <is>
          <t>EQUIPO DE 4: cada docente atiende un grupo de estudiantes en su área</t>
        </is>
      </c>
      <c r="P306" t="inlineStr">
        <is>
          <t>ENFASIS-CS201</t>
        </is>
      </c>
      <c r="Q306">
        <f>IF(I306="ENFASIS","ÉNFASIS "&amp;M306,IFERROR(VLOOKUP(J306,Grupos!$A$2:$D$100,4,FALSE),J306))</f>
        <v/>
      </c>
      <c r="R306">
        <f>O306&amp;IF(N306&lt;&gt;"",IF(O306&lt;&gt;""," · ","")&amp;"Con: "&amp;N306,"")</f>
        <v/>
      </c>
      <c r="S306">
        <f>C306&amp;"|"&amp;D306</f>
        <v/>
      </c>
      <c r="T306">
        <f>COUNTIF($S$2:S306,S306)</f>
        <v/>
      </c>
      <c r="U306">
        <f>S306&amp;"|"&amp;T306</f>
        <v/>
      </c>
      <c r="V306">
        <f>IFERROR(VLOOKUP(IF(I306="ENFASIS",LEFT(M306,FIND("+",M306&amp;"+")-1),J306),Direccion_Grupo!$A$2:$G$100,7,FALSE),"")</f>
        <v/>
      </c>
    </row>
    <row r="307">
      <c r="A307" t="n">
        <v>23</v>
      </c>
      <c r="B307" t="inlineStr">
        <is>
          <t>Landázuri Quiñones María Elia</t>
        </is>
      </c>
      <c r="C307" t="inlineStr">
        <is>
          <t>MARTES</t>
        </is>
      </c>
      <c r="D307" t="n">
        <v>1</v>
      </c>
      <c r="E307" t="n">
        <v>1</v>
      </c>
      <c r="F307" t="n">
        <v>1</v>
      </c>
      <c r="G307" t="inlineStr">
        <is>
          <t>06:30</t>
        </is>
      </c>
      <c r="H307" t="inlineStr">
        <is>
          <t>07:15</t>
        </is>
      </c>
      <c r="I307" t="inlineStr">
        <is>
          <t>AREAS_MULTIPLES</t>
        </is>
      </c>
      <c r="J307" t="inlineStr">
        <is>
          <t>0101</t>
        </is>
      </c>
      <c r="K307" t="inlineStr">
        <is>
          <t>ÁREAS MÚLTIPLES</t>
        </is>
      </c>
      <c r="L307" t="inlineStr"/>
      <c r="M307" t="inlineStr"/>
      <c r="N307" t="inlineStr"/>
      <c r="O307" t="inlineStr">
        <is>
          <t>Maestro de aula: todas las áreas con su grupo</t>
        </is>
      </c>
      <c r="P307" t="inlineStr"/>
      <c r="Q307">
        <f>IF(I307="ENFASIS","ÉNFASIS "&amp;M307,IFERROR(VLOOKUP(J307,Grupos!$A$2:$D$100,4,FALSE),J307))</f>
        <v/>
      </c>
      <c r="R307">
        <f>O307&amp;IF(N307&lt;&gt;"",IF(O307&lt;&gt;""," · ","")&amp;"Con: "&amp;N307,"")</f>
        <v/>
      </c>
      <c r="S307">
        <f>C307&amp;"|"&amp;D307</f>
        <v/>
      </c>
      <c r="T307">
        <f>COUNTIF($S$2:S307,S307)</f>
        <v/>
      </c>
      <c r="U307">
        <f>S307&amp;"|"&amp;T307</f>
        <v/>
      </c>
      <c r="V307">
        <f>IFERROR(VLOOKUP(IF(I307="ENFASIS",LEFT(M307,FIND("+",M307&amp;"+")-1),J307),Direccion_Grupo!$A$2:$G$100,7,FALSE),"")</f>
        <v/>
      </c>
    </row>
    <row r="308">
      <c r="A308" t="n">
        <v>45</v>
      </c>
      <c r="B308" t="inlineStr">
        <is>
          <t>Sinisterra Ana Lucía</t>
        </is>
      </c>
      <c r="C308" t="inlineStr">
        <is>
          <t>MARTES</t>
        </is>
      </c>
      <c r="D308" t="n">
        <v>1</v>
      </c>
      <c r="E308" t="n">
        <v>1</v>
      </c>
      <c r="F308" t="n">
        <v>1</v>
      </c>
      <c r="G308" t="inlineStr">
        <is>
          <t>06:30</t>
        </is>
      </c>
      <c r="H308" t="inlineStr">
        <is>
          <t>07:15</t>
        </is>
      </c>
      <c r="I308" t="inlineStr">
        <is>
          <t>AREAS_MULTIPLES</t>
        </is>
      </c>
      <c r="J308" t="inlineStr">
        <is>
          <t>0102</t>
        </is>
      </c>
      <c r="K308" t="inlineStr">
        <is>
          <t>ÁREAS MÚLTIPLES</t>
        </is>
      </c>
      <c r="L308" t="inlineStr"/>
      <c r="M308" t="inlineStr"/>
      <c r="N308" t="inlineStr"/>
      <c r="O308" t="inlineStr">
        <is>
          <t>Maestro de aula: todas las áreas con su grupo</t>
        </is>
      </c>
      <c r="P308" t="inlineStr"/>
      <c r="Q308">
        <f>IF(I308="ENFASIS","ÉNFASIS "&amp;M308,IFERROR(VLOOKUP(J308,Grupos!$A$2:$D$100,4,FALSE),J308))</f>
        <v/>
      </c>
      <c r="R308">
        <f>O308&amp;IF(N308&lt;&gt;"",IF(O308&lt;&gt;""," · ","")&amp;"Con: "&amp;N308,"")</f>
        <v/>
      </c>
      <c r="S308">
        <f>C308&amp;"|"&amp;D308</f>
        <v/>
      </c>
      <c r="T308">
        <f>COUNTIF($S$2:S308,S308)</f>
        <v/>
      </c>
      <c r="U308">
        <f>S308&amp;"|"&amp;T308</f>
        <v/>
      </c>
      <c r="V308">
        <f>IFERROR(VLOOKUP(IF(I308="ENFASIS",LEFT(M308,FIND("+",M308&amp;"+")-1),J308),Direccion_Grupo!$A$2:$G$100,7,FALSE),"")</f>
        <v/>
      </c>
    </row>
    <row r="309">
      <c r="A309" t="n">
        <v>13</v>
      </c>
      <c r="B309" t="inlineStr">
        <is>
          <t>Cortés Salazar María Ebelice</t>
        </is>
      </c>
      <c r="C309" t="inlineStr">
        <is>
          <t>MARTES</t>
        </is>
      </c>
      <c r="D309" t="n">
        <v>1</v>
      </c>
      <c r="E309" t="n">
        <v>1</v>
      </c>
      <c r="F309" t="n">
        <v>1</v>
      </c>
      <c r="G309" t="inlineStr">
        <is>
          <t>06:30</t>
        </is>
      </c>
      <c r="H309" t="inlineStr">
        <is>
          <t>07:15</t>
        </is>
      </c>
      <c r="I309" t="inlineStr">
        <is>
          <t>AREAS_MULTIPLES</t>
        </is>
      </c>
      <c r="J309" t="inlineStr">
        <is>
          <t>0201</t>
        </is>
      </c>
      <c r="K309" t="inlineStr">
        <is>
          <t>ÁREAS MÚLTIPLES</t>
        </is>
      </c>
      <c r="L309" t="inlineStr"/>
      <c r="M309" t="inlineStr"/>
      <c r="N309" t="inlineStr"/>
      <c r="O309" t="inlineStr">
        <is>
          <t>Maestro de aula: todas las áreas con su grupo</t>
        </is>
      </c>
      <c r="P309" t="inlineStr"/>
      <c r="Q309">
        <f>IF(I309="ENFASIS","ÉNFASIS "&amp;M309,IFERROR(VLOOKUP(J309,Grupos!$A$2:$D$100,4,FALSE),J309))</f>
        <v/>
      </c>
      <c r="R309">
        <f>O309&amp;IF(N309&lt;&gt;"",IF(O309&lt;&gt;""," · ","")&amp;"Con: "&amp;N309,"")</f>
        <v/>
      </c>
      <c r="S309">
        <f>C309&amp;"|"&amp;D309</f>
        <v/>
      </c>
      <c r="T309">
        <f>COUNTIF($S$2:S309,S309)</f>
        <v/>
      </c>
      <c r="U309">
        <f>S309&amp;"|"&amp;T309</f>
        <v/>
      </c>
      <c r="V309">
        <f>IFERROR(VLOOKUP(IF(I309="ENFASIS",LEFT(M309,FIND("+",M309&amp;"+")-1),J309),Direccion_Grupo!$A$2:$G$100,7,FALSE),"")</f>
        <v/>
      </c>
    </row>
    <row r="310">
      <c r="A310" t="n">
        <v>21</v>
      </c>
      <c r="B310" t="inlineStr">
        <is>
          <t>Garzón Quiñones Sixta Janina</t>
        </is>
      </c>
      <c r="C310" t="inlineStr">
        <is>
          <t>MARTES</t>
        </is>
      </c>
      <c r="D310" t="n">
        <v>1</v>
      </c>
      <c r="E310" t="n">
        <v>1</v>
      </c>
      <c r="F310" t="n">
        <v>1</v>
      </c>
      <c r="G310" t="inlineStr">
        <is>
          <t>06:30</t>
        </is>
      </c>
      <c r="H310" t="inlineStr">
        <is>
          <t>07:15</t>
        </is>
      </c>
      <c r="I310" t="inlineStr">
        <is>
          <t>AREAS_MULTIPLES</t>
        </is>
      </c>
      <c r="J310" t="inlineStr">
        <is>
          <t>0202</t>
        </is>
      </c>
      <c r="K310" t="inlineStr">
        <is>
          <t>ÁREAS MÚLTIPLES</t>
        </is>
      </c>
      <c r="L310" t="inlineStr"/>
      <c r="M310" t="inlineStr"/>
      <c r="N310" t="inlineStr"/>
      <c r="O310" t="inlineStr">
        <is>
          <t>Maestro de aula: todas las áreas con su grupo</t>
        </is>
      </c>
      <c r="P310" t="inlineStr"/>
      <c r="Q310">
        <f>IF(I310="ENFASIS","ÉNFASIS "&amp;M310,IFERROR(VLOOKUP(J310,Grupos!$A$2:$D$100,4,FALSE),J310))</f>
        <v/>
      </c>
      <c r="R310">
        <f>O310&amp;IF(N310&lt;&gt;"",IF(O310&lt;&gt;""," · ","")&amp;"Con: "&amp;N310,"")</f>
        <v/>
      </c>
      <c r="S310">
        <f>C310&amp;"|"&amp;D310</f>
        <v/>
      </c>
      <c r="T310">
        <f>COUNTIF($S$2:S310,S310)</f>
        <v/>
      </c>
      <c r="U310">
        <f>S310&amp;"|"&amp;T310</f>
        <v/>
      </c>
      <c r="V310">
        <f>IFERROR(VLOOKUP(IF(I310="ENFASIS",LEFT(M310,FIND("+",M310&amp;"+")-1),J310),Direccion_Grupo!$A$2:$G$100,7,FALSE),"")</f>
        <v/>
      </c>
    </row>
    <row r="311">
      <c r="A311" t="n">
        <v>46</v>
      </c>
      <c r="B311" t="inlineStr">
        <is>
          <t>Tenorio Cuero Lucy Bivian</t>
        </is>
      </c>
      <c r="C311" t="inlineStr">
        <is>
          <t>MARTES</t>
        </is>
      </c>
      <c r="D311" t="n">
        <v>1</v>
      </c>
      <c r="E311" t="n">
        <v>1</v>
      </c>
      <c r="F311" t="n">
        <v>1</v>
      </c>
      <c r="G311" t="inlineStr">
        <is>
          <t>06:30</t>
        </is>
      </c>
      <c r="H311" t="inlineStr">
        <is>
          <t>07:15</t>
        </is>
      </c>
      <c r="I311" t="inlineStr">
        <is>
          <t>AREAS_MULTIPLES</t>
        </is>
      </c>
      <c r="J311" t="inlineStr">
        <is>
          <t>0203</t>
        </is>
      </c>
      <c r="K311" t="inlineStr">
        <is>
          <t>ÁREAS MÚLTIPLES</t>
        </is>
      </c>
      <c r="L311" t="inlineStr"/>
      <c r="M311" t="inlineStr"/>
      <c r="N311" t="inlineStr"/>
      <c r="O311" t="inlineStr">
        <is>
          <t>Maestro de aula: todas las áreas con su grupo</t>
        </is>
      </c>
      <c r="P311" t="inlineStr"/>
      <c r="Q311">
        <f>IF(I311="ENFASIS","ÉNFASIS "&amp;M311,IFERROR(VLOOKUP(J311,Grupos!$A$2:$D$100,4,FALSE),J311))</f>
        <v/>
      </c>
      <c r="R311">
        <f>O311&amp;IF(N311&lt;&gt;"",IF(O311&lt;&gt;""," · ","")&amp;"Con: "&amp;N311,"")</f>
        <v/>
      </c>
      <c r="S311">
        <f>C311&amp;"|"&amp;D311</f>
        <v/>
      </c>
      <c r="T311">
        <f>COUNTIF($S$2:S311,S311)</f>
        <v/>
      </c>
      <c r="U311">
        <f>S311&amp;"|"&amp;T311</f>
        <v/>
      </c>
      <c r="V311">
        <f>IFERROR(VLOOKUP(IF(I311="ENFASIS",LEFT(M311,FIND("+",M311&amp;"+")-1),J311),Direccion_Grupo!$A$2:$G$100,7,FALSE),"")</f>
        <v/>
      </c>
    </row>
    <row r="312">
      <c r="A312" t="n">
        <v>48</v>
      </c>
      <c r="B312" t="inlineStr">
        <is>
          <t>Torres Segura Encarnación</t>
        </is>
      </c>
      <c r="C312" t="inlineStr">
        <is>
          <t>MARTES</t>
        </is>
      </c>
      <c r="D312" t="n">
        <v>1</v>
      </c>
      <c r="E312" t="n">
        <v>1</v>
      </c>
      <c r="F312" t="n">
        <v>1</v>
      </c>
      <c r="G312" t="inlineStr">
        <is>
          <t>06:30</t>
        </is>
      </c>
      <c r="H312" t="inlineStr">
        <is>
          <t>07:15</t>
        </is>
      </c>
      <c r="I312" t="inlineStr">
        <is>
          <t>AREAS_MULTIPLES</t>
        </is>
      </c>
      <c r="J312" t="inlineStr">
        <is>
          <t>0301</t>
        </is>
      </c>
      <c r="K312" t="inlineStr">
        <is>
          <t>ÁREAS MÚLTIPLES</t>
        </is>
      </c>
      <c r="L312" t="inlineStr"/>
      <c r="M312" t="inlineStr"/>
      <c r="N312" t="inlineStr"/>
      <c r="O312" t="inlineStr">
        <is>
          <t>Maestro de aula: todas las áreas con su grupo</t>
        </is>
      </c>
      <c r="P312" t="inlineStr"/>
      <c r="Q312">
        <f>IF(I312="ENFASIS","ÉNFASIS "&amp;M312,IFERROR(VLOOKUP(J312,Grupos!$A$2:$D$100,4,FALSE),J312))</f>
        <v/>
      </c>
      <c r="R312">
        <f>O312&amp;IF(N312&lt;&gt;"",IF(O312&lt;&gt;""," · ","")&amp;"Con: "&amp;N312,"")</f>
        <v/>
      </c>
      <c r="S312">
        <f>C312&amp;"|"&amp;D312</f>
        <v/>
      </c>
      <c r="T312">
        <f>COUNTIF($S$2:S312,S312)</f>
        <v/>
      </c>
      <c r="U312">
        <f>S312&amp;"|"&amp;T312</f>
        <v/>
      </c>
      <c r="V312">
        <f>IFERROR(VLOOKUP(IF(I312="ENFASIS",LEFT(M312,FIND("+",M312&amp;"+")-1),J312),Direccion_Grupo!$A$2:$G$100,7,FALSE),"")</f>
        <v/>
      </c>
    </row>
    <row r="313">
      <c r="A313" t="n">
        <v>24</v>
      </c>
      <c r="B313" t="inlineStr">
        <is>
          <t>Landázuri Gallón Teresa</t>
        </is>
      </c>
      <c r="C313" t="inlineStr">
        <is>
          <t>MARTES</t>
        </is>
      </c>
      <c r="D313" t="n">
        <v>1</v>
      </c>
      <c r="E313" t="n">
        <v>1</v>
      </c>
      <c r="F313" t="n">
        <v>1</v>
      </c>
      <c r="G313" t="inlineStr">
        <is>
          <t>06:30</t>
        </is>
      </c>
      <c r="H313" t="inlineStr">
        <is>
          <t>07:15</t>
        </is>
      </c>
      <c r="I313" t="inlineStr">
        <is>
          <t>AREAS_MULTIPLES</t>
        </is>
      </c>
      <c r="J313" t="inlineStr">
        <is>
          <t>0302</t>
        </is>
      </c>
      <c r="K313" t="inlineStr">
        <is>
          <t>ÁREAS MÚLTIPLES</t>
        </is>
      </c>
      <c r="L313" t="inlineStr"/>
      <c r="M313" t="inlineStr"/>
      <c r="N313" t="inlineStr"/>
      <c r="O313" t="inlineStr">
        <is>
          <t>Maestro de aula: todas las áreas con su grupo</t>
        </is>
      </c>
      <c r="P313" t="inlineStr"/>
      <c r="Q313">
        <f>IF(I313="ENFASIS","ÉNFASIS "&amp;M313,IFERROR(VLOOKUP(J313,Grupos!$A$2:$D$100,4,FALSE),J313))</f>
        <v/>
      </c>
      <c r="R313">
        <f>O313&amp;IF(N313&lt;&gt;"",IF(O313&lt;&gt;""," · ","")&amp;"Con: "&amp;N313,"")</f>
        <v/>
      </c>
      <c r="S313">
        <f>C313&amp;"|"&amp;D313</f>
        <v/>
      </c>
      <c r="T313">
        <f>COUNTIF($S$2:S313,S313)</f>
        <v/>
      </c>
      <c r="U313">
        <f>S313&amp;"|"&amp;T313</f>
        <v/>
      </c>
      <c r="V313">
        <f>IFERROR(VLOOKUP(IF(I313="ENFASIS",LEFT(M313,FIND("+",M313&amp;"+")-1),J313),Direccion_Grupo!$A$2:$G$100,7,FALSE),"")</f>
        <v/>
      </c>
    </row>
    <row r="314">
      <c r="A314" t="n">
        <v>55</v>
      </c>
      <c r="B314" t="inlineStr">
        <is>
          <t>Zamora Ordóñez Celia Pastora</t>
        </is>
      </c>
      <c r="C314" t="inlineStr">
        <is>
          <t>MARTES</t>
        </is>
      </c>
      <c r="D314" t="n">
        <v>1</v>
      </c>
      <c r="E314" t="n">
        <v>1</v>
      </c>
      <c r="F314" t="n">
        <v>1</v>
      </c>
      <c r="G314" t="inlineStr">
        <is>
          <t>06:30</t>
        </is>
      </c>
      <c r="H314" t="inlineStr">
        <is>
          <t>07:15</t>
        </is>
      </c>
      <c r="I314" t="inlineStr">
        <is>
          <t>AREAS_MULTIPLES</t>
        </is>
      </c>
      <c r="J314" t="inlineStr">
        <is>
          <t>0401</t>
        </is>
      </c>
      <c r="K314" t="inlineStr">
        <is>
          <t>ÁREAS MÚLTIPLES</t>
        </is>
      </c>
      <c r="L314" t="inlineStr"/>
      <c r="M314" t="inlineStr"/>
      <c r="N314" t="inlineStr"/>
      <c r="O314" t="inlineStr">
        <is>
          <t>Maestro de aula: todas las áreas con su grupo</t>
        </is>
      </c>
      <c r="P314" t="inlineStr"/>
      <c r="Q314">
        <f>IF(I314="ENFASIS","ÉNFASIS "&amp;M314,IFERROR(VLOOKUP(J314,Grupos!$A$2:$D$100,4,FALSE),J314))</f>
        <v/>
      </c>
      <c r="R314">
        <f>O314&amp;IF(N314&lt;&gt;"",IF(O314&lt;&gt;""," · ","")&amp;"Con: "&amp;N314,"")</f>
        <v/>
      </c>
      <c r="S314">
        <f>C314&amp;"|"&amp;D314</f>
        <v/>
      </c>
      <c r="T314">
        <f>COUNTIF($S$2:S314,S314)</f>
        <v/>
      </c>
      <c r="U314">
        <f>S314&amp;"|"&amp;T314</f>
        <v/>
      </c>
      <c r="V314">
        <f>IFERROR(VLOOKUP(IF(I314="ENFASIS",LEFT(M314,FIND("+",M314&amp;"+")-1),J314),Direccion_Grupo!$A$2:$G$100,7,FALSE),"")</f>
        <v/>
      </c>
    </row>
    <row r="315">
      <c r="A315" t="n">
        <v>33</v>
      </c>
      <c r="B315" t="inlineStr">
        <is>
          <t>Núñez Perlaza Elcy</t>
        </is>
      </c>
      <c r="C315" t="inlineStr">
        <is>
          <t>MARTES</t>
        </is>
      </c>
      <c r="D315" t="n">
        <v>1</v>
      </c>
      <c r="E315" t="n">
        <v>1</v>
      </c>
      <c r="F315" t="n">
        <v>1</v>
      </c>
      <c r="G315" t="inlineStr">
        <is>
          <t>06:30</t>
        </is>
      </c>
      <c r="H315" t="inlineStr">
        <is>
          <t>07:15</t>
        </is>
      </c>
      <c r="I315" t="inlineStr">
        <is>
          <t>AREAS_MULTIPLES</t>
        </is>
      </c>
      <c r="J315" t="inlineStr">
        <is>
          <t>0402</t>
        </is>
      </c>
      <c r="K315" t="inlineStr">
        <is>
          <t>ÁREAS MÚLTIPLES</t>
        </is>
      </c>
      <c r="L315" t="inlineStr"/>
      <c r="M315" t="inlineStr"/>
      <c r="N315" t="inlineStr"/>
      <c r="O315" t="inlineStr">
        <is>
          <t>Maestro de aula: todas las áreas con su grupo</t>
        </is>
      </c>
      <c r="P315" t="inlineStr"/>
      <c r="Q315">
        <f>IF(I315="ENFASIS","ÉNFASIS "&amp;M315,IFERROR(VLOOKUP(J315,Grupos!$A$2:$D$100,4,FALSE),J315))</f>
        <v/>
      </c>
      <c r="R315">
        <f>O315&amp;IF(N315&lt;&gt;"",IF(O315&lt;&gt;""," · ","")&amp;"Con: "&amp;N315,"")</f>
        <v/>
      </c>
      <c r="S315">
        <f>C315&amp;"|"&amp;D315</f>
        <v/>
      </c>
      <c r="T315">
        <f>COUNTIF($S$2:S315,S315)</f>
        <v/>
      </c>
      <c r="U315">
        <f>S315&amp;"|"&amp;T315</f>
        <v/>
      </c>
      <c r="V315">
        <f>IFERROR(VLOOKUP(IF(I315="ENFASIS",LEFT(M315,FIND("+",M315&amp;"+")-1),J315),Direccion_Grupo!$A$2:$G$100,7,FALSE),"")</f>
        <v/>
      </c>
    </row>
    <row r="316">
      <c r="A316" t="n">
        <v>14</v>
      </c>
      <c r="B316" t="inlineStr">
        <is>
          <t>Cuéllar Gallo Nemesia</t>
        </is>
      </c>
      <c r="C316" t="inlineStr">
        <is>
          <t>MARTES</t>
        </is>
      </c>
      <c r="D316" t="n">
        <v>1</v>
      </c>
      <c r="E316" t="n">
        <v>1</v>
      </c>
      <c r="F316" t="n">
        <v>1</v>
      </c>
      <c r="G316" t="inlineStr">
        <is>
          <t>06:30</t>
        </is>
      </c>
      <c r="H316" t="inlineStr">
        <is>
          <t>07:15</t>
        </is>
      </c>
      <c r="I316" t="inlineStr">
        <is>
          <t>AREAS_MULTIPLES</t>
        </is>
      </c>
      <c r="J316" t="inlineStr">
        <is>
          <t>0501</t>
        </is>
      </c>
      <c r="K316" t="inlineStr">
        <is>
          <t>ÁREAS MÚLTIPLES</t>
        </is>
      </c>
      <c r="L316" t="inlineStr"/>
      <c r="M316" t="inlineStr"/>
      <c r="N316" t="inlineStr"/>
      <c r="O316" t="inlineStr">
        <is>
          <t>Maestro de aula: todas las áreas con su grupo</t>
        </is>
      </c>
      <c r="P316" t="inlineStr"/>
      <c r="Q316">
        <f>IF(I316="ENFASIS","ÉNFASIS "&amp;M316,IFERROR(VLOOKUP(J316,Grupos!$A$2:$D$100,4,FALSE),J316))</f>
        <v/>
      </c>
      <c r="R316">
        <f>O316&amp;IF(N316&lt;&gt;"",IF(O316&lt;&gt;""," · ","")&amp;"Con: "&amp;N316,"")</f>
        <v/>
      </c>
      <c r="S316">
        <f>C316&amp;"|"&amp;D316</f>
        <v/>
      </c>
      <c r="T316">
        <f>COUNTIF($S$2:S316,S316)</f>
        <v/>
      </c>
      <c r="U316">
        <f>S316&amp;"|"&amp;T316</f>
        <v/>
      </c>
      <c r="V316">
        <f>IFERROR(VLOOKUP(IF(I316="ENFASIS",LEFT(M316,FIND("+",M316&amp;"+")-1),J316),Direccion_Grupo!$A$2:$G$100,7,FALSE),"")</f>
        <v/>
      </c>
    </row>
    <row r="317">
      <c r="A317" t="n">
        <v>11</v>
      </c>
      <c r="B317" t="inlineStr">
        <is>
          <t>Centeno Zúñiga Claudia Patricia</t>
        </is>
      </c>
      <c r="C317" t="inlineStr">
        <is>
          <t>MARTES</t>
        </is>
      </c>
      <c r="D317" t="n">
        <v>1</v>
      </c>
      <c r="E317" t="n">
        <v>1</v>
      </c>
      <c r="F317" t="n">
        <v>1</v>
      </c>
      <c r="G317" t="inlineStr">
        <is>
          <t>06:30</t>
        </is>
      </c>
      <c r="H317" t="inlineStr">
        <is>
          <t>07:15</t>
        </is>
      </c>
      <c r="I317" t="inlineStr">
        <is>
          <t>AREAS_MULTIPLES</t>
        </is>
      </c>
      <c r="J317" t="inlineStr">
        <is>
          <t>0502</t>
        </is>
      </c>
      <c r="K317" t="inlineStr">
        <is>
          <t>ÁREAS MÚLTIPLES</t>
        </is>
      </c>
      <c r="L317" t="inlineStr"/>
      <c r="M317" t="inlineStr"/>
      <c r="N317" t="inlineStr"/>
      <c r="O317" t="inlineStr">
        <is>
          <t>Maestro de aula: todas las áreas con su grupo</t>
        </is>
      </c>
      <c r="P317" t="inlineStr"/>
      <c r="Q317">
        <f>IF(I317="ENFASIS","ÉNFASIS "&amp;M317,IFERROR(VLOOKUP(J317,Grupos!$A$2:$D$100,4,FALSE),J317))</f>
        <v/>
      </c>
      <c r="R317">
        <f>O317&amp;IF(N317&lt;&gt;"",IF(O317&lt;&gt;""," · ","")&amp;"Con: "&amp;N317,"")</f>
        <v/>
      </c>
      <c r="S317">
        <f>C317&amp;"|"&amp;D317</f>
        <v/>
      </c>
      <c r="T317">
        <f>COUNTIF($S$2:S317,S317)</f>
        <v/>
      </c>
      <c r="U317">
        <f>S317&amp;"|"&amp;T317</f>
        <v/>
      </c>
      <c r="V317">
        <f>IFERROR(VLOOKUP(IF(I317="ENFASIS",LEFT(M317,FIND("+",M317&amp;"+")-1),J317),Direccion_Grupo!$A$2:$G$100,7,FALSE),"")</f>
        <v/>
      </c>
    </row>
    <row r="318">
      <c r="A318" t="n">
        <v>32</v>
      </c>
      <c r="B318" t="inlineStr">
        <is>
          <t>Narváez Sánchez Dora Alejandra</t>
        </is>
      </c>
      <c r="C318" t="inlineStr">
        <is>
          <t>MARTES</t>
        </is>
      </c>
      <c r="D318" t="n">
        <v>1</v>
      </c>
      <c r="E318" t="n">
        <v>1</v>
      </c>
      <c r="F318" t="n">
        <v>1</v>
      </c>
      <c r="G318" t="inlineStr">
        <is>
          <t>06:30</t>
        </is>
      </c>
      <c r="H318" t="inlineStr">
        <is>
          <t>07:15</t>
        </is>
      </c>
      <c r="I318" t="inlineStr">
        <is>
          <t>AREAS_MULTIPLES</t>
        </is>
      </c>
      <c r="J318" t="inlineStr">
        <is>
          <t>0503</t>
        </is>
      </c>
      <c r="K318" t="inlineStr">
        <is>
          <t>ÁREAS MÚLTIPLES</t>
        </is>
      </c>
      <c r="L318" t="inlineStr"/>
      <c r="M318" t="inlineStr"/>
      <c r="N318" t="inlineStr"/>
      <c r="O318" t="inlineStr">
        <is>
          <t>Maestro de aula: todas las áreas con su grupo</t>
        </is>
      </c>
      <c r="P318" t="inlineStr"/>
      <c r="Q318">
        <f>IF(I318="ENFASIS","ÉNFASIS "&amp;M318,IFERROR(VLOOKUP(J318,Grupos!$A$2:$D$100,4,FALSE),J318))</f>
        <v/>
      </c>
      <c r="R318">
        <f>O318&amp;IF(N318&lt;&gt;"",IF(O318&lt;&gt;""," · ","")&amp;"Con: "&amp;N318,"")</f>
        <v/>
      </c>
      <c r="S318">
        <f>C318&amp;"|"&amp;D318</f>
        <v/>
      </c>
      <c r="T318">
        <f>COUNTIF($S$2:S318,S318)</f>
        <v/>
      </c>
      <c r="U318">
        <f>S318&amp;"|"&amp;T318</f>
        <v/>
      </c>
      <c r="V318">
        <f>IFERROR(VLOOKUP(IF(I318="ENFASIS",LEFT(M318,FIND("+",M318&amp;"+")-1),J318),Direccion_Grupo!$A$2:$G$100,7,FALSE),"")</f>
        <v/>
      </c>
    </row>
    <row r="319">
      <c r="A319" t="n">
        <v>17</v>
      </c>
      <c r="B319" t="inlineStr">
        <is>
          <t>Escobar Cortés Liliana</t>
        </is>
      </c>
      <c r="C319" t="inlineStr">
        <is>
          <t>MARTES</t>
        </is>
      </c>
      <c r="D319" t="n">
        <v>1</v>
      </c>
      <c r="E319" t="n">
        <v>1</v>
      </c>
      <c r="F319" t="n">
        <v>1</v>
      </c>
      <c r="G319" t="inlineStr">
        <is>
          <t>06:30</t>
        </is>
      </c>
      <c r="H319" t="inlineStr">
        <is>
          <t>07:15</t>
        </is>
      </c>
      <c r="I319" t="inlineStr">
        <is>
          <t>AREAS_MULTIPLES</t>
        </is>
      </c>
      <c r="J319" t="inlineStr">
        <is>
          <t>0504</t>
        </is>
      </c>
      <c r="K319" t="inlineStr">
        <is>
          <t>ÁREAS MÚLTIPLES</t>
        </is>
      </c>
      <c r="L319" t="inlineStr"/>
      <c r="M319" t="inlineStr"/>
      <c r="N319" t="inlineStr"/>
      <c r="O319" t="inlineStr">
        <is>
          <t>Maestro de aula: todas las áreas con su grupo</t>
        </is>
      </c>
      <c r="P319" t="inlineStr"/>
      <c r="Q319">
        <f>IF(I319="ENFASIS","ÉNFASIS "&amp;M319,IFERROR(VLOOKUP(J319,Grupos!$A$2:$D$100,4,FALSE),J319))</f>
        <v/>
      </c>
      <c r="R319">
        <f>O319&amp;IF(N319&lt;&gt;"",IF(O319&lt;&gt;""," · ","")&amp;"Con: "&amp;N319,"")</f>
        <v/>
      </c>
      <c r="S319">
        <f>C319&amp;"|"&amp;D319</f>
        <v/>
      </c>
      <c r="T319">
        <f>COUNTIF($S$2:S319,S319)</f>
        <v/>
      </c>
      <c r="U319">
        <f>S319&amp;"|"&amp;T319</f>
        <v/>
      </c>
      <c r="V319">
        <f>IFERROR(VLOOKUP(IF(I319="ENFASIS",LEFT(M319,FIND("+",M319&amp;"+")-1),J319),Direccion_Grupo!$A$2:$G$100,7,FALSE),"")</f>
        <v/>
      </c>
    </row>
    <row r="320">
      <c r="A320" t="n">
        <v>42</v>
      </c>
      <c r="B320" t="inlineStr">
        <is>
          <t>Quiñones Cabezas Marcos Vidal</t>
        </is>
      </c>
      <c r="C320" t="inlineStr">
        <is>
          <t>MARTES</t>
        </is>
      </c>
      <c r="D320" t="n">
        <v>1</v>
      </c>
      <c r="E320" t="n">
        <v>1</v>
      </c>
      <c r="F320" t="n">
        <v>1</v>
      </c>
      <c r="G320" t="inlineStr">
        <is>
          <t>06:30</t>
        </is>
      </c>
      <c r="H320" t="inlineStr">
        <is>
          <t>07:15</t>
        </is>
      </c>
      <c r="I320" t="inlineStr">
        <is>
          <t>CLASE</t>
        </is>
      </c>
      <c r="J320" t="inlineStr">
        <is>
          <t>0601</t>
        </is>
      </c>
      <c r="K320" t="inlineStr">
        <is>
          <t>MAT</t>
        </is>
      </c>
      <c r="L320" t="inlineStr"/>
      <c r="M320" t="inlineStr"/>
      <c r="N320" t="inlineStr"/>
      <c r="O320" t="inlineStr"/>
      <c r="P320" t="inlineStr">
        <is>
          <t>0601-MAT</t>
        </is>
      </c>
      <c r="Q320">
        <f>IF(I320="ENFASIS","ÉNFASIS "&amp;M320,IFERROR(VLOOKUP(J320,Grupos!$A$2:$D$100,4,FALSE),J320))</f>
        <v/>
      </c>
      <c r="R320">
        <f>O320&amp;IF(N320&lt;&gt;"",IF(O320&lt;&gt;""," · ","")&amp;"Con: "&amp;N320,"")</f>
        <v/>
      </c>
      <c r="S320">
        <f>C320&amp;"|"&amp;D320</f>
        <v/>
      </c>
      <c r="T320">
        <f>COUNTIF($S$2:S320,S320)</f>
        <v/>
      </c>
      <c r="U320">
        <f>S320&amp;"|"&amp;T320</f>
        <v/>
      </c>
      <c r="V320">
        <f>IFERROR(VLOOKUP(IF(I320="ENFASIS",LEFT(M320,FIND("+",M320&amp;"+")-1),J320),Direccion_Grupo!$A$2:$G$100,7,FALSE),"")</f>
        <v/>
      </c>
    </row>
    <row r="321">
      <c r="A321" t="n">
        <v>16</v>
      </c>
      <c r="B321" t="inlineStr">
        <is>
          <t>Cuero Rincón Hernando Jesús</t>
        </is>
      </c>
      <c r="C321" t="inlineStr">
        <is>
          <t>MARTES</t>
        </is>
      </c>
      <c r="D321" t="n">
        <v>1</v>
      </c>
      <c r="E321" t="n">
        <v>1</v>
      </c>
      <c r="F321" t="n">
        <v>1</v>
      </c>
      <c r="G321" t="inlineStr">
        <is>
          <t>06:30</t>
        </is>
      </c>
      <c r="H321" t="inlineStr">
        <is>
          <t>07:15</t>
        </is>
      </c>
      <c r="I321" t="inlineStr">
        <is>
          <t>CLASE</t>
        </is>
      </c>
      <c r="J321" t="inlineStr">
        <is>
          <t>0602</t>
        </is>
      </c>
      <c r="K321" t="inlineStr">
        <is>
          <t>TEI</t>
        </is>
      </c>
      <c r="L321" t="inlineStr"/>
      <c r="M321" t="inlineStr"/>
      <c r="N321" t="inlineStr"/>
      <c r="O321" t="inlineStr"/>
      <c r="P321" t="inlineStr">
        <is>
          <t>0602-TEI</t>
        </is>
      </c>
      <c r="Q321">
        <f>IF(I321="ENFASIS","ÉNFASIS "&amp;M321,IFERROR(VLOOKUP(J321,Grupos!$A$2:$D$100,4,FALSE),J321))</f>
        <v/>
      </c>
      <c r="R321">
        <f>O321&amp;IF(N321&lt;&gt;"",IF(O321&lt;&gt;""," · ","")&amp;"Con: "&amp;N321,"")</f>
        <v/>
      </c>
      <c r="S321">
        <f>C321&amp;"|"&amp;D321</f>
        <v/>
      </c>
      <c r="T321">
        <f>COUNTIF($S$2:S321,S321)</f>
        <v/>
      </c>
      <c r="U321">
        <f>S321&amp;"|"&amp;T321</f>
        <v/>
      </c>
      <c r="V321">
        <f>IFERROR(VLOOKUP(IF(I321="ENFASIS",LEFT(M321,FIND("+",M321&amp;"+")-1),J321),Direccion_Grupo!$A$2:$G$100,7,FALSE),"")</f>
        <v/>
      </c>
    </row>
    <row r="322">
      <c r="A322" t="n">
        <v>4</v>
      </c>
      <c r="B322" t="inlineStr">
        <is>
          <t>Arizala Castro Roberto Carlos</t>
        </is>
      </c>
      <c r="C322" t="inlineStr">
        <is>
          <t>MARTES</t>
        </is>
      </c>
      <c r="D322" t="n">
        <v>1</v>
      </c>
      <c r="E322" t="n">
        <v>1</v>
      </c>
      <c r="F322" t="n">
        <v>1</v>
      </c>
      <c r="G322" t="inlineStr">
        <is>
          <t>06:30</t>
        </is>
      </c>
      <c r="H322" t="inlineStr">
        <is>
          <t>07:15</t>
        </is>
      </c>
      <c r="I322" t="inlineStr">
        <is>
          <t>CLASE</t>
        </is>
      </c>
      <c r="J322" t="inlineStr">
        <is>
          <t>0704</t>
        </is>
      </c>
      <c r="K322" t="inlineStr">
        <is>
          <t>ERD</t>
        </is>
      </c>
      <c r="L322" t="inlineStr"/>
      <c r="M322" t="inlineStr"/>
      <c r="N322" t="inlineStr"/>
      <c r="O322" t="inlineStr"/>
      <c r="P322" t="inlineStr">
        <is>
          <t>0704-ERD</t>
        </is>
      </c>
      <c r="Q322">
        <f>IF(I322="ENFASIS","ÉNFASIS "&amp;M322,IFERROR(VLOOKUP(J322,Grupos!$A$2:$D$100,4,FALSE),J322))</f>
        <v/>
      </c>
      <c r="R322">
        <f>O322&amp;IF(N322&lt;&gt;"",IF(O322&lt;&gt;""," · ","")&amp;"Con: "&amp;N322,"")</f>
        <v/>
      </c>
      <c r="S322">
        <f>C322&amp;"|"&amp;D322</f>
        <v/>
      </c>
      <c r="T322">
        <f>COUNTIF($S$2:S322,S322)</f>
        <v/>
      </c>
      <c r="U322">
        <f>S322&amp;"|"&amp;T322</f>
        <v/>
      </c>
      <c r="V322">
        <f>IFERROR(VLOOKUP(IF(I322="ENFASIS",LEFT(M322,FIND("+",M322&amp;"+")-1),J322),Direccion_Grupo!$A$2:$G$100,7,FALSE),"")</f>
        <v/>
      </c>
    </row>
    <row r="323">
      <c r="A323" t="n">
        <v>51</v>
      </c>
      <c r="B323" t="inlineStr">
        <is>
          <t>Valverde Montaño María Teresa</t>
        </is>
      </c>
      <c r="C323" t="inlineStr">
        <is>
          <t>MARTES</t>
        </is>
      </c>
      <c r="D323" t="n">
        <v>1</v>
      </c>
      <c r="E323" t="n">
        <v>1</v>
      </c>
      <c r="F323" t="n">
        <v>1</v>
      </c>
      <c r="G323" t="inlineStr">
        <is>
          <t>06:30</t>
        </is>
      </c>
      <c r="H323" t="inlineStr">
        <is>
          <t>07:15</t>
        </is>
      </c>
      <c r="I323" t="inlineStr">
        <is>
          <t>CLASE</t>
        </is>
      </c>
      <c r="J323" t="inlineStr">
        <is>
          <t>0801</t>
        </is>
      </c>
      <c r="K323" t="inlineStr">
        <is>
          <t>CAS</t>
        </is>
      </c>
      <c r="L323" t="inlineStr"/>
      <c r="M323" t="inlineStr"/>
      <c r="N323" t="inlineStr"/>
      <c r="O323" t="inlineStr"/>
      <c r="P323" t="inlineStr">
        <is>
          <t>0801-CAS</t>
        </is>
      </c>
      <c r="Q323">
        <f>IF(I323="ENFASIS","ÉNFASIS "&amp;M323,IFERROR(VLOOKUP(J323,Grupos!$A$2:$D$100,4,FALSE),J323))</f>
        <v/>
      </c>
      <c r="R323">
        <f>O323&amp;IF(N323&lt;&gt;"",IF(O323&lt;&gt;""," · ","")&amp;"Con: "&amp;N323,"")</f>
        <v/>
      </c>
      <c r="S323">
        <f>C323&amp;"|"&amp;D323</f>
        <v/>
      </c>
      <c r="T323">
        <f>COUNTIF($S$2:S323,S323)</f>
        <v/>
      </c>
      <c r="U323">
        <f>S323&amp;"|"&amp;T323</f>
        <v/>
      </c>
      <c r="V323">
        <f>IFERROR(VLOOKUP(IF(I323="ENFASIS",LEFT(M323,FIND("+",M323&amp;"+")-1),J323),Direccion_Grupo!$A$2:$G$100,7,FALSE),"")</f>
        <v/>
      </c>
    </row>
    <row r="324">
      <c r="A324" t="n">
        <v>38</v>
      </c>
      <c r="B324" t="inlineStr">
        <is>
          <t>Preciado Torres Oleisa</t>
        </is>
      </c>
      <c r="C324" t="inlineStr">
        <is>
          <t>MARTES</t>
        </is>
      </c>
      <c r="D324" t="n">
        <v>1</v>
      </c>
      <c r="E324" t="n">
        <v>1</v>
      </c>
      <c r="F324" t="n">
        <v>1</v>
      </c>
      <c r="G324" t="inlineStr">
        <is>
          <t>06:30</t>
        </is>
      </c>
      <c r="H324" t="inlineStr">
        <is>
          <t>07:15</t>
        </is>
      </c>
      <c r="I324" t="inlineStr">
        <is>
          <t>CLASE</t>
        </is>
      </c>
      <c r="J324" t="inlineStr">
        <is>
          <t>0802</t>
        </is>
      </c>
      <c r="K324" t="inlineStr">
        <is>
          <t>MAT</t>
        </is>
      </c>
      <c r="L324" t="inlineStr"/>
      <c r="M324" t="inlineStr"/>
      <c r="N324" t="inlineStr"/>
      <c r="O324" t="inlineStr"/>
      <c r="P324" t="inlineStr">
        <is>
          <t>0802-MAT</t>
        </is>
      </c>
      <c r="Q324">
        <f>IF(I324="ENFASIS","ÉNFASIS "&amp;M324,IFERROR(VLOOKUP(J324,Grupos!$A$2:$D$100,4,FALSE),J324))</f>
        <v/>
      </c>
      <c r="R324">
        <f>O324&amp;IF(N324&lt;&gt;"",IF(O324&lt;&gt;""," · ","")&amp;"Con: "&amp;N324,"")</f>
        <v/>
      </c>
      <c r="S324">
        <f>C324&amp;"|"&amp;D324</f>
        <v/>
      </c>
      <c r="T324">
        <f>COUNTIF($S$2:S324,S324)</f>
        <v/>
      </c>
      <c r="U324">
        <f>S324&amp;"|"&amp;T324</f>
        <v/>
      </c>
      <c r="V324">
        <f>IFERROR(VLOOKUP(IF(I324="ENFASIS",LEFT(M324,FIND("+",M324&amp;"+")-1),J324),Direccion_Grupo!$A$2:$G$100,7,FALSE),"")</f>
        <v/>
      </c>
    </row>
    <row r="325">
      <c r="A325" t="n">
        <v>49</v>
      </c>
      <c r="B325" t="inlineStr">
        <is>
          <t>Valencia Marínez Saidy Eufemia</t>
        </is>
      </c>
      <c r="C325" t="inlineStr">
        <is>
          <t>MARTES</t>
        </is>
      </c>
      <c r="D325" t="n">
        <v>1</v>
      </c>
      <c r="E325" t="n">
        <v>1</v>
      </c>
      <c r="F325" t="n">
        <v>1</v>
      </c>
      <c r="G325" t="inlineStr">
        <is>
          <t>06:30</t>
        </is>
      </c>
      <c r="H325" t="inlineStr">
        <is>
          <t>07:15</t>
        </is>
      </c>
      <c r="I325" t="inlineStr">
        <is>
          <t>CLASE</t>
        </is>
      </c>
      <c r="J325" t="inlineStr">
        <is>
          <t>0901</t>
        </is>
      </c>
      <c r="K325" t="inlineStr">
        <is>
          <t>ART</t>
        </is>
      </c>
      <c r="L325" t="inlineStr"/>
      <c r="M325" t="inlineStr"/>
      <c r="N325" t="inlineStr"/>
      <c r="O325" t="inlineStr"/>
      <c r="P325" t="inlineStr">
        <is>
          <t>0901-ART</t>
        </is>
      </c>
      <c r="Q325">
        <f>IF(I325="ENFASIS","ÉNFASIS "&amp;M325,IFERROR(VLOOKUP(J325,Grupos!$A$2:$D$100,4,FALSE),J325))</f>
        <v/>
      </c>
      <c r="R325">
        <f>O325&amp;IF(N325&lt;&gt;"",IF(O325&lt;&gt;""," · ","")&amp;"Con: "&amp;N325,"")</f>
        <v/>
      </c>
      <c r="S325">
        <f>C325&amp;"|"&amp;D325</f>
        <v/>
      </c>
      <c r="T325">
        <f>COUNTIF($S$2:S325,S325)</f>
        <v/>
      </c>
      <c r="U325">
        <f>S325&amp;"|"&amp;T325</f>
        <v/>
      </c>
      <c r="V325">
        <f>IFERROR(VLOOKUP(IF(I325="ENFASIS",LEFT(M325,FIND("+",M325&amp;"+")-1),J325),Direccion_Grupo!$A$2:$G$100,7,FALSE),"")</f>
        <v/>
      </c>
    </row>
    <row r="326">
      <c r="A326" t="n">
        <v>25</v>
      </c>
      <c r="B326" t="inlineStr">
        <is>
          <t>Lemos Guancha Miriam</t>
        </is>
      </c>
      <c r="C326" t="inlineStr">
        <is>
          <t>MARTES</t>
        </is>
      </c>
      <c r="D326" t="n">
        <v>1</v>
      </c>
      <c r="E326" t="n">
        <v>1</v>
      </c>
      <c r="F326" t="n">
        <v>1</v>
      </c>
      <c r="G326" t="inlineStr">
        <is>
          <t>06:30</t>
        </is>
      </c>
      <c r="H326" t="inlineStr">
        <is>
          <t>07:15</t>
        </is>
      </c>
      <c r="I326" t="inlineStr">
        <is>
          <t>CLASE</t>
        </is>
      </c>
      <c r="J326" t="inlineStr">
        <is>
          <t>1001</t>
        </is>
      </c>
      <c r="K326" t="inlineStr">
        <is>
          <t>CNA</t>
        </is>
      </c>
      <c r="L326" t="inlineStr"/>
      <c r="M326" t="inlineStr"/>
      <c r="N326" t="inlineStr"/>
      <c r="O326" t="inlineStr"/>
      <c r="P326" t="inlineStr">
        <is>
          <t>1001-CNA</t>
        </is>
      </c>
      <c r="Q326">
        <f>IF(I326="ENFASIS","ÉNFASIS "&amp;M326,IFERROR(VLOOKUP(J326,Grupos!$A$2:$D$100,4,FALSE),J326))</f>
        <v/>
      </c>
      <c r="R326">
        <f>O326&amp;IF(N326&lt;&gt;"",IF(O326&lt;&gt;""," · ","")&amp;"Con: "&amp;N326,"")</f>
        <v/>
      </c>
      <c r="S326">
        <f>C326&amp;"|"&amp;D326</f>
        <v/>
      </c>
      <c r="T326">
        <f>COUNTIF($S$2:S326,S326)</f>
        <v/>
      </c>
      <c r="U326">
        <f>S326&amp;"|"&amp;T326</f>
        <v/>
      </c>
      <c r="V326">
        <f>IFERROR(VLOOKUP(IF(I326="ENFASIS",LEFT(M326,FIND("+",M326&amp;"+")-1),J326),Direccion_Grupo!$A$2:$G$100,7,FALSE),"")</f>
        <v/>
      </c>
    </row>
    <row r="327">
      <c r="A327" t="n">
        <v>30</v>
      </c>
      <c r="B327" t="inlineStr">
        <is>
          <t>Montaño Anchico Favio Héctor</t>
        </is>
      </c>
      <c r="C327" t="inlineStr">
        <is>
          <t>MARTES</t>
        </is>
      </c>
      <c r="D327" t="n">
        <v>1</v>
      </c>
      <c r="E327" t="n">
        <v>1</v>
      </c>
      <c r="F327" t="n">
        <v>1</v>
      </c>
      <c r="G327" t="inlineStr">
        <is>
          <t>06:30</t>
        </is>
      </c>
      <c r="H327" t="inlineStr">
        <is>
          <t>07:15</t>
        </is>
      </c>
      <c r="I327" t="inlineStr">
        <is>
          <t>CLASE</t>
        </is>
      </c>
      <c r="J327" t="inlineStr">
        <is>
          <t>1002</t>
        </is>
      </c>
      <c r="K327" t="inlineStr">
        <is>
          <t>CAS</t>
        </is>
      </c>
      <c r="L327" t="inlineStr"/>
      <c r="M327" t="inlineStr"/>
      <c r="N327" t="inlineStr"/>
      <c r="O327" t="inlineStr"/>
      <c r="P327" t="inlineStr">
        <is>
          <t>1002-CAS</t>
        </is>
      </c>
      <c r="Q327">
        <f>IF(I327="ENFASIS","ÉNFASIS "&amp;M327,IFERROR(VLOOKUP(J327,Grupos!$A$2:$D$100,4,FALSE),J327))</f>
        <v/>
      </c>
      <c r="R327">
        <f>O327&amp;IF(N327&lt;&gt;"",IF(O327&lt;&gt;""," · ","")&amp;"Con: "&amp;N327,"")</f>
        <v/>
      </c>
      <c r="S327">
        <f>C327&amp;"|"&amp;D327</f>
        <v/>
      </c>
      <c r="T327">
        <f>COUNTIF($S$2:S327,S327)</f>
        <v/>
      </c>
      <c r="U327">
        <f>S327&amp;"|"&amp;T327</f>
        <v/>
      </c>
      <c r="V327">
        <f>IFERROR(VLOOKUP(IF(I327="ENFASIS",LEFT(M327,FIND("+",M327&amp;"+")-1),J327),Direccion_Grupo!$A$2:$G$100,7,FALSE),"")</f>
        <v/>
      </c>
    </row>
    <row r="328">
      <c r="A328" t="n">
        <v>43</v>
      </c>
      <c r="B328" t="inlineStr">
        <is>
          <t>Ramírez Guerra Jimmy Eduardo</t>
        </is>
      </c>
      <c r="C328" t="inlineStr">
        <is>
          <t>MARTES</t>
        </is>
      </c>
      <c r="D328" t="n">
        <v>1</v>
      </c>
      <c r="E328" t="n">
        <v>1</v>
      </c>
      <c r="F328" t="n">
        <v>1</v>
      </c>
      <c r="G328" t="inlineStr">
        <is>
          <t>06:30</t>
        </is>
      </c>
      <c r="H328" t="inlineStr">
        <is>
          <t>07:15</t>
        </is>
      </c>
      <c r="I328" t="inlineStr">
        <is>
          <t>CLASE</t>
        </is>
      </c>
      <c r="J328" t="inlineStr">
        <is>
          <t>1101</t>
        </is>
      </c>
      <c r="K328" t="inlineStr">
        <is>
          <t>ERD</t>
        </is>
      </c>
      <c r="L328" t="inlineStr"/>
      <c r="M328" t="inlineStr"/>
      <c r="N328" t="inlineStr"/>
      <c r="O328" t="inlineStr"/>
      <c r="P328" t="inlineStr">
        <is>
          <t>1101-ERD</t>
        </is>
      </c>
      <c r="Q328">
        <f>IF(I328="ENFASIS","ÉNFASIS "&amp;M328,IFERROR(VLOOKUP(J328,Grupos!$A$2:$D$100,4,FALSE),J328))</f>
        <v/>
      </c>
      <c r="R328">
        <f>O328&amp;IF(N328&lt;&gt;"",IF(O328&lt;&gt;""," · ","")&amp;"Con: "&amp;N328,"")</f>
        <v/>
      </c>
      <c r="S328">
        <f>C328&amp;"|"&amp;D328</f>
        <v/>
      </c>
      <c r="T328">
        <f>COUNTIF($S$2:S328,S328)</f>
        <v/>
      </c>
      <c r="U328">
        <f>S328&amp;"|"&amp;T328</f>
        <v/>
      </c>
      <c r="V328">
        <f>IFERROR(VLOOKUP(IF(I328="ENFASIS",LEFT(M328,FIND("+",M328&amp;"+")-1),J328),Direccion_Grupo!$A$2:$G$100,7,FALSE),"")</f>
        <v/>
      </c>
    </row>
    <row r="329">
      <c r="A329" t="n">
        <v>35</v>
      </c>
      <c r="B329" t="inlineStr">
        <is>
          <t>Ortiz Araujo Adiela Carlota</t>
        </is>
      </c>
      <c r="C329" t="inlineStr">
        <is>
          <t>MARTES</t>
        </is>
      </c>
      <c r="D329" t="n">
        <v>1</v>
      </c>
      <c r="E329" t="n">
        <v>1</v>
      </c>
      <c r="F329" t="n">
        <v>1</v>
      </c>
      <c r="G329" t="inlineStr">
        <is>
          <t>06:30</t>
        </is>
      </c>
      <c r="H329" t="inlineStr">
        <is>
          <t>07:15</t>
        </is>
      </c>
      <c r="I329" t="inlineStr">
        <is>
          <t>CLASE</t>
        </is>
      </c>
      <c r="J329" t="inlineStr">
        <is>
          <t>CS201</t>
        </is>
      </c>
      <c r="K329" t="inlineStr">
        <is>
          <t>CSI</t>
        </is>
      </c>
      <c r="L329" t="inlineStr"/>
      <c r="M329" t="inlineStr"/>
      <c r="N329" t="inlineStr"/>
      <c r="O329" t="inlineStr">
        <is>
          <t>Sociales / Inglés (alternan cada semana)</t>
        </is>
      </c>
      <c r="P329" t="inlineStr">
        <is>
          <t>CS201-CSI</t>
        </is>
      </c>
      <c r="Q329">
        <f>IF(I329="ENFASIS","ÉNFASIS "&amp;M329,IFERROR(VLOOKUP(J329,Grupos!$A$2:$D$100,4,FALSE),J329))</f>
        <v/>
      </c>
      <c r="R329">
        <f>O329&amp;IF(N329&lt;&gt;"",IF(O329&lt;&gt;""," · ","")&amp;"Con: "&amp;N329,"")</f>
        <v/>
      </c>
      <c r="S329">
        <f>C329&amp;"|"&amp;D329</f>
        <v/>
      </c>
      <c r="T329">
        <f>COUNTIF($S$2:S329,S329)</f>
        <v/>
      </c>
      <c r="U329">
        <f>S329&amp;"|"&amp;T329</f>
        <v/>
      </c>
      <c r="V329">
        <f>IFERROR(VLOOKUP(IF(I329="ENFASIS",LEFT(M329,FIND("+",M329&amp;"+")-1),J329),Direccion_Grupo!$A$2:$G$100,7,FALSE),"")</f>
        <v/>
      </c>
    </row>
    <row r="330">
      <c r="A330" t="n">
        <v>19</v>
      </c>
      <c r="B330" t="inlineStr">
        <is>
          <t>Fernández Vélez Alfredo Enrique</t>
        </is>
      </c>
      <c r="C330" t="inlineStr">
        <is>
          <t>MARTES</t>
        </is>
      </c>
      <c r="D330" t="n">
        <v>1</v>
      </c>
      <c r="E330" t="n">
        <v>1</v>
      </c>
      <c r="F330" t="n">
        <v>1</v>
      </c>
      <c r="G330" t="inlineStr">
        <is>
          <t>06:30</t>
        </is>
      </c>
      <c r="H330" t="inlineStr">
        <is>
          <t>07:15</t>
        </is>
      </c>
      <c r="I330" t="inlineStr">
        <is>
          <t>CLASE</t>
        </is>
      </c>
      <c r="J330" t="inlineStr">
        <is>
          <t>CS202</t>
        </is>
      </c>
      <c r="K330" t="inlineStr">
        <is>
          <t>TEI</t>
        </is>
      </c>
      <c r="L330" t="inlineStr"/>
      <c r="M330" t="inlineStr"/>
      <c r="N330" t="inlineStr"/>
      <c r="O330" t="inlineStr"/>
      <c r="P330" t="inlineStr">
        <is>
          <t>CS202-TEI</t>
        </is>
      </c>
      <c r="Q330">
        <f>IF(I330="ENFASIS","ÉNFASIS "&amp;M330,IFERROR(VLOOKUP(J330,Grupos!$A$2:$D$100,4,FALSE),J330))</f>
        <v/>
      </c>
      <c r="R330">
        <f>O330&amp;IF(N330&lt;&gt;"",IF(O330&lt;&gt;""," · ","")&amp;"Con: "&amp;N330,"")</f>
        <v/>
      </c>
      <c r="S330">
        <f>C330&amp;"|"&amp;D330</f>
        <v/>
      </c>
      <c r="T330">
        <f>COUNTIF($S$2:S330,S330)</f>
        <v/>
      </c>
      <c r="U330">
        <f>S330&amp;"|"&amp;T330</f>
        <v/>
      </c>
      <c r="V330">
        <f>IFERROR(VLOOKUP(IF(I330="ENFASIS",LEFT(M330,FIND("+",M330&amp;"+")-1),J330),Direccion_Grupo!$A$2:$G$100,7,FALSE),"")</f>
        <v/>
      </c>
    </row>
    <row r="331">
      <c r="A331" t="n">
        <v>56</v>
      </c>
      <c r="B331" t="inlineStr">
        <is>
          <t>Ortiz Estacio Martha Cecilia</t>
        </is>
      </c>
      <c r="C331" t="inlineStr">
        <is>
          <t>MARTES</t>
        </is>
      </c>
      <c r="D331" t="n">
        <v>1</v>
      </c>
      <c r="E331" t="n">
        <v>1</v>
      </c>
      <c r="F331" t="n">
        <v>1</v>
      </c>
      <c r="G331" t="inlineStr">
        <is>
          <t>06:30</t>
        </is>
      </c>
      <c r="H331" t="inlineStr">
        <is>
          <t>07:15</t>
        </is>
      </c>
      <c r="I331" t="inlineStr">
        <is>
          <t>TUTORIA</t>
        </is>
      </c>
      <c r="J331" t="inlineStr">
        <is>
          <t>PTAFI</t>
        </is>
      </c>
      <c r="K331" t="inlineStr">
        <is>
          <t>TUTORÍA PTAFI</t>
        </is>
      </c>
      <c r="L331" t="inlineStr"/>
      <c r="M331" t="inlineStr"/>
      <c r="N331" t="inlineStr"/>
      <c r="O331" t="inlineStr">
        <is>
          <t>Jornada 06:30 a 12:00</t>
        </is>
      </c>
      <c r="P331" t="inlineStr"/>
      <c r="Q331">
        <f>IF(I331="ENFASIS","ÉNFASIS "&amp;M331,IFERROR(VLOOKUP(J331,Grupos!$A$2:$D$100,4,FALSE),J331))</f>
        <v/>
      </c>
      <c r="R331">
        <f>O331&amp;IF(N331&lt;&gt;"",IF(O331&lt;&gt;""," · ","")&amp;"Con: "&amp;N331,"")</f>
        <v/>
      </c>
      <c r="S331">
        <f>C331&amp;"|"&amp;D331</f>
        <v/>
      </c>
      <c r="T331">
        <f>COUNTIF($S$2:S331,S331)</f>
        <v/>
      </c>
      <c r="U331">
        <f>S331&amp;"|"&amp;T331</f>
        <v/>
      </c>
      <c r="V331">
        <f>IFERROR(VLOOKUP(IF(I331="ENFASIS",LEFT(M331,FIND("+",M331&amp;"+")-1),J331),Direccion_Grupo!$A$2:$G$100,7,FALSE),"")</f>
        <v/>
      </c>
    </row>
    <row r="332">
      <c r="A332" t="n">
        <v>10</v>
      </c>
      <c r="B332" t="inlineStr">
        <is>
          <t>Castillo Cuero Daira Eneida</t>
        </is>
      </c>
      <c r="C332" t="inlineStr">
        <is>
          <t>MARTES</t>
        </is>
      </c>
      <c r="D332" t="n">
        <v>1</v>
      </c>
      <c r="E332" t="n">
        <v>1</v>
      </c>
      <c r="F332" t="n">
        <v>1</v>
      </c>
      <c r="G332" t="inlineStr">
        <is>
          <t>06:30</t>
        </is>
      </c>
      <c r="H332" t="inlineStr">
        <is>
          <t>07:15</t>
        </is>
      </c>
      <c r="I332" t="inlineStr">
        <is>
          <t>ENFASIS</t>
        </is>
      </c>
      <c r="J332" t="inlineStr"/>
      <c r="K332" t="inlineStr">
        <is>
          <t>CAS</t>
        </is>
      </c>
      <c r="L332" t="inlineStr">
        <is>
          <t>0701</t>
        </is>
      </c>
      <c r="M332" t="inlineStr">
        <is>
          <t>0701</t>
        </is>
      </c>
      <c r="N332" t="inlineStr">
        <is>
          <t>Puches Ana Milena (ART)</t>
        </is>
      </c>
      <c r="O332" t="inlineStr">
        <is>
          <t>PAREJA: comparten el énfasis y alternan por semana</t>
        </is>
      </c>
      <c r="P332" t="inlineStr">
        <is>
          <t>ENFASIS-0701</t>
        </is>
      </c>
      <c r="Q332">
        <f>IF(I332="ENFASIS","ÉNFASIS "&amp;M332,IFERROR(VLOOKUP(J332,Grupos!$A$2:$D$100,4,FALSE),J332))</f>
        <v/>
      </c>
      <c r="R332">
        <f>O332&amp;IF(N332&lt;&gt;"",IF(O332&lt;&gt;""," · ","")&amp;"Con: "&amp;N332,"")</f>
        <v/>
      </c>
      <c r="S332">
        <f>C332&amp;"|"&amp;D332</f>
        <v/>
      </c>
      <c r="T332">
        <f>COUNTIF($S$2:S332,S332)</f>
        <v/>
      </c>
      <c r="U332">
        <f>S332&amp;"|"&amp;T332</f>
        <v/>
      </c>
      <c r="V332">
        <f>IFERROR(VLOOKUP(IF(I332="ENFASIS",LEFT(M332,FIND("+",M332&amp;"+")-1),J332),Direccion_Grupo!$A$2:$G$100,7,FALSE),"")</f>
        <v/>
      </c>
    </row>
    <row r="333">
      <c r="A333" t="n">
        <v>39</v>
      </c>
      <c r="B333" t="inlineStr">
        <is>
          <t>Puches Ana Milena</t>
        </is>
      </c>
      <c r="C333" t="inlineStr">
        <is>
          <t>MARTES</t>
        </is>
      </c>
      <c r="D333" t="n">
        <v>1</v>
      </c>
      <c r="E333" t="n">
        <v>1</v>
      </c>
      <c r="F333" t="n">
        <v>1</v>
      </c>
      <c r="G333" t="inlineStr">
        <is>
          <t>06:30</t>
        </is>
      </c>
      <c r="H333" t="inlineStr">
        <is>
          <t>07:15</t>
        </is>
      </c>
      <c r="I333" t="inlineStr">
        <is>
          <t>ENFASIS</t>
        </is>
      </c>
      <c r="J333" t="inlineStr"/>
      <c r="K333" t="inlineStr">
        <is>
          <t>ART</t>
        </is>
      </c>
      <c r="L333" t="inlineStr">
        <is>
          <t>0701</t>
        </is>
      </c>
      <c r="M333" t="inlineStr">
        <is>
          <t>0701</t>
        </is>
      </c>
      <c r="N333" t="inlineStr">
        <is>
          <t>Castillo Cuero Daira Eneida (CAS)</t>
        </is>
      </c>
      <c r="O333" t="inlineStr">
        <is>
          <t>PAREJA: comparten el énfasis y alternan por semana</t>
        </is>
      </c>
      <c r="P333" t="inlineStr">
        <is>
          <t>ENFASIS-0701</t>
        </is>
      </c>
      <c r="Q333">
        <f>IF(I333="ENFASIS","ÉNFASIS "&amp;M333,IFERROR(VLOOKUP(J333,Grupos!$A$2:$D$100,4,FALSE),J333))</f>
        <v/>
      </c>
      <c r="R333">
        <f>O333&amp;IF(N333&lt;&gt;"",IF(O333&lt;&gt;""," · ","")&amp;"Con: "&amp;N333,"")</f>
        <v/>
      </c>
      <c r="S333">
        <f>C333&amp;"|"&amp;D333</f>
        <v/>
      </c>
      <c r="T333">
        <f>COUNTIF($S$2:S333,S333)</f>
        <v/>
      </c>
      <c r="U333">
        <f>S333&amp;"|"&amp;T333</f>
        <v/>
      </c>
      <c r="V333">
        <f>IFERROR(VLOOKUP(IF(I333="ENFASIS",LEFT(M333,FIND("+",M333&amp;"+")-1),J333),Direccion_Grupo!$A$2:$G$100,7,FALSE),"")</f>
        <v/>
      </c>
    </row>
    <row r="334">
      <c r="A334" t="n">
        <v>12</v>
      </c>
      <c r="B334" t="inlineStr">
        <is>
          <t>Chillambo Quiñones María Rocío</t>
        </is>
      </c>
      <c r="C334" t="inlineStr">
        <is>
          <t>MARTES</t>
        </is>
      </c>
      <c r="D334" t="n">
        <v>1</v>
      </c>
      <c r="E334" t="n">
        <v>1</v>
      </c>
      <c r="F334" t="n">
        <v>1</v>
      </c>
      <c r="G334" t="inlineStr">
        <is>
          <t>06:30</t>
        </is>
      </c>
      <c r="H334" t="inlineStr">
        <is>
          <t>07:15</t>
        </is>
      </c>
      <c r="I334" t="inlineStr">
        <is>
          <t>ENFASIS</t>
        </is>
      </c>
      <c r="J334" t="inlineStr"/>
      <c r="K334" t="inlineStr">
        <is>
          <t>CNA</t>
        </is>
      </c>
      <c r="L334" t="inlineStr">
        <is>
          <t>0702</t>
        </is>
      </c>
      <c r="M334" t="inlineStr">
        <is>
          <t>0702</t>
        </is>
      </c>
      <c r="N334" t="inlineStr">
        <is>
          <t>Cuero Bamba Berte Levi (ERD)</t>
        </is>
      </c>
      <c r="O334" t="inlineStr">
        <is>
          <t>PAREJA: comparten el énfasis y alternan por semana</t>
        </is>
      </c>
      <c r="P334" t="inlineStr">
        <is>
          <t>ENFASIS-0702</t>
        </is>
      </c>
      <c r="Q334">
        <f>IF(I334="ENFASIS","ÉNFASIS "&amp;M334,IFERROR(VLOOKUP(J334,Grupos!$A$2:$D$100,4,FALSE),J334))</f>
        <v/>
      </c>
      <c r="R334">
        <f>O334&amp;IF(N334&lt;&gt;"",IF(O334&lt;&gt;""," · ","")&amp;"Con: "&amp;N334,"")</f>
        <v/>
      </c>
      <c r="S334">
        <f>C334&amp;"|"&amp;D334</f>
        <v/>
      </c>
      <c r="T334">
        <f>COUNTIF($S$2:S334,S334)</f>
        <v/>
      </c>
      <c r="U334">
        <f>S334&amp;"|"&amp;T334</f>
        <v/>
      </c>
      <c r="V334">
        <f>IFERROR(VLOOKUP(IF(I334="ENFASIS",LEFT(M334,FIND("+",M334&amp;"+")-1),J334),Direccion_Grupo!$A$2:$G$100,7,FALSE),"")</f>
        <v/>
      </c>
    </row>
    <row r="335">
      <c r="A335" t="n">
        <v>15</v>
      </c>
      <c r="B335" t="inlineStr">
        <is>
          <t>Cuero Bamba Berte Levi</t>
        </is>
      </c>
      <c r="C335" t="inlineStr">
        <is>
          <t>MARTES</t>
        </is>
      </c>
      <c r="D335" t="n">
        <v>1</v>
      </c>
      <c r="E335" t="n">
        <v>1</v>
      </c>
      <c r="F335" t="n">
        <v>1</v>
      </c>
      <c r="G335" t="inlineStr">
        <is>
          <t>06:30</t>
        </is>
      </c>
      <c r="H335" t="inlineStr">
        <is>
          <t>07:15</t>
        </is>
      </c>
      <c r="I335" t="inlineStr">
        <is>
          <t>ENFASIS</t>
        </is>
      </c>
      <c r="J335" t="inlineStr"/>
      <c r="K335" t="inlineStr">
        <is>
          <t>ERD</t>
        </is>
      </c>
      <c r="L335" t="inlineStr">
        <is>
          <t>0702</t>
        </is>
      </c>
      <c r="M335" t="inlineStr">
        <is>
          <t>0702</t>
        </is>
      </c>
      <c r="N335" t="inlineStr">
        <is>
          <t>Chillambo Quiñones María Rocío (CNA)</t>
        </is>
      </c>
      <c r="O335" t="inlineStr">
        <is>
          <t>PAREJA: comparten el énfasis y alternan por semana</t>
        </is>
      </c>
      <c r="P335" t="inlineStr">
        <is>
          <t>ENFASIS-0702</t>
        </is>
      </c>
      <c r="Q335">
        <f>IF(I335="ENFASIS","ÉNFASIS "&amp;M335,IFERROR(VLOOKUP(J335,Grupos!$A$2:$D$100,4,FALSE),J335))</f>
        <v/>
      </c>
      <c r="R335">
        <f>O335&amp;IF(N335&lt;&gt;"",IF(O335&lt;&gt;""," · ","")&amp;"Con: "&amp;N335,"")</f>
        <v/>
      </c>
      <c r="S335">
        <f>C335&amp;"|"&amp;D335</f>
        <v/>
      </c>
      <c r="T335">
        <f>COUNTIF($S$2:S335,S335)</f>
        <v/>
      </c>
      <c r="U335">
        <f>S335&amp;"|"&amp;T335</f>
        <v/>
      </c>
      <c r="V335">
        <f>IFERROR(VLOOKUP(IF(I335="ENFASIS",LEFT(M335,FIND("+",M335&amp;"+")-1),J335),Direccion_Grupo!$A$2:$G$100,7,FALSE),"")</f>
        <v/>
      </c>
    </row>
    <row r="336">
      <c r="A336" t="n">
        <v>8</v>
      </c>
      <c r="B336" t="inlineStr">
        <is>
          <t>Casanova Quiñones Yoli del Carmen</t>
        </is>
      </c>
      <c r="C336" t="inlineStr">
        <is>
          <t>MARTES</t>
        </is>
      </c>
      <c r="D336" t="n">
        <v>1</v>
      </c>
      <c r="E336" t="n">
        <v>1</v>
      </c>
      <c r="F336" t="n">
        <v>1</v>
      </c>
      <c r="G336" t="inlineStr">
        <is>
          <t>06:30</t>
        </is>
      </c>
      <c r="H336" t="inlineStr">
        <is>
          <t>07:15</t>
        </is>
      </c>
      <c r="I336" t="inlineStr">
        <is>
          <t>ENFASIS</t>
        </is>
      </c>
      <c r="J336" t="inlineStr"/>
      <c r="K336" t="inlineStr">
        <is>
          <t>ETR</t>
        </is>
      </c>
      <c r="L336" t="inlineStr">
        <is>
          <t>0703</t>
        </is>
      </c>
      <c r="M336" t="inlineStr">
        <is>
          <t>0703</t>
        </is>
      </c>
      <c r="N336" t="inlineStr">
        <is>
          <t>Quintero Ramírez María del Carmen (CSI)</t>
        </is>
      </c>
      <c r="O336" t="inlineStr">
        <is>
          <t>PAREJA: comparten el énfasis y alternan por semana</t>
        </is>
      </c>
      <c r="P336" t="inlineStr">
        <is>
          <t>ENFASIS-0703</t>
        </is>
      </c>
      <c r="Q336">
        <f>IF(I336="ENFASIS","ÉNFASIS "&amp;M336,IFERROR(VLOOKUP(J336,Grupos!$A$2:$D$100,4,FALSE),J336))</f>
        <v/>
      </c>
      <c r="R336">
        <f>O336&amp;IF(N336&lt;&gt;"",IF(O336&lt;&gt;""," · ","")&amp;"Con: "&amp;N336,"")</f>
        <v/>
      </c>
      <c r="S336">
        <f>C336&amp;"|"&amp;D336</f>
        <v/>
      </c>
      <c r="T336">
        <f>COUNTIF($S$2:S336,S336)</f>
        <v/>
      </c>
      <c r="U336">
        <f>S336&amp;"|"&amp;T336</f>
        <v/>
      </c>
      <c r="V336">
        <f>IFERROR(VLOOKUP(IF(I336="ENFASIS",LEFT(M336,FIND("+",M336&amp;"+")-1),J336),Direccion_Grupo!$A$2:$G$100,7,FALSE),"")</f>
        <v/>
      </c>
    </row>
    <row r="337">
      <c r="A337" t="n">
        <v>41</v>
      </c>
      <c r="B337" t="inlineStr">
        <is>
          <t>Quintero Ramírez María del Carmen</t>
        </is>
      </c>
      <c r="C337" t="inlineStr">
        <is>
          <t>MARTES</t>
        </is>
      </c>
      <c r="D337" t="n">
        <v>1</v>
      </c>
      <c r="E337" t="n">
        <v>1</v>
      </c>
      <c r="F337" t="n">
        <v>1</v>
      </c>
      <c r="G337" t="inlineStr">
        <is>
          <t>06:30</t>
        </is>
      </c>
      <c r="H337" t="inlineStr">
        <is>
          <t>07:15</t>
        </is>
      </c>
      <c r="I337" t="inlineStr">
        <is>
          <t>ENFASIS</t>
        </is>
      </c>
      <c r="J337" t="inlineStr"/>
      <c r="K337" t="inlineStr">
        <is>
          <t>CSI</t>
        </is>
      </c>
      <c r="L337" t="inlineStr">
        <is>
          <t>0703</t>
        </is>
      </c>
      <c r="M337" t="inlineStr">
        <is>
          <t>0703</t>
        </is>
      </c>
      <c r="N337" t="inlineStr">
        <is>
          <t>Casanova Quiñones Yoli del Carmen (ETR)</t>
        </is>
      </c>
      <c r="O337" t="inlineStr">
        <is>
          <t>PAREJA: comparten el énfasis y alternan por semana</t>
        </is>
      </c>
      <c r="P337" t="inlineStr">
        <is>
          <t>ENFASIS-0703</t>
        </is>
      </c>
      <c r="Q337">
        <f>IF(I337="ENFASIS","ÉNFASIS "&amp;M337,IFERROR(VLOOKUP(J337,Grupos!$A$2:$D$100,4,FALSE),J337))</f>
        <v/>
      </c>
      <c r="R337">
        <f>O337&amp;IF(N337&lt;&gt;"",IF(O337&lt;&gt;""," · ","")&amp;"Con: "&amp;N337,"")</f>
        <v/>
      </c>
      <c r="S337">
        <f>C337&amp;"|"&amp;D337</f>
        <v/>
      </c>
      <c r="T337">
        <f>COUNTIF($S$2:S337,S337)</f>
        <v/>
      </c>
      <c r="U337">
        <f>S337&amp;"|"&amp;T337</f>
        <v/>
      </c>
      <c r="V337">
        <f>IFERROR(VLOOKUP(IF(I337="ENFASIS",LEFT(M337,FIND("+",M337&amp;"+")-1),J337),Direccion_Grupo!$A$2:$G$100,7,FALSE),"")</f>
        <v/>
      </c>
    </row>
    <row r="338">
      <c r="A338" t="n">
        <v>5</v>
      </c>
      <c r="B338" t="inlineStr">
        <is>
          <t>Bastidas Valencia Zeneida Judith</t>
        </is>
      </c>
      <c r="C338" t="inlineStr">
        <is>
          <t>MARTES</t>
        </is>
      </c>
      <c r="D338" t="n">
        <v>1</v>
      </c>
      <c r="E338" t="n">
        <v>1</v>
      </c>
      <c r="F338" t="n">
        <v>1</v>
      </c>
      <c r="G338" t="inlineStr">
        <is>
          <t>06:30</t>
        </is>
      </c>
      <c r="H338" t="inlineStr">
        <is>
          <t>07:15</t>
        </is>
      </c>
      <c r="I338" t="inlineStr">
        <is>
          <t>ENFASIS</t>
        </is>
      </c>
      <c r="J338" t="inlineStr"/>
      <c r="K338" t="inlineStr">
        <is>
          <t>MAT</t>
        </is>
      </c>
      <c r="L338" t="inlineStr">
        <is>
          <t>0902</t>
        </is>
      </c>
      <c r="M338" t="inlineStr">
        <is>
          <t>0902</t>
        </is>
      </c>
      <c r="N338" t="inlineStr">
        <is>
          <t>Betancourth Ocampo Yohana Patricia (CSI); Estacio Estupiñán Rosario (ETR); Mindineros Satizábal John Jáver (TEI)</t>
        </is>
      </c>
      <c r="O338" t="inlineStr">
        <is>
          <t>EQUIPO DE 4: cada docente atiende un grupo de estudiantes en su área</t>
        </is>
      </c>
      <c r="P338" t="inlineStr">
        <is>
          <t>ENFASIS-0902</t>
        </is>
      </c>
      <c r="Q338">
        <f>IF(I338="ENFASIS","ÉNFASIS "&amp;M338,IFERROR(VLOOKUP(J338,Grupos!$A$2:$D$100,4,FALSE),J338))</f>
        <v/>
      </c>
      <c r="R338">
        <f>O338&amp;IF(N338&lt;&gt;"",IF(O338&lt;&gt;""," · ","")&amp;"Con: "&amp;N338,"")</f>
        <v/>
      </c>
      <c r="S338">
        <f>C338&amp;"|"&amp;D338</f>
        <v/>
      </c>
      <c r="T338">
        <f>COUNTIF($S$2:S338,S338)</f>
        <v/>
      </c>
      <c r="U338">
        <f>S338&amp;"|"&amp;T338</f>
        <v/>
      </c>
      <c r="V338">
        <f>IFERROR(VLOOKUP(IF(I338="ENFASIS",LEFT(M338,FIND("+",M338&amp;"+")-1),J338),Direccion_Grupo!$A$2:$G$100,7,FALSE),"")</f>
        <v/>
      </c>
    </row>
    <row r="339">
      <c r="A339" t="n">
        <v>6</v>
      </c>
      <c r="B339" t="inlineStr">
        <is>
          <t>Betancourth Ocampo Yohana Patricia</t>
        </is>
      </c>
      <c r="C339" t="inlineStr">
        <is>
          <t>MARTES</t>
        </is>
      </c>
      <c r="D339" t="n">
        <v>1</v>
      </c>
      <c r="E339" t="n">
        <v>1</v>
      </c>
      <c r="F339" t="n">
        <v>1</v>
      </c>
      <c r="G339" t="inlineStr">
        <is>
          <t>06:30</t>
        </is>
      </c>
      <c r="H339" t="inlineStr">
        <is>
          <t>07:15</t>
        </is>
      </c>
      <c r="I339" t="inlineStr">
        <is>
          <t>ENFASIS</t>
        </is>
      </c>
      <c r="J339" t="inlineStr"/>
      <c r="K339" t="inlineStr">
        <is>
          <t>CSI</t>
        </is>
      </c>
      <c r="L339" t="inlineStr">
        <is>
          <t>0902</t>
        </is>
      </c>
      <c r="M339" t="inlineStr">
        <is>
          <t>0902</t>
        </is>
      </c>
      <c r="N339" t="inlineStr">
        <is>
          <t>Estacio Estupiñán Rosario (ETR); Bastidas Valencia Zeneida Judith (MAT); Mindineros Satizábal John Jáver (TEI)</t>
        </is>
      </c>
      <c r="O339" t="inlineStr">
        <is>
          <t>EQUIPO DE 4: cada docente atiende un grupo de estudiantes en su área</t>
        </is>
      </c>
      <c r="P339" t="inlineStr">
        <is>
          <t>ENFASIS-0902</t>
        </is>
      </c>
      <c r="Q339">
        <f>IF(I339="ENFASIS","ÉNFASIS "&amp;M339,IFERROR(VLOOKUP(J339,Grupos!$A$2:$D$100,4,FALSE),J339))</f>
        <v/>
      </c>
      <c r="R339">
        <f>O339&amp;IF(N339&lt;&gt;"",IF(O339&lt;&gt;""," · ","")&amp;"Con: "&amp;N339,"")</f>
        <v/>
      </c>
      <c r="S339">
        <f>C339&amp;"|"&amp;D339</f>
        <v/>
      </c>
      <c r="T339">
        <f>COUNTIF($S$2:S339,S339)</f>
        <v/>
      </c>
      <c r="U339">
        <f>S339&amp;"|"&amp;T339</f>
        <v/>
      </c>
      <c r="V339">
        <f>IFERROR(VLOOKUP(IF(I339="ENFASIS",LEFT(M339,FIND("+",M339&amp;"+")-1),J339),Direccion_Grupo!$A$2:$G$100,7,FALSE),"")</f>
        <v/>
      </c>
    </row>
    <row r="340">
      <c r="A340" t="n">
        <v>18</v>
      </c>
      <c r="B340" t="inlineStr">
        <is>
          <t>Estacio Estupiñán Rosario</t>
        </is>
      </c>
      <c r="C340" t="inlineStr">
        <is>
          <t>MARTES</t>
        </is>
      </c>
      <c r="D340" t="n">
        <v>1</v>
      </c>
      <c r="E340" t="n">
        <v>1</v>
      </c>
      <c r="F340" t="n">
        <v>1</v>
      </c>
      <c r="G340" t="inlineStr">
        <is>
          <t>06:30</t>
        </is>
      </c>
      <c r="H340" t="inlineStr">
        <is>
          <t>07:15</t>
        </is>
      </c>
      <c r="I340" t="inlineStr">
        <is>
          <t>ENFASIS</t>
        </is>
      </c>
      <c r="J340" t="inlineStr"/>
      <c r="K340" t="inlineStr">
        <is>
          <t>ETR</t>
        </is>
      </c>
      <c r="L340" t="inlineStr">
        <is>
          <t>0902</t>
        </is>
      </c>
      <c r="M340" t="inlineStr">
        <is>
          <t>0902</t>
        </is>
      </c>
      <c r="N340" t="inlineStr">
        <is>
          <t>Betancourth Ocampo Yohana Patricia (CSI); Bastidas Valencia Zeneida Judith (MAT); Mindineros Satizábal John Jáver (TEI)</t>
        </is>
      </c>
      <c r="O340" t="inlineStr">
        <is>
          <t>EQUIPO DE 4: cada docente atiende un grupo de estudiantes en su área</t>
        </is>
      </c>
      <c r="P340" t="inlineStr">
        <is>
          <t>ENFASIS-0902</t>
        </is>
      </c>
      <c r="Q340">
        <f>IF(I340="ENFASIS","ÉNFASIS "&amp;M340,IFERROR(VLOOKUP(J340,Grupos!$A$2:$D$100,4,FALSE),J340))</f>
        <v/>
      </c>
      <c r="R340">
        <f>O340&amp;IF(N340&lt;&gt;"",IF(O340&lt;&gt;""," · ","")&amp;"Con: "&amp;N340,"")</f>
        <v/>
      </c>
      <c r="S340">
        <f>C340&amp;"|"&amp;D340</f>
        <v/>
      </c>
      <c r="T340">
        <f>COUNTIF($S$2:S340,S340)</f>
        <v/>
      </c>
      <c r="U340">
        <f>S340&amp;"|"&amp;T340</f>
        <v/>
      </c>
      <c r="V340">
        <f>IFERROR(VLOOKUP(IF(I340="ENFASIS",LEFT(M340,FIND("+",M340&amp;"+")-1),J340),Direccion_Grupo!$A$2:$G$100,7,FALSE),"")</f>
        <v/>
      </c>
    </row>
    <row r="341">
      <c r="A341" t="n">
        <v>29</v>
      </c>
      <c r="B341" t="inlineStr">
        <is>
          <t>Mindineros Satizábal John Jáver</t>
        </is>
      </c>
      <c r="C341" t="inlineStr">
        <is>
          <t>MARTES</t>
        </is>
      </c>
      <c r="D341" t="n">
        <v>1</v>
      </c>
      <c r="E341" t="n">
        <v>1</v>
      </c>
      <c r="F341" t="n">
        <v>1</v>
      </c>
      <c r="G341" t="inlineStr">
        <is>
          <t>06:30</t>
        </is>
      </c>
      <c r="H341" t="inlineStr">
        <is>
          <t>07:15</t>
        </is>
      </c>
      <c r="I341" t="inlineStr">
        <is>
          <t>ENFASIS</t>
        </is>
      </c>
      <c r="J341" t="inlineStr"/>
      <c r="K341" t="inlineStr">
        <is>
          <t>TEI</t>
        </is>
      </c>
      <c r="L341" t="inlineStr">
        <is>
          <t>0902</t>
        </is>
      </c>
      <c r="M341" t="inlineStr">
        <is>
          <t>0902</t>
        </is>
      </c>
      <c r="N341" t="inlineStr">
        <is>
          <t>Betancourth Ocampo Yohana Patricia (CSI); Estacio Estupiñán Rosario (ETR); Bastidas Valencia Zeneida Judith (MAT)</t>
        </is>
      </c>
      <c r="O341" t="inlineStr">
        <is>
          <t>EQUIPO DE 4: cada docente atiende un grupo de estudiantes en su área</t>
        </is>
      </c>
      <c r="P341" t="inlineStr">
        <is>
          <t>ENFASIS-0902</t>
        </is>
      </c>
      <c r="Q341">
        <f>IF(I341="ENFASIS","ÉNFASIS "&amp;M341,IFERROR(VLOOKUP(J341,Grupos!$A$2:$D$100,4,FALSE),J341))</f>
        <v/>
      </c>
      <c r="R341">
        <f>O341&amp;IF(N341&lt;&gt;"",IF(O341&lt;&gt;""," · ","")&amp;"Con: "&amp;N341,"")</f>
        <v/>
      </c>
      <c r="S341">
        <f>C341&amp;"|"&amp;D341</f>
        <v/>
      </c>
      <c r="T341">
        <f>COUNTIF($S$2:S341,S341)</f>
        <v/>
      </c>
      <c r="U341">
        <f>S341&amp;"|"&amp;T341</f>
        <v/>
      </c>
      <c r="V341">
        <f>IFERROR(VLOOKUP(IF(I341="ENFASIS",LEFT(M341,FIND("+",M341&amp;"+")-1),J341),Direccion_Grupo!$A$2:$G$100,7,FALSE),"")</f>
        <v/>
      </c>
    </row>
    <row r="342">
      <c r="A342" t="n">
        <v>2</v>
      </c>
      <c r="B342" t="inlineStr">
        <is>
          <t>Angulo Lucero Andrés Mauricio</t>
        </is>
      </c>
      <c r="C342" t="inlineStr">
        <is>
          <t>MARTES</t>
        </is>
      </c>
      <c r="D342" t="n">
        <v>1</v>
      </c>
      <c r="E342" t="n">
        <v>1</v>
      </c>
      <c r="F342" t="n">
        <v>1</v>
      </c>
      <c r="G342" t="inlineStr">
        <is>
          <t>06:30</t>
        </is>
      </c>
      <c r="H342" t="inlineStr">
        <is>
          <t>07:15</t>
        </is>
      </c>
      <c r="I342" t="inlineStr">
        <is>
          <t>ENFASIS</t>
        </is>
      </c>
      <c r="J342" t="inlineStr"/>
      <c r="K342" t="inlineStr">
        <is>
          <t>TEI</t>
        </is>
      </c>
      <c r="L342" t="inlineStr">
        <is>
          <t>D5-11°</t>
        </is>
      </c>
      <c r="M342" t="inlineStr">
        <is>
          <t>1102</t>
        </is>
      </c>
      <c r="N342" t="inlineStr">
        <is>
          <t>Pulgarín Ortiz César Marino (CSI); Montaño Arizala Leidis Claudina (ETR); Villota Rubio Janeth del Carmen (MAT)</t>
        </is>
      </c>
      <c r="O342" t="inlineStr">
        <is>
          <t>EQUIPO DE 4: cada docente atiende un grupo de estudiantes en su área</t>
        </is>
      </c>
      <c r="P342" t="inlineStr">
        <is>
          <t>ENFASIS-D5-11°</t>
        </is>
      </c>
      <c r="Q342">
        <f>IF(I342="ENFASIS","ÉNFASIS "&amp;M342,IFERROR(VLOOKUP(J342,Grupos!$A$2:$D$100,4,FALSE),J342))</f>
        <v/>
      </c>
      <c r="R342">
        <f>O342&amp;IF(N342&lt;&gt;"",IF(O342&lt;&gt;""," · ","")&amp;"Con: "&amp;N342,"")</f>
        <v/>
      </c>
      <c r="S342">
        <f>C342&amp;"|"&amp;D342</f>
        <v/>
      </c>
      <c r="T342">
        <f>COUNTIF($S$2:S342,S342)</f>
        <v/>
      </c>
      <c r="U342">
        <f>S342&amp;"|"&amp;T342</f>
        <v/>
      </c>
      <c r="V342">
        <f>IFERROR(VLOOKUP(IF(I342="ENFASIS",LEFT(M342,FIND("+",M342&amp;"+")-1),J342),Direccion_Grupo!$A$2:$G$100,7,FALSE),"")</f>
        <v/>
      </c>
    </row>
    <row r="343">
      <c r="A343" t="n">
        <v>31</v>
      </c>
      <c r="B343" t="inlineStr">
        <is>
          <t>Montaño Arizala Leidis Claudina</t>
        </is>
      </c>
      <c r="C343" t="inlineStr">
        <is>
          <t>MARTES</t>
        </is>
      </c>
      <c r="D343" t="n">
        <v>1</v>
      </c>
      <c r="E343" t="n">
        <v>1</v>
      </c>
      <c r="F343" t="n">
        <v>1</v>
      </c>
      <c r="G343" t="inlineStr">
        <is>
          <t>06:30</t>
        </is>
      </c>
      <c r="H343" t="inlineStr">
        <is>
          <t>07:15</t>
        </is>
      </c>
      <c r="I343" t="inlineStr">
        <is>
          <t>ENFASIS</t>
        </is>
      </c>
      <c r="J343" t="inlineStr"/>
      <c r="K343" t="inlineStr">
        <is>
          <t>ETR</t>
        </is>
      </c>
      <c r="L343" t="inlineStr">
        <is>
          <t>D5-11°</t>
        </is>
      </c>
      <c r="M343" t="inlineStr">
        <is>
          <t>1102</t>
        </is>
      </c>
      <c r="N343" t="inlineStr">
        <is>
          <t>Pulgarín Ortiz César Marino (CSI); Villota Rubio Janeth del Carmen (MAT); Angulo Lucero Andrés Mauricio (TEI)</t>
        </is>
      </c>
      <c r="O343" t="inlineStr">
        <is>
          <t>EQUIPO DE 4: cada docente atiende un grupo de estudiantes en su área</t>
        </is>
      </c>
      <c r="P343" t="inlineStr">
        <is>
          <t>ENFASIS-D5-11°</t>
        </is>
      </c>
      <c r="Q343">
        <f>IF(I343="ENFASIS","ÉNFASIS "&amp;M343,IFERROR(VLOOKUP(J343,Grupos!$A$2:$D$100,4,FALSE),J343))</f>
        <v/>
      </c>
      <c r="R343">
        <f>O343&amp;IF(N343&lt;&gt;"",IF(O343&lt;&gt;""," · ","")&amp;"Con: "&amp;N343,"")</f>
        <v/>
      </c>
      <c r="S343">
        <f>C343&amp;"|"&amp;D343</f>
        <v/>
      </c>
      <c r="T343">
        <f>COUNTIF($S$2:S343,S343)</f>
        <v/>
      </c>
      <c r="U343">
        <f>S343&amp;"|"&amp;T343</f>
        <v/>
      </c>
      <c r="V343">
        <f>IFERROR(VLOOKUP(IF(I343="ENFASIS",LEFT(M343,FIND("+",M343&amp;"+")-1),J343),Direccion_Grupo!$A$2:$G$100,7,FALSE),"")</f>
        <v/>
      </c>
    </row>
    <row r="344">
      <c r="A344" t="n">
        <v>40</v>
      </c>
      <c r="B344" t="inlineStr">
        <is>
          <t>Pulgarín Ortiz César Marino</t>
        </is>
      </c>
      <c r="C344" t="inlineStr">
        <is>
          <t>MARTES</t>
        </is>
      </c>
      <c r="D344" t="n">
        <v>1</v>
      </c>
      <c r="E344" t="n">
        <v>1</v>
      </c>
      <c r="F344" t="n">
        <v>1</v>
      </c>
      <c r="G344" t="inlineStr">
        <is>
          <t>06:30</t>
        </is>
      </c>
      <c r="H344" t="inlineStr">
        <is>
          <t>07:15</t>
        </is>
      </c>
      <c r="I344" t="inlineStr">
        <is>
          <t>ENFASIS</t>
        </is>
      </c>
      <c r="J344" t="inlineStr"/>
      <c r="K344" t="inlineStr">
        <is>
          <t>CSI</t>
        </is>
      </c>
      <c r="L344" t="inlineStr">
        <is>
          <t>D5-11°</t>
        </is>
      </c>
      <c r="M344" t="inlineStr">
        <is>
          <t>1102</t>
        </is>
      </c>
      <c r="N344" t="inlineStr">
        <is>
          <t>Montaño Arizala Leidis Claudina (ETR); Villota Rubio Janeth del Carmen (MAT); Angulo Lucero Andrés Mauricio (TEI)</t>
        </is>
      </c>
      <c r="O344" t="inlineStr">
        <is>
          <t>EQUIPO DE 4: cada docente atiende un grupo de estudiantes en su área</t>
        </is>
      </c>
      <c r="P344" t="inlineStr">
        <is>
          <t>ENFASIS-D5-11°</t>
        </is>
      </c>
      <c r="Q344">
        <f>IF(I344="ENFASIS","ÉNFASIS "&amp;M344,IFERROR(VLOOKUP(J344,Grupos!$A$2:$D$100,4,FALSE),J344))</f>
        <v/>
      </c>
      <c r="R344">
        <f>O344&amp;IF(N344&lt;&gt;"",IF(O344&lt;&gt;""," · ","")&amp;"Con: "&amp;N344,"")</f>
        <v/>
      </c>
      <c r="S344">
        <f>C344&amp;"|"&amp;D344</f>
        <v/>
      </c>
      <c r="T344">
        <f>COUNTIF($S$2:S344,S344)</f>
        <v/>
      </c>
      <c r="U344">
        <f>S344&amp;"|"&amp;T344</f>
        <v/>
      </c>
      <c r="V344">
        <f>IFERROR(VLOOKUP(IF(I344="ENFASIS",LEFT(M344,FIND("+",M344&amp;"+")-1),J344),Direccion_Grupo!$A$2:$G$100,7,FALSE),"")</f>
        <v/>
      </c>
    </row>
    <row r="345">
      <c r="A345" t="n">
        <v>54</v>
      </c>
      <c r="B345" t="inlineStr">
        <is>
          <t>Villota Rubio Janeth del Carmen</t>
        </is>
      </c>
      <c r="C345" t="inlineStr">
        <is>
          <t>MARTES</t>
        </is>
      </c>
      <c r="D345" t="n">
        <v>1</v>
      </c>
      <c r="E345" t="n">
        <v>1</v>
      </c>
      <c r="F345" t="n">
        <v>1</v>
      </c>
      <c r="G345" t="inlineStr">
        <is>
          <t>06:30</t>
        </is>
      </c>
      <c r="H345" t="inlineStr">
        <is>
          <t>07:15</t>
        </is>
      </c>
      <c r="I345" t="inlineStr">
        <is>
          <t>ENFASIS</t>
        </is>
      </c>
      <c r="J345" t="inlineStr"/>
      <c r="K345" t="inlineStr">
        <is>
          <t>MAT</t>
        </is>
      </c>
      <c r="L345" t="inlineStr">
        <is>
          <t>D5-11°</t>
        </is>
      </c>
      <c r="M345" t="inlineStr">
        <is>
          <t>1102</t>
        </is>
      </c>
      <c r="N345" t="inlineStr">
        <is>
          <t>Pulgarín Ortiz César Marino (CSI); Montaño Arizala Leidis Claudina (ETR); Angulo Lucero Andrés Mauricio (TEI)</t>
        </is>
      </c>
      <c r="O345" t="inlineStr">
        <is>
          <t>EQUIPO DE 4: cada docente atiende un grupo de estudiantes en su área</t>
        </is>
      </c>
      <c r="P345" t="inlineStr">
        <is>
          <t>ENFASIS-D5-11°</t>
        </is>
      </c>
      <c r="Q345">
        <f>IF(I345="ENFASIS","ÉNFASIS "&amp;M345,IFERROR(VLOOKUP(J345,Grupos!$A$2:$D$100,4,FALSE),J345))</f>
        <v/>
      </c>
      <c r="R345">
        <f>O345&amp;IF(N345&lt;&gt;"",IF(O345&lt;&gt;""," · ","")&amp;"Con: "&amp;N345,"")</f>
        <v/>
      </c>
      <c r="S345">
        <f>C345&amp;"|"&amp;D345</f>
        <v/>
      </c>
      <c r="T345">
        <f>COUNTIF($S$2:S345,S345)</f>
        <v/>
      </c>
      <c r="U345">
        <f>S345&amp;"|"&amp;T345</f>
        <v/>
      </c>
      <c r="V345">
        <f>IFERROR(VLOOKUP(IF(I345="ENFASIS",LEFT(M345,FIND("+",M345&amp;"+")-1),J345),Direccion_Grupo!$A$2:$G$100,7,FALSE),"")</f>
        <v/>
      </c>
    </row>
    <row r="346">
      <c r="A346" t="n">
        <v>20</v>
      </c>
      <c r="B346" t="inlineStr">
        <is>
          <t>García Gobea Saydi Magali</t>
        </is>
      </c>
      <c r="C346" t="inlineStr">
        <is>
          <t>MARTES</t>
        </is>
      </c>
      <c r="D346" t="n">
        <v>1</v>
      </c>
      <c r="E346" t="n">
        <v>1</v>
      </c>
      <c r="F346" t="n">
        <v>1</v>
      </c>
      <c r="G346" t="inlineStr">
        <is>
          <t>06:30</t>
        </is>
      </c>
      <c r="H346" t="inlineStr">
        <is>
          <t>07:15</t>
        </is>
      </c>
      <c r="I346" t="inlineStr">
        <is>
          <t>ENFASIS</t>
        </is>
      </c>
      <c r="J346" t="inlineStr"/>
      <c r="K346" t="inlineStr">
        <is>
          <t>CSI</t>
        </is>
      </c>
      <c r="L346" t="inlineStr">
        <is>
          <t>CS101</t>
        </is>
      </c>
      <c r="M346" t="inlineStr">
        <is>
          <t>CS101</t>
        </is>
      </c>
      <c r="N346" t="inlineStr">
        <is>
          <t>Lozano Torres Amanda Inés (ETR)</t>
        </is>
      </c>
      <c r="O346" t="inlineStr">
        <is>
          <t>PAREJA: comparten el énfasis y alternan por semana</t>
        </is>
      </c>
      <c r="P346" t="inlineStr">
        <is>
          <t>ENFASIS-CS101</t>
        </is>
      </c>
      <c r="Q346">
        <f>IF(I346="ENFASIS","ÉNFASIS "&amp;M346,IFERROR(VLOOKUP(J346,Grupos!$A$2:$D$100,4,FALSE),J346))</f>
        <v/>
      </c>
      <c r="R346">
        <f>O346&amp;IF(N346&lt;&gt;"",IF(O346&lt;&gt;""," · ","")&amp;"Con: "&amp;N346,"")</f>
        <v/>
      </c>
      <c r="S346">
        <f>C346&amp;"|"&amp;D346</f>
        <v/>
      </c>
      <c r="T346">
        <f>COUNTIF($S$2:S346,S346)</f>
        <v/>
      </c>
      <c r="U346">
        <f>S346&amp;"|"&amp;T346</f>
        <v/>
      </c>
      <c r="V346">
        <f>IFERROR(VLOOKUP(IF(I346="ENFASIS",LEFT(M346,FIND("+",M346&amp;"+")-1),J346),Direccion_Grupo!$A$2:$G$100,7,FALSE),"")</f>
        <v/>
      </c>
    </row>
    <row r="347">
      <c r="A347" t="n">
        <v>26</v>
      </c>
      <c r="B347" t="inlineStr">
        <is>
          <t>Lozano Torres Amanda Inés</t>
        </is>
      </c>
      <c r="C347" t="inlineStr">
        <is>
          <t>MARTES</t>
        </is>
      </c>
      <c r="D347" t="n">
        <v>1</v>
      </c>
      <c r="E347" t="n">
        <v>1</v>
      </c>
      <c r="F347" t="n">
        <v>1</v>
      </c>
      <c r="G347" t="inlineStr">
        <is>
          <t>06:30</t>
        </is>
      </c>
      <c r="H347" t="inlineStr">
        <is>
          <t>07:15</t>
        </is>
      </c>
      <c r="I347" t="inlineStr">
        <is>
          <t>ENFASIS</t>
        </is>
      </c>
      <c r="J347" t="inlineStr"/>
      <c r="K347" t="inlineStr">
        <is>
          <t>ETR</t>
        </is>
      </c>
      <c r="L347" t="inlineStr">
        <is>
          <t>CS101</t>
        </is>
      </c>
      <c r="M347" t="inlineStr">
        <is>
          <t>CS101</t>
        </is>
      </c>
      <c r="N347" t="inlineStr">
        <is>
          <t>García Gobea Saydi Magali (CSI)</t>
        </is>
      </c>
      <c r="O347" t="inlineStr">
        <is>
          <t>PAREJA: comparten el énfasis y alternan por semana</t>
        </is>
      </c>
      <c r="P347" t="inlineStr">
        <is>
          <t>ENFASIS-CS101</t>
        </is>
      </c>
      <c r="Q347">
        <f>IF(I347="ENFASIS","ÉNFASIS "&amp;M347,IFERROR(VLOOKUP(J347,Grupos!$A$2:$D$100,4,FALSE),J347))</f>
        <v/>
      </c>
      <c r="R347">
        <f>O347&amp;IF(N347&lt;&gt;"",IF(O347&lt;&gt;""," · ","")&amp;"Con: "&amp;N347,"")</f>
        <v/>
      </c>
      <c r="S347">
        <f>C347&amp;"|"&amp;D347</f>
        <v/>
      </c>
      <c r="T347">
        <f>COUNTIF($S$2:S347,S347)</f>
        <v/>
      </c>
      <c r="U347">
        <f>S347&amp;"|"&amp;T347</f>
        <v/>
      </c>
      <c r="V347">
        <f>IFERROR(VLOOKUP(IF(I347="ENFASIS",LEFT(M347,FIND("+",M347&amp;"+")-1),J347),Direccion_Grupo!$A$2:$G$100,7,FALSE),"")</f>
        <v/>
      </c>
    </row>
    <row r="348">
      <c r="A348" t="n">
        <v>1</v>
      </c>
      <c r="B348" t="inlineStr">
        <is>
          <t>Aguirre Riascos Jorge Andrés</t>
        </is>
      </c>
      <c r="C348" t="inlineStr">
        <is>
          <t>MARTES</t>
        </is>
      </c>
      <c r="D348" t="n">
        <v>1</v>
      </c>
      <c r="E348" t="n">
        <v>1</v>
      </c>
      <c r="F348" t="n">
        <v>1</v>
      </c>
      <c r="G348" t="inlineStr">
        <is>
          <t>06:30</t>
        </is>
      </c>
      <c r="H348" t="inlineStr">
        <is>
          <t>07:15</t>
        </is>
      </c>
      <c r="I348" t="inlineStr">
        <is>
          <t>ENFASIS</t>
        </is>
      </c>
      <c r="J348" t="inlineStr"/>
      <c r="K348" t="inlineStr">
        <is>
          <t>TEI</t>
        </is>
      </c>
      <c r="L348" t="inlineStr">
        <is>
          <t>CS102</t>
        </is>
      </c>
      <c r="M348" t="inlineStr">
        <is>
          <t>CS102</t>
        </is>
      </c>
      <c r="N348" t="inlineStr">
        <is>
          <t>Vásquez Valencia Segundo Leoncio (MAT)</t>
        </is>
      </c>
      <c r="O348" t="inlineStr">
        <is>
          <t>PAREJA: comparten el énfasis y alternan por semana</t>
        </is>
      </c>
      <c r="P348" t="inlineStr">
        <is>
          <t>ENFASIS-CS102</t>
        </is>
      </c>
      <c r="Q348">
        <f>IF(I348="ENFASIS","ÉNFASIS "&amp;M348,IFERROR(VLOOKUP(J348,Grupos!$A$2:$D$100,4,FALSE),J348))</f>
        <v/>
      </c>
      <c r="R348">
        <f>O348&amp;IF(N348&lt;&gt;"",IF(O348&lt;&gt;""," · ","")&amp;"Con: "&amp;N348,"")</f>
        <v/>
      </c>
      <c r="S348">
        <f>C348&amp;"|"&amp;D348</f>
        <v/>
      </c>
      <c r="T348">
        <f>COUNTIF($S$2:S348,S348)</f>
        <v/>
      </c>
      <c r="U348">
        <f>S348&amp;"|"&amp;T348</f>
        <v/>
      </c>
      <c r="V348">
        <f>IFERROR(VLOOKUP(IF(I348="ENFASIS",LEFT(M348,FIND("+",M348&amp;"+")-1),J348),Direccion_Grupo!$A$2:$G$100,7,FALSE),"")</f>
        <v/>
      </c>
    </row>
    <row r="349">
      <c r="A349" t="n">
        <v>52</v>
      </c>
      <c r="B349" t="inlineStr">
        <is>
          <t>Vásquez Valencia Segundo Leoncio</t>
        </is>
      </c>
      <c r="C349" t="inlineStr">
        <is>
          <t>MARTES</t>
        </is>
      </c>
      <c r="D349" t="n">
        <v>1</v>
      </c>
      <c r="E349" t="n">
        <v>1</v>
      </c>
      <c r="F349" t="n">
        <v>1</v>
      </c>
      <c r="G349" t="inlineStr">
        <is>
          <t>06:30</t>
        </is>
      </c>
      <c r="H349" t="inlineStr">
        <is>
          <t>07:15</t>
        </is>
      </c>
      <c r="I349" t="inlineStr">
        <is>
          <t>ENFASIS</t>
        </is>
      </c>
      <c r="J349" t="inlineStr"/>
      <c r="K349" t="inlineStr">
        <is>
          <t>MAT</t>
        </is>
      </c>
      <c r="L349" t="inlineStr">
        <is>
          <t>CS102</t>
        </is>
      </c>
      <c r="M349" t="inlineStr">
        <is>
          <t>CS102</t>
        </is>
      </c>
      <c r="N349" t="inlineStr">
        <is>
          <t>Aguirre Riascos Jorge Andrés (TEI)</t>
        </is>
      </c>
      <c r="O349" t="inlineStr">
        <is>
          <t>PAREJA: comparten el énfasis y alternan por semana</t>
        </is>
      </c>
      <c r="P349" t="inlineStr">
        <is>
          <t>ENFASIS-CS102</t>
        </is>
      </c>
      <c r="Q349">
        <f>IF(I349="ENFASIS","ÉNFASIS "&amp;M349,IFERROR(VLOOKUP(J349,Grupos!$A$2:$D$100,4,FALSE),J349))</f>
        <v/>
      </c>
      <c r="R349">
        <f>O349&amp;IF(N349&lt;&gt;"",IF(O349&lt;&gt;""," · ","")&amp;"Con: "&amp;N349,"")</f>
        <v/>
      </c>
      <c r="S349">
        <f>C349&amp;"|"&amp;D349</f>
        <v/>
      </c>
      <c r="T349">
        <f>COUNTIF($S$2:S349,S349)</f>
        <v/>
      </c>
      <c r="U349">
        <f>S349&amp;"|"&amp;T349</f>
        <v/>
      </c>
      <c r="V349">
        <f>IFERROR(VLOOKUP(IF(I349="ENFASIS",LEFT(M349,FIND("+",M349&amp;"+")-1),J349),Direccion_Grupo!$A$2:$G$100,7,FALSE),"")</f>
        <v/>
      </c>
    </row>
    <row r="350">
      <c r="A350" t="n">
        <v>23</v>
      </c>
      <c r="B350" t="inlineStr">
        <is>
          <t>Landázuri Quiñones María Elia</t>
        </is>
      </c>
      <c r="C350" t="inlineStr">
        <is>
          <t>MARTES</t>
        </is>
      </c>
      <c r="D350" t="n">
        <v>2</v>
      </c>
      <c r="E350" t="n">
        <v>1</v>
      </c>
      <c r="F350" t="n">
        <v>2</v>
      </c>
      <c r="G350" t="inlineStr">
        <is>
          <t>07:15</t>
        </is>
      </c>
      <c r="H350" t="inlineStr">
        <is>
          <t>08:00</t>
        </is>
      </c>
      <c r="I350" t="inlineStr">
        <is>
          <t>AREAS_MULTIPLES</t>
        </is>
      </c>
      <c r="J350" t="inlineStr">
        <is>
          <t>0101</t>
        </is>
      </c>
      <c r="K350" t="inlineStr">
        <is>
          <t>ÁREAS MÚLTIPLES</t>
        </is>
      </c>
      <c r="L350" t="inlineStr"/>
      <c r="M350" t="inlineStr"/>
      <c r="N350" t="inlineStr"/>
      <c r="O350" t="inlineStr">
        <is>
          <t>Maestro de aula: todas las áreas con su grupo</t>
        </is>
      </c>
      <c r="P350" t="inlineStr"/>
      <c r="Q350">
        <f>IF(I350="ENFASIS","ÉNFASIS "&amp;M350,IFERROR(VLOOKUP(J350,Grupos!$A$2:$D$100,4,FALSE),J350))</f>
        <v/>
      </c>
      <c r="R350">
        <f>O350&amp;IF(N350&lt;&gt;"",IF(O350&lt;&gt;""," · ","")&amp;"Con: "&amp;N350,"")</f>
        <v/>
      </c>
      <c r="S350">
        <f>C350&amp;"|"&amp;D350</f>
        <v/>
      </c>
      <c r="T350">
        <f>COUNTIF($S$2:S350,S350)</f>
        <v/>
      </c>
      <c r="U350">
        <f>S350&amp;"|"&amp;T350</f>
        <v/>
      </c>
      <c r="V350">
        <f>IFERROR(VLOOKUP(IF(I350="ENFASIS",LEFT(M350,FIND("+",M350&amp;"+")-1),J350),Direccion_Grupo!$A$2:$G$100,7,FALSE),"")</f>
        <v/>
      </c>
    </row>
    <row r="351">
      <c r="A351" t="n">
        <v>45</v>
      </c>
      <c r="B351" t="inlineStr">
        <is>
          <t>Sinisterra Ana Lucía</t>
        </is>
      </c>
      <c r="C351" t="inlineStr">
        <is>
          <t>MARTES</t>
        </is>
      </c>
      <c r="D351" t="n">
        <v>2</v>
      </c>
      <c r="E351" t="n">
        <v>1</v>
      </c>
      <c r="F351" t="n">
        <v>2</v>
      </c>
      <c r="G351" t="inlineStr">
        <is>
          <t>07:15</t>
        </is>
      </c>
      <c r="H351" t="inlineStr">
        <is>
          <t>08:00</t>
        </is>
      </c>
      <c r="I351" t="inlineStr">
        <is>
          <t>AREAS_MULTIPLES</t>
        </is>
      </c>
      <c r="J351" t="inlineStr">
        <is>
          <t>0102</t>
        </is>
      </c>
      <c r="K351" t="inlineStr">
        <is>
          <t>ÁREAS MÚLTIPLES</t>
        </is>
      </c>
      <c r="L351" t="inlineStr"/>
      <c r="M351" t="inlineStr"/>
      <c r="N351" t="inlineStr"/>
      <c r="O351" t="inlineStr">
        <is>
          <t>Maestro de aula: todas las áreas con su grupo</t>
        </is>
      </c>
      <c r="P351" t="inlineStr"/>
      <c r="Q351">
        <f>IF(I351="ENFASIS","ÉNFASIS "&amp;M351,IFERROR(VLOOKUP(J351,Grupos!$A$2:$D$100,4,FALSE),J351))</f>
        <v/>
      </c>
      <c r="R351">
        <f>O351&amp;IF(N351&lt;&gt;"",IF(O351&lt;&gt;""," · ","")&amp;"Con: "&amp;N351,"")</f>
        <v/>
      </c>
      <c r="S351">
        <f>C351&amp;"|"&amp;D351</f>
        <v/>
      </c>
      <c r="T351">
        <f>COUNTIF($S$2:S351,S351)</f>
        <v/>
      </c>
      <c r="U351">
        <f>S351&amp;"|"&amp;T351</f>
        <v/>
      </c>
      <c r="V351">
        <f>IFERROR(VLOOKUP(IF(I351="ENFASIS",LEFT(M351,FIND("+",M351&amp;"+")-1),J351),Direccion_Grupo!$A$2:$G$100,7,FALSE),"")</f>
        <v/>
      </c>
    </row>
    <row r="352">
      <c r="A352" t="n">
        <v>13</v>
      </c>
      <c r="B352" t="inlineStr">
        <is>
          <t>Cortés Salazar María Ebelice</t>
        </is>
      </c>
      <c r="C352" t="inlineStr">
        <is>
          <t>MARTES</t>
        </is>
      </c>
      <c r="D352" t="n">
        <v>2</v>
      </c>
      <c r="E352" t="n">
        <v>1</v>
      </c>
      <c r="F352" t="n">
        <v>2</v>
      </c>
      <c r="G352" t="inlineStr">
        <is>
          <t>07:15</t>
        </is>
      </c>
      <c r="H352" t="inlineStr">
        <is>
          <t>08:00</t>
        </is>
      </c>
      <c r="I352" t="inlineStr">
        <is>
          <t>AREAS_MULTIPLES</t>
        </is>
      </c>
      <c r="J352" t="inlineStr">
        <is>
          <t>0201</t>
        </is>
      </c>
      <c r="K352" t="inlineStr">
        <is>
          <t>ÁREAS MÚLTIPLES</t>
        </is>
      </c>
      <c r="L352" t="inlineStr"/>
      <c r="M352" t="inlineStr"/>
      <c r="N352" t="inlineStr"/>
      <c r="O352" t="inlineStr">
        <is>
          <t>Maestro de aula: todas las áreas con su grupo</t>
        </is>
      </c>
      <c r="P352" t="inlineStr"/>
      <c r="Q352">
        <f>IF(I352="ENFASIS","ÉNFASIS "&amp;M352,IFERROR(VLOOKUP(J352,Grupos!$A$2:$D$100,4,FALSE),J352))</f>
        <v/>
      </c>
      <c r="R352">
        <f>O352&amp;IF(N352&lt;&gt;"",IF(O352&lt;&gt;""," · ","")&amp;"Con: "&amp;N352,"")</f>
        <v/>
      </c>
      <c r="S352">
        <f>C352&amp;"|"&amp;D352</f>
        <v/>
      </c>
      <c r="T352">
        <f>COUNTIF($S$2:S352,S352)</f>
        <v/>
      </c>
      <c r="U352">
        <f>S352&amp;"|"&amp;T352</f>
        <v/>
      </c>
      <c r="V352">
        <f>IFERROR(VLOOKUP(IF(I352="ENFASIS",LEFT(M352,FIND("+",M352&amp;"+")-1),J352),Direccion_Grupo!$A$2:$G$100,7,FALSE),"")</f>
        <v/>
      </c>
    </row>
    <row r="353">
      <c r="A353" t="n">
        <v>21</v>
      </c>
      <c r="B353" t="inlineStr">
        <is>
          <t>Garzón Quiñones Sixta Janina</t>
        </is>
      </c>
      <c r="C353" t="inlineStr">
        <is>
          <t>MARTES</t>
        </is>
      </c>
      <c r="D353" t="n">
        <v>2</v>
      </c>
      <c r="E353" t="n">
        <v>1</v>
      </c>
      <c r="F353" t="n">
        <v>2</v>
      </c>
      <c r="G353" t="inlineStr">
        <is>
          <t>07:15</t>
        </is>
      </c>
      <c r="H353" t="inlineStr">
        <is>
          <t>08:00</t>
        </is>
      </c>
      <c r="I353" t="inlineStr">
        <is>
          <t>AREAS_MULTIPLES</t>
        </is>
      </c>
      <c r="J353" t="inlineStr">
        <is>
          <t>0202</t>
        </is>
      </c>
      <c r="K353" t="inlineStr">
        <is>
          <t>ÁREAS MÚLTIPLES</t>
        </is>
      </c>
      <c r="L353" t="inlineStr"/>
      <c r="M353" t="inlineStr"/>
      <c r="N353" t="inlineStr"/>
      <c r="O353" t="inlineStr">
        <is>
          <t>Maestro de aula: todas las áreas con su grupo</t>
        </is>
      </c>
      <c r="P353" t="inlineStr"/>
      <c r="Q353">
        <f>IF(I353="ENFASIS","ÉNFASIS "&amp;M353,IFERROR(VLOOKUP(J353,Grupos!$A$2:$D$100,4,FALSE),J353))</f>
        <v/>
      </c>
      <c r="R353">
        <f>O353&amp;IF(N353&lt;&gt;"",IF(O353&lt;&gt;""," · ","")&amp;"Con: "&amp;N353,"")</f>
        <v/>
      </c>
      <c r="S353">
        <f>C353&amp;"|"&amp;D353</f>
        <v/>
      </c>
      <c r="T353">
        <f>COUNTIF($S$2:S353,S353)</f>
        <v/>
      </c>
      <c r="U353">
        <f>S353&amp;"|"&amp;T353</f>
        <v/>
      </c>
      <c r="V353">
        <f>IFERROR(VLOOKUP(IF(I353="ENFASIS",LEFT(M353,FIND("+",M353&amp;"+")-1),J353),Direccion_Grupo!$A$2:$G$100,7,FALSE),"")</f>
        <v/>
      </c>
    </row>
    <row r="354">
      <c r="A354" t="n">
        <v>46</v>
      </c>
      <c r="B354" t="inlineStr">
        <is>
          <t>Tenorio Cuero Lucy Bivian</t>
        </is>
      </c>
      <c r="C354" t="inlineStr">
        <is>
          <t>MARTES</t>
        </is>
      </c>
      <c r="D354" t="n">
        <v>2</v>
      </c>
      <c r="E354" t="n">
        <v>1</v>
      </c>
      <c r="F354" t="n">
        <v>2</v>
      </c>
      <c r="G354" t="inlineStr">
        <is>
          <t>07:15</t>
        </is>
      </c>
      <c r="H354" t="inlineStr">
        <is>
          <t>08:00</t>
        </is>
      </c>
      <c r="I354" t="inlineStr">
        <is>
          <t>AREAS_MULTIPLES</t>
        </is>
      </c>
      <c r="J354" t="inlineStr">
        <is>
          <t>0203</t>
        </is>
      </c>
      <c r="K354" t="inlineStr">
        <is>
          <t>ÁREAS MÚLTIPLES</t>
        </is>
      </c>
      <c r="L354" t="inlineStr"/>
      <c r="M354" t="inlineStr"/>
      <c r="N354" t="inlineStr"/>
      <c r="O354" t="inlineStr">
        <is>
          <t>Maestro de aula: todas las áreas con su grupo</t>
        </is>
      </c>
      <c r="P354" t="inlineStr"/>
      <c r="Q354">
        <f>IF(I354="ENFASIS","ÉNFASIS "&amp;M354,IFERROR(VLOOKUP(J354,Grupos!$A$2:$D$100,4,FALSE),J354))</f>
        <v/>
      </c>
      <c r="R354">
        <f>O354&amp;IF(N354&lt;&gt;"",IF(O354&lt;&gt;""," · ","")&amp;"Con: "&amp;N354,"")</f>
        <v/>
      </c>
      <c r="S354">
        <f>C354&amp;"|"&amp;D354</f>
        <v/>
      </c>
      <c r="T354">
        <f>COUNTIF($S$2:S354,S354)</f>
        <v/>
      </c>
      <c r="U354">
        <f>S354&amp;"|"&amp;T354</f>
        <v/>
      </c>
      <c r="V354">
        <f>IFERROR(VLOOKUP(IF(I354="ENFASIS",LEFT(M354,FIND("+",M354&amp;"+")-1),J354),Direccion_Grupo!$A$2:$G$100,7,FALSE),"")</f>
        <v/>
      </c>
    </row>
    <row r="355">
      <c r="A355" t="n">
        <v>48</v>
      </c>
      <c r="B355" t="inlineStr">
        <is>
          <t>Torres Segura Encarnación</t>
        </is>
      </c>
      <c r="C355" t="inlineStr">
        <is>
          <t>MARTES</t>
        </is>
      </c>
      <c r="D355" t="n">
        <v>2</v>
      </c>
      <c r="E355" t="n">
        <v>1</v>
      </c>
      <c r="F355" t="n">
        <v>2</v>
      </c>
      <c r="G355" t="inlineStr">
        <is>
          <t>07:15</t>
        </is>
      </c>
      <c r="H355" t="inlineStr">
        <is>
          <t>08:00</t>
        </is>
      </c>
      <c r="I355" t="inlineStr">
        <is>
          <t>AREAS_MULTIPLES</t>
        </is>
      </c>
      <c r="J355" t="inlineStr">
        <is>
          <t>0301</t>
        </is>
      </c>
      <c r="K355" t="inlineStr">
        <is>
          <t>ÁREAS MÚLTIPLES</t>
        </is>
      </c>
      <c r="L355" t="inlineStr"/>
      <c r="M355" t="inlineStr"/>
      <c r="N355" t="inlineStr"/>
      <c r="O355" t="inlineStr">
        <is>
          <t>Maestro de aula: todas las áreas con su grupo</t>
        </is>
      </c>
      <c r="P355" t="inlineStr"/>
      <c r="Q355">
        <f>IF(I355="ENFASIS","ÉNFASIS "&amp;M355,IFERROR(VLOOKUP(J355,Grupos!$A$2:$D$100,4,FALSE),J355))</f>
        <v/>
      </c>
      <c r="R355">
        <f>O355&amp;IF(N355&lt;&gt;"",IF(O355&lt;&gt;""," · ","")&amp;"Con: "&amp;N355,"")</f>
        <v/>
      </c>
      <c r="S355">
        <f>C355&amp;"|"&amp;D355</f>
        <v/>
      </c>
      <c r="T355">
        <f>COUNTIF($S$2:S355,S355)</f>
        <v/>
      </c>
      <c r="U355">
        <f>S355&amp;"|"&amp;T355</f>
        <v/>
      </c>
      <c r="V355">
        <f>IFERROR(VLOOKUP(IF(I355="ENFASIS",LEFT(M355,FIND("+",M355&amp;"+")-1),J355),Direccion_Grupo!$A$2:$G$100,7,FALSE),"")</f>
        <v/>
      </c>
    </row>
    <row r="356">
      <c r="A356" t="n">
        <v>24</v>
      </c>
      <c r="B356" t="inlineStr">
        <is>
          <t>Landázuri Gallón Teresa</t>
        </is>
      </c>
      <c r="C356" t="inlineStr">
        <is>
          <t>MARTES</t>
        </is>
      </c>
      <c r="D356" t="n">
        <v>2</v>
      </c>
      <c r="E356" t="n">
        <v>1</v>
      </c>
      <c r="F356" t="n">
        <v>2</v>
      </c>
      <c r="G356" t="inlineStr">
        <is>
          <t>07:15</t>
        </is>
      </c>
      <c r="H356" t="inlineStr">
        <is>
          <t>08:00</t>
        </is>
      </c>
      <c r="I356" t="inlineStr">
        <is>
          <t>AREAS_MULTIPLES</t>
        </is>
      </c>
      <c r="J356" t="inlineStr">
        <is>
          <t>0302</t>
        </is>
      </c>
      <c r="K356" t="inlineStr">
        <is>
          <t>ÁREAS MÚLTIPLES</t>
        </is>
      </c>
      <c r="L356" t="inlineStr"/>
      <c r="M356" t="inlineStr"/>
      <c r="N356" t="inlineStr"/>
      <c r="O356" t="inlineStr">
        <is>
          <t>Maestro de aula: todas las áreas con su grupo</t>
        </is>
      </c>
      <c r="P356" t="inlineStr"/>
      <c r="Q356">
        <f>IF(I356="ENFASIS","ÉNFASIS "&amp;M356,IFERROR(VLOOKUP(J356,Grupos!$A$2:$D$100,4,FALSE),J356))</f>
        <v/>
      </c>
      <c r="R356">
        <f>O356&amp;IF(N356&lt;&gt;"",IF(O356&lt;&gt;""," · ","")&amp;"Con: "&amp;N356,"")</f>
        <v/>
      </c>
      <c r="S356">
        <f>C356&amp;"|"&amp;D356</f>
        <v/>
      </c>
      <c r="T356">
        <f>COUNTIF($S$2:S356,S356)</f>
        <v/>
      </c>
      <c r="U356">
        <f>S356&amp;"|"&amp;T356</f>
        <v/>
      </c>
      <c r="V356">
        <f>IFERROR(VLOOKUP(IF(I356="ENFASIS",LEFT(M356,FIND("+",M356&amp;"+")-1),J356),Direccion_Grupo!$A$2:$G$100,7,FALSE),"")</f>
        <v/>
      </c>
    </row>
    <row r="357">
      <c r="A357" t="n">
        <v>55</v>
      </c>
      <c r="B357" t="inlineStr">
        <is>
          <t>Zamora Ordóñez Celia Pastora</t>
        </is>
      </c>
      <c r="C357" t="inlineStr">
        <is>
          <t>MARTES</t>
        </is>
      </c>
      <c r="D357" t="n">
        <v>2</v>
      </c>
      <c r="E357" t="n">
        <v>1</v>
      </c>
      <c r="F357" t="n">
        <v>2</v>
      </c>
      <c r="G357" t="inlineStr">
        <is>
          <t>07:15</t>
        </is>
      </c>
      <c r="H357" t="inlineStr">
        <is>
          <t>08:00</t>
        </is>
      </c>
      <c r="I357" t="inlineStr">
        <is>
          <t>AREAS_MULTIPLES</t>
        </is>
      </c>
      <c r="J357" t="inlineStr">
        <is>
          <t>0401</t>
        </is>
      </c>
      <c r="K357" t="inlineStr">
        <is>
          <t>ÁREAS MÚLTIPLES</t>
        </is>
      </c>
      <c r="L357" t="inlineStr"/>
      <c r="M357" t="inlineStr"/>
      <c r="N357" t="inlineStr"/>
      <c r="O357" t="inlineStr">
        <is>
          <t>Maestro de aula: todas las áreas con su grupo</t>
        </is>
      </c>
      <c r="P357" t="inlineStr"/>
      <c r="Q357">
        <f>IF(I357="ENFASIS","ÉNFASIS "&amp;M357,IFERROR(VLOOKUP(J357,Grupos!$A$2:$D$100,4,FALSE),J357))</f>
        <v/>
      </c>
      <c r="R357">
        <f>O357&amp;IF(N357&lt;&gt;"",IF(O357&lt;&gt;""," · ","")&amp;"Con: "&amp;N357,"")</f>
        <v/>
      </c>
      <c r="S357">
        <f>C357&amp;"|"&amp;D357</f>
        <v/>
      </c>
      <c r="T357">
        <f>COUNTIF($S$2:S357,S357)</f>
        <v/>
      </c>
      <c r="U357">
        <f>S357&amp;"|"&amp;T357</f>
        <v/>
      </c>
      <c r="V357">
        <f>IFERROR(VLOOKUP(IF(I357="ENFASIS",LEFT(M357,FIND("+",M357&amp;"+")-1),J357),Direccion_Grupo!$A$2:$G$100,7,FALSE),"")</f>
        <v/>
      </c>
    </row>
    <row r="358">
      <c r="A358" t="n">
        <v>33</v>
      </c>
      <c r="B358" t="inlineStr">
        <is>
          <t>Núñez Perlaza Elcy</t>
        </is>
      </c>
      <c r="C358" t="inlineStr">
        <is>
          <t>MARTES</t>
        </is>
      </c>
      <c r="D358" t="n">
        <v>2</v>
      </c>
      <c r="E358" t="n">
        <v>1</v>
      </c>
      <c r="F358" t="n">
        <v>2</v>
      </c>
      <c r="G358" t="inlineStr">
        <is>
          <t>07:15</t>
        </is>
      </c>
      <c r="H358" t="inlineStr">
        <is>
          <t>08:00</t>
        </is>
      </c>
      <c r="I358" t="inlineStr">
        <is>
          <t>AREAS_MULTIPLES</t>
        </is>
      </c>
      <c r="J358" t="inlineStr">
        <is>
          <t>0402</t>
        </is>
      </c>
      <c r="K358" t="inlineStr">
        <is>
          <t>ÁREAS MÚLTIPLES</t>
        </is>
      </c>
      <c r="L358" t="inlineStr"/>
      <c r="M358" t="inlineStr"/>
      <c r="N358" t="inlineStr"/>
      <c r="O358" t="inlineStr">
        <is>
          <t>Maestro de aula: todas las áreas con su grupo</t>
        </is>
      </c>
      <c r="P358" t="inlineStr"/>
      <c r="Q358">
        <f>IF(I358="ENFASIS","ÉNFASIS "&amp;M358,IFERROR(VLOOKUP(J358,Grupos!$A$2:$D$100,4,FALSE),J358))</f>
        <v/>
      </c>
      <c r="R358">
        <f>O358&amp;IF(N358&lt;&gt;"",IF(O358&lt;&gt;""," · ","")&amp;"Con: "&amp;N358,"")</f>
        <v/>
      </c>
      <c r="S358">
        <f>C358&amp;"|"&amp;D358</f>
        <v/>
      </c>
      <c r="T358">
        <f>COUNTIF($S$2:S358,S358)</f>
        <v/>
      </c>
      <c r="U358">
        <f>S358&amp;"|"&amp;T358</f>
        <v/>
      </c>
      <c r="V358">
        <f>IFERROR(VLOOKUP(IF(I358="ENFASIS",LEFT(M358,FIND("+",M358&amp;"+")-1),J358),Direccion_Grupo!$A$2:$G$100,7,FALSE),"")</f>
        <v/>
      </c>
    </row>
    <row r="359">
      <c r="A359" t="n">
        <v>14</v>
      </c>
      <c r="B359" t="inlineStr">
        <is>
          <t>Cuéllar Gallo Nemesia</t>
        </is>
      </c>
      <c r="C359" t="inlineStr">
        <is>
          <t>MARTES</t>
        </is>
      </c>
      <c r="D359" t="n">
        <v>2</v>
      </c>
      <c r="E359" t="n">
        <v>1</v>
      </c>
      <c r="F359" t="n">
        <v>2</v>
      </c>
      <c r="G359" t="inlineStr">
        <is>
          <t>07:15</t>
        </is>
      </c>
      <c r="H359" t="inlineStr">
        <is>
          <t>08:00</t>
        </is>
      </c>
      <c r="I359" t="inlineStr">
        <is>
          <t>AREAS_MULTIPLES</t>
        </is>
      </c>
      <c r="J359" t="inlineStr">
        <is>
          <t>0501</t>
        </is>
      </c>
      <c r="K359" t="inlineStr">
        <is>
          <t>ÁREAS MÚLTIPLES</t>
        </is>
      </c>
      <c r="L359" t="inlineStr"/>
      <c r="M359" t="inlineStr"/>
      <c r="N359" t="inlineStr"/>
      <c r="O359" t="inlineStr">
        <is>
          <t>Maestro de aula: todas las áreas con su grupo</t>
        </is>
      </c>
      <c r="P359" t="inlineStr"/>
      <c r="Q359">
        <f>IF(I359="ENFASIS","ÉNFASIS "&amp;M359,IFERROR(VLOOKUP(J359,Grupos!$A$2:$D$100,4,FALSE),J359))</f>
        <v/>
      </c>
      <c r="R359">
        <f>O359&amp;IF(N359&lt;&gt;"",IF(O359&lt;&gt;""," · ","")&amp;"Con: "&amp;N359,"")</f>
        <v/>
      </c>
      <c r="S359">
        <f>C359&amp;"|"&amp;D359</f>
        <v/>
      </c>
      <c r="T359">
        <f>COUNTIF($S$2:S359,S359)</f>
        <v/>
      </c>
      <c r="U359">
        <f>S359&amp;"|"&amp;T359</f>
        <v/>
      </c>
      <c r="V359">
        <f>IFERROR(VLOOKUP(IF(I359="ENFASIS",LEFT(M359,FIND("+",M359&amp;"+")-1),J359),Direccion_Grupo!$A$2:$G$100,7,FALSE),"")</f>
        <v/>
      </c>
    </row>
    <row r="360">
      <c r="A360" t="n">
        <v>11</v>
      </c>
      <c r="B360" t="inlineStr">
        <is>
          <t>Centeno Zúñiga Claudia Patricia</t>
        </is>
      </c>
      <c r="C360" t="inlineStr">
        <is>
          <t>MARTES</t>
        </is>
      </c>
      <c r="D360" t="n">
        <v>2</v>
      </c>
      <c r="E360" t="n">
        <v>1</v>
      </c>
      <c r="F360" t="n">
        <v>2</v>
      </c>
      <c r="G360" t="inlineStr">
        <is>
          <t>07:15</t>
        </is>
      </c>
      <c r="H360" t="inlineStr">
        <is>
          <t>08:00</t>
        </is>
      </c>
      <c r="I360" t="inlineStr">
        <is>
          <t>AREAS_MULTIPLES</t>
        </is>
      </c>
      <c r="J360" t="inlineStr">
        <is>
          <t>0502</t>
        </is>
      </c>
      <c r="K360" t="inlineStr">
        <is>
          <t>ÁREAS MÚLTIPLES</t>
        </is>
      </c>
      <c r="L360" t="inlineStr"/>
      <c r="M360" t="inlineStr"/>
      <c r="N360" t="inlineStr"/>
      <c r="O360" t="inlineStr">
        <is>
          <t>Maestro de aula: todas las áreas con su grupo</t>
        </is>
      </c>
      <c r="P360" t="inlineStr"/>
      <c r="Q360">
        <f>IF(I360="ENFASIS","ÉNFASIS "&amp;M360,IFERROR(VLOOKUP(J360,Grupos!$A$2:$D$100,4,FALSE),J360))</f>
        <v/>
      </c>
      <c r="R360">
        <f>O360&amp;IF(N360&lt;&gt;"",IF(O360&lt;&gt;""," · ","")&amp;"Con: "&amp;N360,"")</f>
        <v/>
      </c>
      <c r="S360">
        <f>C360&amp;"|"&amp;D360</f>
        <v/>
      </c>
      <c r="T360">
        <f>COUNTIF($S$2:S360,S360)</f>
        <v/>
      </c>
      <c r="U360">
        <f>S360&amp;"|"&amp;T360</f>
        <v/>
      </c>
      <c r="V360">
        <f>IFERROR(VLOOKUP(IF(I360="ENFASIS",LEFT(M360,FIND("+",M360&amp;"+")-1),J360),Direccion_Grupo!$A$2:$G$100,7,FALSE),"")</f>
        <v/>
      </c>
    </row>
    <row r="361">
      <c r="A361" t="n">
        <v>32</v>
      </c>
      <c r="B361" t="inlineStr">
        <is>
          <t>Narváez Sánchez Dora Alejandra</t>
        </is>
      </c>
      <c r="C361" t="inlineStr">
        <is>
          <t>MARTES</t>
        </is>
      </c>
      <c r="D361" t="n">
        <v>2</v>
      </c>
      <c r="E361" t="n">
        <v>1</v>
      </c>
      <c r="F361" t="n">
        <v>2</v>
      </c>
      <c r="G361" t="inlineStr">
        <is>
          <t>07:15</t>
        </is>
      </c>
      <c r="H361" t="inlineStr">
        <is>
          <t>08:00</t>
        </is>
      </c>
      <c r="I361" t="inlineStr">
        <is>
          <t>AREAS_MULTIPLES</t>
        </is>
      </c>
      <c r="J361" t="inlineStr">
        <is>
          <t>0503</t>
        </is>
      </c>
      <c r="K361" t="inlineStr">
        <is>
          <t>ÁREAS MÚLTIPLES</t>
        </is>
      </c>
      <c r="L361" t="inlineStr"/>
      <c r="M361" t="inlineStr"/>
      <c r="N361" t="inlineStr"/>
      <c r="O361" t="inlineStr">
        <is>
          <t>Maestro de aula: todas las áreas con su grupo</t>
        </is>
      </c>
      <c r="P361" t="inlineStr"/>
      <c r="Q361">
        <f>IF(I361="ENFASIS","ÉNFASIS "&amp;M361,IFERROR(VLOOKUP(J361,Grupos!$A$2:$D$100,4,FALSE),J361))</f>
        <v/>
      </c>
      <c r="R361">
        <f>O361&amp;IF(N361&lt;&gt;"",IF(O361&lt;&gt;""," · ","")&amp;"Con: "&amp;N361,"")</f>
        <v/>
      </c>
      <c r="S361">
        <f>C361&amp;"|"&amp;D361</f>
        <v/>
      </c>
      <c r="T361">
        <f>COUNTIF($S$2:S361,S361)</f>
        <v/>
      </c>
      <c r="U361">
        <f>S361&amp;"|"&amp;T361</f>
        <v/>
      </c>
      <c r="V361">
        <f>IFERROR(VLOOKUP(IF(I361="ENFASIS",LEFT(M361,FIND("+",M361&amp;"+")-1),J361),Direccion_Grupo!$A$2:$G$100,7,FALSE),"")</f>
        <v/>
      </c>
    </row>
    <row r="362">
      <c r="A362" t="n">
        <v>17</v>
      </c>
      <c r="B362" t="inlineStr">
        <is>
          <t>Escobar Cortés Liliana</t>
        </is>
      </c>
      <c r="C362" t="inlineStr">
        <is>
          <t>MARTES</t>
        </is>
      </c>
      <c r="D362" t="n">
        <v>2</v>
      </c>
      <c r="E362" t="n">
        <v>1</v>
      </c>
      <c r="F362" t="n">
        <v>2</v>
      </c>
      <c r="G362" t="inlineStr">
        <is>
          <t>07:15</t>
        </is>
      </c>
      <c r="H362" t="inlineStr">
        <is>
          <t>08:00</t>
        </is>
      </c>
      <c r="I362" t="inlineStr">
        <is>
          <t>AREAS_MULTIPLES</t>
        </is>
      </c>
      <c r="J362" t="inlineStr">
        <is>
          <t>0504</t>
        </is>
      </c>
      <c r="K362" t="inlineStr">
        <is>
          <t>ÁREAS MÚLTIPLES</t>
        </is>
      </c>
      <c r="L362" t="inlineStr"/>
      <c r="M362" t="inlineStr"/>
      <c r="N362" t="inlineStr"/>
      <c r="O362" t="inlineStr">
        <is>
          <t>Maestro de aula: todas las áreas con su grupo</t>
        </is>
      </c>
      <c r="P362" t="inlineStr"/>
      <c r="Q362">
        <f>IF(I362="ENFASIS","ÉNFASIS "&amp;M362,IFERROR(VLOOKUP(J362,Grupos!$A$2:$D$100,4,FALSE),J362))</f>
        <v/>
      </c>
      <c r="R362">
        <f>O362&amp;IF(N362&lt;&gt;"",IF(O362&lt;&gt;""," · ","")&amp;"Con: "&amp;N362,"")</f>
        <v/>
      </c>
      <c r="S362">
        <f>C362&amp;"|"&amp;D362</f>
        <v/>
      </c>
      <c r="T362">
        <f>COUNTIF($S$2:S362,S362)</f>
        <v/>
      </c>
      <c r="U362">
        <f>S362&amp;"|"&amp;T362</f>
        <v/>
      </c>
      <c r="V362">
        <f>IFERROR(VLOOKUP(IF(I362="ENFASIS",LEFT(M362,FIND("+",M362&amp;"+")-1),J362),Direccion_Grupo!$A$2:$G$100,7,FALSE),"")</f>
        <v/>
      </c>
    </row>
    <row r="363">
      <c r="A363" t="n">
        <v>42</v>
      </c>
      <c r="B363" t="inlineStr">
        <is>
          <t>Quiñones Cabezas Marcos Vidal</t>
        </is>
      </c>
      <c r="C363" t="inlineStr">
        <is>
          <t>MARTES</t>
        </is>
      </c>
      <c r="D363" t="n">
        <v>2</v>
      </c>
      <c r="E363" t="n">
        <v>1</v>
      </c>
      <c r="F363" t="n">
        <v>2</v>
      </c>
      <c r="G363" t="inlineStr">
        <is>
          <t>07:15</t>
        </is>
      </c>
      <c r="H363" t="inlineStr">
        <is>
          <t>08:00</t>
        </is>
      </c>
      <c r="I363" t="inlineStr">
        <is>
          <t>CLASE</t>
        </is>
      </c>
      <c r="J363" t="inlineStr">
        <is>
          <t>0601</t>
        </is>
      </c>
      <c r="K363" t="inlineStr">
        <is>
          <t>MAT</t>
        </is>
      </c>
      <c r="L363" t="inlineStr"/>
      <c r="M363" t="inlineStr"/>
      <c r="N363" t="inlineStr"/>
      <c r="O363" t="inlineStr"/>
      <c r="P363" t="inlineStr">
        <is>
          <t>0601-MAT</t>
        </is>
      </c>
      <c r="Q363">
        <f>IF(I363="ENFASIS","ÉNFASIS "&amp;M363,IFERROR(VLOOKUP(J363,Grupos!$A$2:$D$100,4,FALSE),J363))</f>
        <v/>
      </c>
      <c r="R363">
        <f>O363&amp;IF(N363&lt;&gt;"",IF(O363&lt;&gt;""," · ","")&amp;"Con: "&amp;N363,"")</f>
        <v/>
      </c>
      <c r="S363">
        <f>C363&amp;"|"&amp;D363</f>
        <v/>
      </c>
      <c r="T363">
        <f>COUNTIF($S$2:S363,S363)</f>
        <v/>
      </c>
      <c r="U363">
        <f>S363&amp;"|"&amp;T363</f>
        <v/>
      </c>
      <c r="V363">
        <f>IFERROR(VLOOKUP(IF(I363="ENFASIS",LEFT(M363,FIND("+",M363&amp;"+")-1),J363),Direccion_Grupo!$A$2:$G$100,7,FALSE),"")</f>
        <v/>
      </c>
    </row>
    <row r="364">
      <c r="A364" t="n">
        <v>16</v>
      </c>
      <c r="B364" t="inlineStr">
        <is>
          <t>Cuero Rincón Hernando Jesús</t>
        </is>
      </c>
      <c r="C364" t="inlineStr">
        <is>
          <t>MARTES</t>
        </is>
      </c>
      <c r="D364" t="n">
        <v>2</v>
      </c>
      <c r="E364" t="n">
        <v>1</v>
      </c>
      <c r="F364" t="n">
        <v>2</v>
      </c>
      <c r="G364" t="inlineStr">
        <is>
          <t>07:15</t>
        </is>
      </c>
      <c r="H364" t="inlineStr">
        <is>
          <t>08:00</t>
        </is>
      </c>
      <c r="I364" t="inlineStr">
        <is>
          <t>CLASE</t>
        </is>
      </c>
      <c r="J364" t="inlineStr">
        <is>
          <t>0602</t>
        </is>
      </c>
      <c r="K364" t="inlineStr">
        <is>
          <t>TEI</t>
        </is>
      </c>
      <c r="L364" t="inlineStr"/>
      <c r="M364" t="inlineStr"/>
      <c r="N364" t="inlineStr"/>
      <c r="O364" t="inlineStr"/>
      <c r="P364" t="inlineStr">
        <is>
          <t>0602-TEI</t>
        </is>
      </c>
      <c r="Q364">
        <f>IF(I364="ENFASIS","ÉNFASIS "&amp;M364,IFERROR(VLOOKUP(J364,Grupos!$A$2:$D$100,4,FALSE),J364))</f>
        <v/>
      </c>
      <c r="R364">
        <f>O364&amp;IF(N364&lt;&gt;"",IF(O364&lt;&gt;""," · ","")&amp;"Con: "&amp;N364,"")</f>
        <v/>
      </c>
      <c r="S364">
        <f>C364&amp;"|"&amp;D364</f>
        <v/>
      </c>
      <c r="T364">
        <f>COUNTIF($S$2:S364,S364)</f>
        <v/>
      </c>
      <c r="U364">
        <f>S364&amp;"|"&amp;T364</f>
        <v/>
      </c>
      <c r="V364">
        <f>IFERROR(VLOOKUP(IF(I364="ENFASIS",LEFT(M364,FIND("+",M364&amp;"+")-1),J364),Direccion_Grupo!$A$2:$G$100,7,FALSE),"")</f>
        <v/>
      </c>
    </row>
    <row r="365">
      <c r="A365" t="n">
        <v>4</v>
      </c>
      <c r="B365" t="inlineStr">
        <is>
          <t>Arizala Castro Roberto Carlos</t>
        </is>
      </c>
      <c r="C365" t="inlineStr">
        <is>
          <t>MARTES</t>
        </is>
      </c>
      <c r="D365" t="n">
        <v>2</v>
      </c>
      <c r="E365" t="n">
        <v>1</v>
      </c>
      <c r="F365" t="n">
        <v>2</v>
      </c>
      <c r="G365" t="inlineStr">
        <is>
          <t>07:15</t>
        </is>
      </c>
      <c r="H365" t="inlineStr">
        <is>
          <t>08:00</t>
        </is>
      </c>
      <c r="I365" t="inlineStr">
        <is>
          <t>CLASE</t>
        </is>
      </c>
      <c r="J365" t="inlineStr">
        <is>
          <t>0704</t>
        </is>
      </c>
      <c r="K365" t="inlineStr">
        <is>
          <t>ERD</t>
        </is>
      </c>
      <c r="L365" t="inlineStr"/>
      <c r="M365" t="inlineStr"/>
      <c r="N365" t="inlineStr"/>
      <c r="O365" t="inlineStr"/>
      <c r="P365" t="inlineStr">
        <is>
          <t>0704-ERD</t>
        </is>
      </c>
      <c r="Q365">
        <f>IF(I365="ENFASIS","ÉNFASIS "&amp;M365,IFERROR(VLOOKUP(J365,Grupos!$A$2:$D$100,4,FALSE),J365))</f>
        <v/>
      </c>
      <c r="R365">
        <f>O365&amp;IF(N365&lt;&gt;"",IF(O365&lt;&gt;""," · ","")&amp;"Con: "&amp;N365,"")</f>
        <v/>
      </c>
      <c r="S365">
        <f>C365&amp;"|"&amp;D365</f>
        <v/>
      </c>
      <c r="T365">
        <f>COUNTIF($S$2:S365,S365)</f>
        <v/>
      </c>
      <c r="U365">
        <f>S365&amp;"|"&amp;T365</f>
        <v/>
      </c>
      <c r="V365">
        <f>IFERROR(VLOOKUP(IF(I365="ENFASIS",LEFT(M365,FIND("+",M365&amp;"+")-1),J365),Direccion_Grupo!$A$2:$G$100,7,FALSE),"")</f>
        <v/>
      </c>
    </row>
    <row r="366">
      <c r="A366" t="n">
        <v>51</v>
      </c>
      <c r="B366" t="inlineStr">
        <is>
          <t>Valverde Montaño María Teresa</t>
        </is>
      </c>
      <c r="C366" t="inlineStr">
        <is>
          <t>MARTES</t>
        </is>
      </c>
      <c r="D366" t="n">
        <v>2</v>
      </c>
      <c r="E366" t="n">
        <v>1</v>
      </c>
      <c r="F366" t="n">
        <v>2</v>
      </c>
      <c r="G366" t="inlineStr">
        <is>
          <t>07:15</t>
        </is>
      </c>
      <c r="H366" t="inlineStr">
        <is>
          <t>08:00</t>
        </is>
      </c>
      <c r="I366" t="inlineStr">
        <is>
          <t>CLASE</t>
        </is>
      </c>
      <c r="J366" t="inlineStr">
        <is>
          <t>0801</t>
        </is>
      </c>
      <c r="K366" t="inlineStr">
        <is>
          <t>CAS</t>
        </is>
      </c>
      <c r="L366" t="inlineStr"/>
      <c r="M366" t="inlineStr"/>
      <c r="N366" t="inlineStr"/>
      <c r="O366" t="inlineStr"/>
      <c r="P366" t="inlineStr">
        <is>
          <t>0801-CAS</t>
        </is>
      </c>
      <c r="Q366">
        <f>IF(I366="ENFASIS","ÉNFASIS "&amp;M366,IFERROR(VLOOKUP(J366,Grupos!$A$2:$D$100,4,FALSE),J366))</f>
        <v/>
      </c>
      <c r="R366">
        <f>O366&amp;IF(N366&lt;&gt;"",IF(O366&lt;&gt;""," · ","")&amp;"Con: "&amp;N366,"")</f>
        <v/>
      </c>
      <c r="S366">
        <f>C366&amp;"|"&amp;D366</f>
        <v/>
      </c>
      <c r="T366">
        <f>COUNTIF($S$2:S366,S366)</f>
        <v/>
      </c>
      <c r="U366">
        <f>S366&amp;"|"&amp;T366</f>
        <v/>
      </c>
      <c r="V366">
        <f>IFERROR(VLOOKUP(IF(I366="ENFASIS",LEFT(M366,FIND("+",M366&amp;"+")-1),J366),Direccion_Grupo!$A$2:$G$100,7,FALSE),"")</f>
        <v/>
      </c>
    </row>
    <row r="367">
      <c r="A367" t="n">
        <v>38</v>
      </c>
      <c r="B367" t="inlineStr">
        <is>
          <t>Preciado Torres Oleisa</t>
        </is>
      </c>
      <c r="C367" t="inlineStr">
        <is>
          <t>MARTES</t>
        </is>
      </c>
      <c r="D367" t="n">
        <v>2</v>
      </c>
      <c r="E367" t="n">
        <v>1</v>
      </c>
      <c r="F367" t="n">
        <v>2</v>
      </c>
      <c r="G367" t="inlineStr">
        <is>
          <t>07:15</t>
        </is>
      </c>
      <c r="H367" t="inlineStr">
        <is>
          <t>08:00</t>
        </is>
      </c>
      <c r="I367" t="inlineStr">
        <is>
          <t>CLASE</t>
        </is>
      </c>
      <c r="J367" t="inlineStr">
        <is>
          <t>0802</t>
        </is>
      </c>
      <c r="K367" t="inlineStr">
        <is>
          <t>MAT</t>
        </is>
      </c>
      <c r="L367" t="inlineStr"/>
      <c r="M367" t="inlineStr"/>
      <c r="N367" t="inlineStr"/>
      <c r="O367" t="inlineStr"/>
      <c r="P367" t="inlineStr">
        <is>
          <t>0802-MAT</t>
        </is>
      </c>
      <c r="Q367">
        <f>IF(I367="ENFASIS","ÉNFASIS "&amp;M367,IFERROR(VLOOKUP(J367,Grupos!$A$2:$D$100,4,FALSE),J367))</f>
        <v/>
      </c>
      <c r="R367">
        <f>O367&amp;IF(N367&lt;&gt;"",IF(O367&lt;&gt;""," · ","")&amp;"Con: "&amp;N367,"")</f>
        <v/>
      </c>
      <c r="S367">
        <f>C367&amp;"|"&amp;D367</f>
        <v/>
      </c>
      <c r="T367">
        <f>COUNTIF($S$2:S367,S367)</f>
        <v/>
      </c>
      <c r="U367">
        <f>S367&amp;"|"&amp;T367</f>
        <v/>
      </c>
      <c r="V367">
        <f>IFERROR(VLOOKUP(IF(I367="ENFASIS",LEFT(M367,FIND("+",M367&amp;"+")-1),J367),Direccion_Grupo!$A$2:$G$100,7,FALSE),"")</f>
        <v/>
      </c>
    </row>
    <row r="368">
      <c r="A368" t="n">
        <v>49</v>
      </c>
      <c r="B368" t="inlineStr">
        <is>
          <t>Valencia Marínez Saidy Eufemia</t>
        </is>
      </c>
      <c r="C368" t="inlineStr">
        <is>
          <t>MARTES</t>
        </is>
      </c>
      <c r="D368" t="n">
        <v>2</v>
      </c>
      <c r="E368" t="n">
        <v>1</v>
      </c>
      <c r="F368" t="n">
        <v>2</v>
      </c>
      <c r="G368" t="inlineStr">
        <is>
          <t>07:15</t>
        </is>
      </c>
      <c r="H368" t="inlineStr">
        <is>
          <t>08:00</t>
        </is>
      </c>
      <c r="I368" t="inlineStr">
        <is>
          <t>CLASE</t>
        </is>
      </c>
      <c r="J368" t="inlineStr">
        <is>
          <t>0901</t>
        </is>
      </c>
      <c r="K368" t="inlineStr">
        <is>
          <t>ART</t>
        </is>
      </c>
      <c r="L368" t="inlineStr"/>
      <c r="M368" t="inlineStr"/>
      <c r="N368" t="inlineStr"/>
      <c r="O368" t="inlineStr"/>
      <c r="P368" t="inlineStr">
        <is>
          <t>0901-ART</t>
        </is>
      </c>
      <c r="Q368">
        <f>IF(I368="ENFASIS","ÉNFASIS "&amp;M368,IFERROR(VLOOKUP(J368,Grupos!$A$2:$D$100,4,FALSE),J368))</f>
        <v/>
      </c>
      <c r="R368">
        <f>O368&amp;IF(N368&lt;&gt;"",IF(O368&lt;&gt;""," · ","")&amp;"Con: "&amp;N368,"")</f>
        <v/>
      </c>
      <c r="S368">
        <f>C368&amp;"|"&amp;D368</f>
        <v/>
      </c>
      <c r="T368">
        <f>COUNTIF($S$2:S368,S368)</f>
        <v/>
      </c>
      <c r="U368">
        <f>S368&amp;"|"&amp;T368</f>
        <v/>
      </c>
      <c r="V368">
        <f>IFERROR(VLOOKUP(IF(I368="ENFASIS",LEFT(M368,FIND("+",M368&amp;"+")-1),J368),Direccion_Grupo!$A$2:$G$100,7,FALSE),"")</f>
        <v/>
      </c>
    </row>
    <row r="369">
      <c r="A369" t="n">
        <v>25</v>
      </c>
      <c r="B369" t="inlineStr">
        <is>
          <t>Lemos Guancha Miriam</t>
        </is>
      </c>
      <c r="C369" t="inlineStr">
        <is>
          <t>MARTES</t>
        </is>
      </c>
      <c r="D369" t="n">
        <v>2</v>
      </c>
      <c r="E369" t="n">
        <v>1</v>
      </c>
      <c r="F369" t="n">
        <v>2</v>
      </c>
      <c r="G369" t="inlineStr">
        <is>
          <t>07:15</t>
        </is>
      </c>
      <c r="H369" t="inlineStr">
        <is>
          <t>08:00</t>
        </is>
      </c>
      <c r="I369" t="inlineStr">
        <is>
          <t>CLASE</t>
        </is>
      </c>
      <c r="J369" t="inlineStr">
        <is>
          <t>1001</t>
        </is>
      </c>
      <c r="K369" t="inlineStr">
        <is>
          <t>CNA</t>
        </is>
      </c>
      <c r="L369" t="inlineStr"/>
      <c r="M369" t="inlineStr"/>
      <c r="N369" t="inlineStr"/>
      <c r="O369" t="inlineStr"/>
      <c r="P369" t="inlineStr">
        <is>
          <t>1001-CNA</t>
        </is>
      </c>
      <c r="Q369">
        <f>IF(I369="ENFASIS","ÉNFASIS "&amp;M369,IFERROR(VLOOKUP(J369,Grupos!$A$2:$D$100,4,FALSE),J369))</f>
        <v/>
      </c>
      <c r="R369">
        <f>O369&amp;IF(N369&lt;&gt;"",IF(O369&lt;&gt;""," · ","")&amp;"Con: "&amp;N369,"")</f>
        <v/>
      </c>
      <c r="S369">
        <f>C369&amp;"|"&amp;D369</f>
        <v/>
      </c>
      <c r="T369">
        <f>COUNTIF($S$2:S369,S369)</f>
        <v/>
      </c>
      <c r="U369">
        <f>S369&amp;"|"&amp;T369</f>
        <v/>
      </c>
      <c r="V369">
        <f>IFERROR(VLOOKUP(IF(I369="ENFASIS",LEFT(M369,FIND("+",M369&amp;"+")-1),J369),Direccion_Grupo!$A$2:$G$100,7,FALSE),"")</f>
        <v/>
      </c>
    </row>
    <row r="370">
      <c r="A370" t="n">
        <v>30</v>
      </c>
      <c r="B370" t="inlineStr">
        <is>
          <t>Montaño Anchico Favio Héctor</t>
        </is>
      </c>
      <c r="C370" t="inlineStr">
        <is>
          <t>MARTES</t>
        </is>
      </c>
      <c r="D370" t="n">
        <v>2</v>
      </c>
      <c r="E370" t="n">
        <v>1</v>
      </c>
      <c r="F370" t="n">
        <v>2</v>
      </c>
      <c r="G370" t="inlineStr">
        <is>
          <t>07:15</t>
        </is>
      </c>
      <c r="H370" t="inlineStr">
        <is>
          <t>08:00</t>
        </is>
      </c>
      <c r="I370" t="inlineStr">
        <is>
          <t>CLASE</t>
        </is>
      </c>
      <c r="J370" t="inlineStr">
        <is>
          <t>1002</t>
        </is>
      </c>
      <c r="K370" t="inlineStr">
        <is>
          <t>CAS</t>
        </is>
      </c>
      <c r="L370" t="inlineStr"/>
      <c r="M370" t="inlineStr"/>
      <c r="N370" t="inlineStr"/>
      <c r="O370" t="inlineStr"/>
      <c r="P370" t="inlineStr">
        <is>
          <t>1002-CAS</t>
        </is>
      </c>
      <c r="Q370">
        <f>IF(I370="ENFASIS","ÉNFASIS "&amp;M370,IFERROR(VLOOKUP(J370,Grupos!$A$2:$D$100,4,FALSE),J370))</f>
        <v/>
      </c>
      <c r="R370">
        <f>O370&amp;IF(N370&lt;&gt;"",IF(O370&lt;&gt;""," · ","")&amp;"Con: "&amp;N370,"")</f>
        <v/>
      </c>
      <c r="S370">
        <f>C370&amp;"|"&amp;D370</f>
        <v/>
      </c>
      <c r="T370">
        <f>COUNTIF($S$2:S370,S370)</f>
        <v/>
      </c>
      <c r="U370">
        <f>S370&amp;"|"&amp;T370</f>
        <v/>
      </c>
      <c r="V370">
        <f>IFERROR(VLOOKUP(IF(I370="ENFASIS",LEFT(M370,FIND("+",M370&amp;"+")-1),J370),Direccion_Grupo!$A$2:$G$100,7,FALSE),"")</f>
        <v/>
      </c>
    </row>
    <row r="371">
      <c r="A371" t="n">
        <v>43</v>
      </c>
      <c r="B371" t="inlineStr">
        <is>
          <t>Ramírez Guerra Jimmy Eduardo</t>
        </is>
      </c>
      <c r="C371" t="inlineStr">
        <is>
          <t>MARTES</t>
        </is>
      </c>
      <c r="D371" t="n">
        <v>2</v>
      </c>
      <c r="E371" t="n">
        <v>1</v>
      </c>
      <c r="F371" t="n">
        <v>2</v>
      </c>
      <c r="G371" t="inlineStr">
        <is>
          <t>07:15</t>
        </is>
      </c>
      <c r="H371" t="inlineStr">
        <is>
          <t>08:00</t>
        </is>
      </c>
      <c r="I371" t="inlineStr">
        <is>
          <t>CLASE</t>
        </is>
      </c>
      <c r="J371" t="inlineStr">
        <is>
          <t>1101</t>
        </is>
      </c>
      <c r="K371" t="inlineStr">
        <is>
          <t>ERD</t>
        </is>
      </c>
      <c r="L371" t="inlineStr"/>
      <c r="M371" t="inlineStr"/>
      <c r="N371" t="inlineStr"/>
      <c r="O371" t="inlineStr"/>
      <c r="P371" t="inlineStr">
        <is>
          <t>1101-ERD</t>
        </is>
      </c>
      <c r="Q371">
        <f>IF(I371="ENFASIS","ÉNFASIS "&amp;M371,IFERROR(VLOOKUP(J371,Grupos!$A$2:$D$100,4,FALSE),J371))</f>
        <v/>
      </c>
      <c r="R371">
        <f>O371&amp;IF(N371&lt;&gt;"",IF(O371&lt;&gt;""," · ","")&amp;"Con: "&amp;N371,"")</f>
        <v/>
      </c>
      <c r="S371">
        <f>C371&amp;"|"&amp;D371</f>
        <v/>
      </c>
      <c r="T371">
        <f>COUNTIF($S$2:S371,S371)</f>
        <v/>
      </c>
      <c r="U371">
        <f>S371&amp;"|"&amp;T371</f>
        <v/>
      </c>
      <c r="V371">
        <f>IFERROR(VLOOKUP(IF(I371="ENFASIS",LEFT(M371,FIND("+",M371&amp;"+")-1),J371),Direccion_Grupo!$A$2:$G$100,7,FALSE),"")</f>
        <v/>
      </c>
    </row>
    <row r="372">
      <c r="A372" t="n">
        <v>35</v>
      </c>
      <c r="B372" t="inlineStr">
        <is>
          <t>Ortiz Araujo Adiela Carlota</t>
        </is>
      </c>
      <c r="C372" t="inlineStr">
        <is>
          <t>MARTES</t>
        </is>
      </c>
      <c r="D372" t="n">
        <v>2</v>
      </c>
      <c r="E372" t="n">
        <v>1</v>
      </c>
      <c r="F372" t="n">
        <v>2</v>
      </c>
      <c r="G372" t="inlineStr">
        <is>
          <t>07:15</t>
        </is>
      </c>
      <c r="H372" t="inlineStr">
        <is>
          <t>08:00</t>
        </is>
      </c>
      <c r="I372" t="inlineStr">
        <is>
          <t>CLASE</t>
        </is>
      </c>
      <c r="J372" t="inlineStr">
        <is>
          <t>CS201</t>
        </is>
      </c>
      <c r="K372" t="inlineStr">
        <is>
          <t>CSI</t>
        </is>
      </c>
      <c r="L372" t="inlineStr"/>
      <c r="M372" t="inlineStr"/>
      <c r="N372" t="inlineStr"/>
      <c r="O372" t="inlineStr">
        <is>
          <t>Sociales / Inglés (alternan cada semana)</t>
        </is>
      </c>
      <c r="P372" t="inlineStr">
        <is>
          <t>CS201-CSI</t>
        </is>
      </c>
      <c r="Q372">
        <f>IF(I372="ENFASIS","ÉNFASIS "&amp;M372,IFERROR(VLOOKUP(J372,Grupos!$A$2:$D$100,4,FALSE),J372))</f>
        <v/>
      </c>
      <c r="R372">
        <f>O372&amp;IF(N372&lt;&gt;"",IF(O372&lt;&gt;""," · ","")&amp;"Con: "&amp;N372,"")</f>
        <v/>
      </c>
      <c r="S372">
        <f>C372&amp;"|"&amp;D372</f>
        <v/>
      </c>
      <c r="T372">
        <f>COUNTIF($S$2:S372,S372)</f>
        <v/>
      </c>
      <c r="U372">
        <f>S372&amp;"|"&amp;T372</f>
        <v/>
      </c>
      <c r="V372">
        <f>IFERROR(VLOOKUP(IF(I372="ENFASIS",LEFT(M372,FIND("+",M372&amp;"+")-1),J372),Direccion_Grupo!$A$2:$G$100,7,FALSE),"")</f>
        <v/>
      </c>
    </row>
    <row r="373">
      <c r="A373" t="n">
        <v>19</v>
      </c>
      <c r="B373" t="inlineStr">
        <is>
          <t>Fernández Vélez Alfredo Enrique</t>
        </is>
      </c>
      <c r="C373" t="inlineStr">
        <is>
          <t>MARTES</t>
        </is>
      </c>
      <c r="D373" t="n">
        <v>2</v>
      </c>
      <c r="E373" t="n">
        <v>1</v>
      </c>
      <c r="F373" t="n">
        <v>2</v>
      </c>
      <c r="G373" t="inlineStr">
        <is>
          <t>07:15</t>
        </is>
      </c>
      <c r="H373" t="inlineStr">
        <is>
          <t>08:00</t>
        </is>
      </c>
      <c r="I373" t="inlineStr">
        <is>
          <t>CLASE</t>
        </is>
      </c>
      <c r="J373" t="inlineStr">
        <is>
          <t>CS202</t>
        </is>
      </c>
      <c r="K373" t="inlineStr">
        <is>
          <t>TEI</t>
        </is>
      </c>
      <c r="L373" t="inlineStr"/>
      <c r="M373" t="inlineStr"/>
      <c r="N373" t="inlineStr"/>
      <c r="O373" t="inlineStr"/>
      <c r="P373" t="inlineStr">
        <is>
          <t>CS202-TEI</t>
        </is>
      </c>
      <c r="Q373">
        <f>IF(I373="ENFASIS","ÉNFASIS "&amp;M373,IFERROR(VLOOKUP(J373,Grupos!$A$2:$D$100,4,FALSE),J373))</f>
        <v/>
      </c>
      <c r="R373">
        <f>O373&amp;IF(N373&lt;&gt;"",IF(O373&lt;&gt;""," · ","")&amp;"Con: "&amp;N373,"")</f>
        <v/>
      </c>
      <c r="S373">
        <f>C373&amp;"|"&amp;D373</f>
        <v/>
      </c>
      <c r="T373">
        <f>COUNTIF($S$2:S373,S373)</f>
        <v/>
      </c>
      <c r="U373">
        <f>S373&amp;"|"&amp;T373</f>
        <v/>
      </c>
      <c r="V373">
        <f>IFERROR(VLOOKUP(IF(I373="ENFASIS",LEFT(M373,FIND("+",M373&amp;"+")-1),J373),Direccion_Grupo!$A$2:$G$100,7,FALSE),"")</f>
        <v/>
      </c>
    </row>
    <row r="374">
      <c r="A374" t="n">
        <v>7</v>
      </c>
      <c r="B374" t="inlineStr">
        <is>
          <t>Casanova Casanova Johana Andrea</t>
        </is>
      </c>
      <c r="C374" t="inlineStr">
        <is>
          <t>MARTES</t>
        </is>
      </c>
      <c r="D374" t="n">
        <v>2</v>
      </c>
      <c r="E374" t="n">
        <v>1</v>
      </c>
      <c r="F374" t="n">
        <v>2</v>
      </c>
      <c r="G374" t="inlineStr">
        <is>
          <t>07:15</t>
        </is>
      </c>
      <c r="H374" t="inlineStr">
        <is>
          <t>08:00</t>
        </is>
      </c>
      <c r="I374" t="inlineStr">
        <is>
          <t>ORIENTACION</t>
        </is>
      </c>
      <c r="J374" t="inlineStr">
        <is>
          <t>ORIENT</t>
        </is>
      </c>
      <c r="K374" t="inlineStr">
        <is>
          <t>ORIENTACIÓN ESCOLAR</t>
        </is>
      </c>
      <c r="L374" t="inlineStr"/>
      <c r="M374" t="inlineStr"/>
      <c r="N374" t="inlineStr"/>
      <c r="O374" t="inlineStr">
        <is>
          <t>Jornada 07:30 a 14:30</t>
        </is>
      </c>
      <c r="P374" t="inlineStr"/>
      <c r="Q374">
        <f>IF(I374="ENFASIS","ÉNFASIS "&amp;M374,IFERROR(VLOOKUP(J374,Grupos!$A$2:$D$100,4,FALSE),J374))</f>
        <v/>
      </c>
      <c r="R374">
        <f>O374&amp;IF(N374&lt;&gt;"",IF(O374&lt;&gt;""," · ","")&amp;"Con: "&amp;N374,"")</f>
        <v/>
      </c>
      <c r="S374">
        <f>C374&amp;"|"&amp;D374</f>
        <v/>
      </c>
      <c r="T374">
        <f>COUNTIF($S$2:S374,S374)</f>
        <v/>
      </c>
      <c r="U374">
        <f>S374&amp;"|"&amp;T374</f>
        <v/>
      </c>
      <c r="V374">
        <f>IFERROR(VLOOKUP(IF(I374="ENFASIS",LEFT(M374,FIND("+",M374&amp;"+")-1),J374),Direccion_Grupo!$A$2:$G$100,7,FALSE),"")</f>
        <v/>
      </c>
    </row>
    <row r="375">
      <c r="A375" t="n">
        <v>56</v>
      </c>
      <c r="B375" t="inlineStr">
        <is>
          <t>Ortiz Estacio Martha Cecilia</t>
        </is>
      </c>
      <c r="C375" t="inlineStr">
        <is>
          <t>MARTES</t>
        </is>
      </c>
      <c r="D375" t="n">
        <v>2</v>
      </c>
      <c r="E375" t="n">
        <v>1</v>
      </c>
      <c r="F375" t="n">
        <v>2</v>
      </c>
      <c r="G375" t="inlineStr">
        <is>
          <t>07:15</t>
        </is>
      </c>
      <c r="H375" t="inlineStr">
        <is>
          <t>08:00</t>
        </is>
      </c>
      <c r="I375" t="inlineStr">
        <is>
          <t>TUTORIA</t>
        </is>
      </c>
      <c r="J375" t="inlineStr">
        <is>
          <t>PTAFI</t>
        </is>
      </c>
      <c r="K375" t="inlineStr">
        <is>
          <t>TUTORÍA PTAFI</t>
        </is>
      </c>
      <c r="L375" t="inlineStr"/>
      <c r="M375" t="inlineStr"/>
      <c r="N375" t="inlineStr"/>
      <c r="O375" t="inlineStr">
        <is>
          <t>Jornada 06:30 a 12:00</t>
        </is>
      </c>
      <c r="P375" t="inlineStr"/>
      <c r="Q375">
        <f>IF(I375="ENFASIS","ÉNFASIS "&amp;M375,IFERROR(VLOOKUP(J375,Grupos!$A$2:$D$100,4,FALSE),J375))</f>
        <v/>
      </c>
      <c r="R375">
        <f>O375&amp;IF(N375&lt;&gt;"",IF(O375&lt;&gt;""," · ","")&amp;"Con: "&amp;N375,"")</f>
        <v/>
      </c>
      <c r="S375">
        <f>C375&amp;"|"&amp;D375</f>
        <v/>
      </c>
      <c r="T375">
        <f>COUNTIF($S$2:S375,S375)</f>
        <v/>
      </c>
      <c r="U375">
        <f>S375&amp;"|"&amp;T375</f>
        <v/>
      </c>
      <c r="V375">
        <f>IFERROR(VLOOKUP(IF(I375="ENFASIS",LEFT(M375,FIND("+",M375&amp;"+")-1),J375),Direccion_Grupo!$A$2:$G$100,7,FALSE),"")</f>
        <v/>
      </c>
    </row>
    <row r="376">
      <c r="A376" t="n">
        <v>10</v>
      </c>
      <c r="B376" t="inlineStr">
        <is>
          <t>Castillo Cuero Daira Eneida</t>
        </is>
      </c>
      <c r="C376" t="inlineStr">
        <is>
          <t>MARTES</t>
        </is>
      </c>
      <c r="D376" t="n">
        <v>2</v>
      </c>
      <c r="E376" t="n">
        <v>1</v>
      </c>
      <c r="F376" t="n">
        <v>2</v>
      </c>
      <c r="G376" t="inlineStr">
        <is>
          <t>07:15</t>
        </is>
      </c>
      <c r="H376" t="inlineStr">
        <is>
          <t>08:00</t>
        </is>
      </c>
      <c r="I376" t="inlineStr">
        <is>
          <t>ENFASIS</t>
        </is>
      </c>
      <c r="J376" t="inlineStr"/>
      <c r="K376" t="inlineStr">
        <is>
          <t>CAS</t>
        </is>
      </c>
      <c r="L376" t="inlineStr">
        <is>
          <t>0701</t>
        </is>
      </c>
      <c r="M376" t="inlineStr">
        <is>
          <t>0701</t>
        </is>
      </c>
      <c r="N376" t="inlineStr">
        <is>
          <t>Puches Ana Milena (ART)</t>
        </is>
      </c>
      <c r="O376" t="inlineStr">
        <is>
          <t>PAREJA: comparten el énfasis y alternan por semana</t>
        </is>
      </c>
      <c r="P376" t="inlineStr">
        <is>
          <t>ENFASIS-0701</t>
        </is>
      </c>
      <c r="Q376">
        <f>IF(I376="ENFASIS","ÉNFASIS "&amp;M376,IFERROR(VLOOKUP(J376,Grupos!$A$2:$D$100,4,FALSE),J376))</f>
        <v/>
      </c>
      <c r="R376">
        <f>O376&amp;IF(N376&lt;&gt;"",IF(O376&lt;&gt;""," · ","")&amp;"Con: "&amp;N376,"")</f>
        <v/>
      </c>
      <c r="S376">
        <f>C376&amp;"|"&amp;D376</f>
        <v/>
      </c>
      <c r="T376">
        <f>COUNTIF($S$2:S376,S376)</f>
        <v/>
      </c>
      <c r="U376">
        <f>S376&amp;"|"&amp;T376</f>
        <v/>
      </c>
      <c r="V376">
        <f>IFERROR(VLOOKUP(IF(I376="ENFASIS",LEFT(M376,FIND("+",M376&amp;"+")-1),J376),Direccion_Grupo!$A$2:$G$100,7,FALSE),"")</f>
        <v/>
      </c>
    </row>
    <row r="377">
      <c r="A377" t="n">
        <v>39</v>
      </c>
      <c r="B377" t="inlineStr">
        <is>
          <t>Puches Ana Milena</t>
        </is>
      </c>
      <c r="C377" t="inlineStr">
        <is>
          <t>MARTES</t>
        </is>
      </c>
      <c r="D377" t="n">
        <v>2</v>
      </c>
      <c r="E377" t="n">
        <v>1</v>
      </c>
      <c r="F377" t="n">
        <v>2</v>
      </c>
      <c r="G377" t="inlineStr">
        <is>
          <t>07:15</t>
        </is>
      </c>
      <c r="H377" t="inlineStr">
        <is>
          <t>08:00</t>
        </is>
      </c>
      <c r="I377" t="inlineStr">
        <is>
          <t>ENFASIS</t>
        </is>
      </c>
      <c r="J377" t="inlineStr"/>
      <c r="K377" t="inlineStr">
        <is>
          <t>ART</t>
        </is>
      </c>
      <c r="L377" t="inlineStr">
        <is>
          <t>0701</t>
        </is>
      </c>
      <c r="M377" t="inlineStr">
        <is>
          <t>0701</t>
        </is>
      </c>
      <c r="N377" t="inlineStr">
        <is>
          <t>Castillo Cuero Daira Eneida (CAS)</t>
        </is>
      </c>
      <c r="O377" t="inlineStr">
        <is>
          <t>PAREJA: comparten el énfasis y alternan por semana</t>
        </is>
      </c>
      <c r="P377" t="inlineStr">
        <is>
          <t>ENFASIS-0701</t>
        </is>
      </c>
      <c r="Q377">
        <f>IF(I377="ENFASIS","ÉNFASIS "&amp;M377,IFERROR(VLOOKUP(J377,Grupos!$A$2:$D$100,4,FALSE),J377))</f>
        <v/>
      </c>
      <c r="R377">
        <f>O377&amp;IF(N377&lt;&gt;"",IF(O377&lt;&gt;""," · ","")&amp;"Con: "&amp;N377,"")</f>
        <v/>
      </c>
      <c r="S377">
        <f>C377&amp;"|"&amp;D377</f>
        <v/>
      </c>
      <c r="T377">
        <f>COUNTIF($S$2:S377,S377)</f>
        <v/>
      </c>
      <c r="U377">
        <f>S377&amp;"|"&amp;T377</f>
        <v/>
      </c>
      <c r="V377">
        <f>IFERROR(VLOOKUP(IF(I377="ENFASIS",LEFT(M377,FIND("+",M377&amp;"+")-1),J377),Direccion_Grupo!$A$2:$G$100,7,FALSE),"")</f>
        <v/>
      </c>
    </row>
    <row r="378">
      <c r="A378" t="n">
        <v>12</v>
      </c>
      <c r="B378" t="inlineStr">
        <is>
          <t>Chillambo Quiñones María Rocío</t>
        </is>
      </c>
      <c r="C378" t="inlineStr">
        <is>
          <t>MARTES</t>
        </is>
      </c>
      <c r="D378" t="n">
        <v>2</v>
      </c>
      <c r="E378" t="n">
        <v>1</v>
      </c>
      <c r="F378" t="n">
        <v>2</v>
      </c>
      <c r="G378" t="inlineStr">
        <is>
          <t>07:15</t>
        </is>
      </c>
      <c r="H378" t="inlineStr">
        <is>
          <t>08:00</t>
        </is>
      </c>
      <c r="I378" t="inlineStr">
        <is>
          <t>ENFASIS</t>
        </is>
      </c>
      <c r="J378" t="inlineStr"/>
      <c r="K378" t="inlineStr">
        <is>
          <t>CNA</t>
        </is>
      </c>
      <c r="L378" t="inlineStr">
        <is>
          <t>0702</t>
        </is>
      </c>
      <c r="M378" t="inlineStr">
        <is>
          <t>0702</t>
        </is>
      </c>
      <c r="N378" t="inlineStr">
        <is>
          <t>Cuero Bamba Berte Levi (ERD)</t>
        </is>
      </c>
      <c r="O378" t="inlineStr">
        <is>
          <t>PAREJA: comparten el énfasis y alternan por semana</t>
        </is>
      </c>
      <c r="P378" t="inlineStr">
        <is>
          <t>ENFASIS-0702</t>
        </is>
      </c>
      <c r="Q378">
        <f>IF(I378="ENFASIS","ÉNFASIS "&amp;M378,IFERROR(VLOOKUP(J378,Grupos!$A$2:$D$100,4,FALSE),J378))</f>
        <v/>
      </c>
      <c r="R378">
        <f>O378&amp;IF(N378&lt;&gt;"",IF(O378&lt;&gt;""," · ","")&amp;"Con: "&amp;N378,"")</f>
        <v/>
      </c>
      <c r="S378">
        <f>C378&amp;"|"&amp;D378</f>
        <v/>
      </c>
      <c r="T378">
        <f>COUNTIF($S$2:S378,S378)</f>
        <v/>
      </c>
      <c r="U378">
        <f>S378&amp;"|"&amp;T378</f>
        <v/>
      </c>
      <c r="V378">
        <f>IFERROR(VLOOKUP(IF(I378="ENFASIS",LEFT(M378,FIND("+",M378&amp;"+")-1),J378),Direccion_Grupo!$A$2:$G$100,7,FALSE),"")</f>
        <v/>
      </c>
    </row>
    <row r="379">
      <c r="A379" t="n">
        <v>15</v>
      </c>
      <c r="B379" t="inlineStr">
        <is>
          <t>Cuero Bamba Berte Levi</t>
        </is>
      </c>
      <c r="C379" t="inlineStr">
        <is>
          <t>MARTES</t>
        </is>
      </c>
      <c r="D379" t="n">
        <v>2</v>
      </c>
      <c r="E379" t="n">
        <v>1</v>
      </c>
      <c r="F379" t="n">
        <v>2</v>
      </c>
      <c r="G379" t="inlineStr">
        <is>
          <t>07:15</t>
        </is>
      </c>
      <c r="H379" t="inlineStr">
        <is>
          <t>08:00</t>
        </is>
      </c>
      <c r="I379" t="inlineStr">
        <is>
          <t>ENFASIS</t>
        </is>
      </c>
      <c r="J379" t="inlineStr"/>
      <c r="K379" t="inlineStr">
        <is>
          <t>ERD</t>
        </is>
      </c>
      <c r="L379" t="inlineStr">
        <is>
          <t>0702</t>
        </is>
      </c>
      <c r="M379" t="inlineStr">
        <is>
          <t>0702</t>
        </is>
      </c>
      <c r="N379" t="inlineStr">
        <is>
          <t>Chillambo Quiñones María Rocío (CNA)</t>
        </is>
      </c>
      <c r="O379" t="inlineStr">
        <is>
          <t>PAREJA: comparten el énfasis y alternan por semana</t>
        </is>
      </c>
      <c r="P379" t="inlineStr">
        <is>
          <t>ENFASIS-0702</t>
        </is>
      </c>
      <c r="Q379">
        <f>IF(I379="ENFASIS","ÉNFASIS "&amp;M379,IFERROR(VLOOKUP(J379,Grupos!$A$2:$D$100,4,FALSE),J379))</f>
        <v/>
      </c>
      <c r="R379">
        <f>O379&amp;IF(N379&lt;&gt;"",IF(O379&lt;&gt;""," · ","")&amp;"Con: "&amp;N379,"")</f>
        <v/>
      </c>
      <c r="S379">
        <f>C379&amp;"|"&amp;D379</f>
        <v/>
      </c>
      <c r="T379">
        <f>COUNTIF($S$2:S379,S379)</f>
        <v/>
      </c>
      <c r="U379">
        <f>S379&amp;"|"&amp;T379</f>
        <v/>
      </c>
      <c r="V379">
        <f>IFERROR(VLOOKUP(IF(I379="ENFASIS",LEFT(M379,FIND("+",M379&amp;"+")-1),J379),Direccion_Grupo!$A$2:$G$100,7,FALSE),"")</f>
        <v/>
      </c>
    </row>
    <row r="380">
      <c r="A380" t="n">
        <v>8</v>
      </c>
      <c r="B380" t="inlineStr">
        <is>
          <t>Casanova Quiñones Yoli del Carmen</t>
        </is>
      </c>
      <c r="C380" t="inlineStr">
        <is>
          <t>MARTES</t>
        </is>
      </c>
      <c r="D380" t="n">
        <v>2</v>
      </c>
      <c r="E380" t="n">
        <v>1</v>
      </c>
      <c r="F380" t="n">
        <v>2</v>
      </c>
      <c r="G380" t="inlineStr">
        <is>
          <t>07:15</t>
        </is>
      </c>
      <c r="H380" t="inlineStr">
        <is>
          <t>08:00</t>
        </is>
      </c>
      <c r="I380" t="inlineStr">
        <is>
          <t>ENFASIS</t>
        </is>
      </c>
      <c r="J380" t="inlineStr"/>
      <c r="K380" t="inlineStr">
        <is>
          <t>ETR</t>
        </is>
      </c>
      <c r="L380" t="inlineStr">
        <is>
          <t>0703</t>
        </is>
      </c>
      <c r="M380" t="inlineStr">
        <is>
          <t>0703</t>
        </is>
      </c>
      <c r="N380" t="inlineStr">
        <is>
          <t>Quintero Ramírez María del Carmen (CSI)</t>
        </is>
      </c>
      <c r="O380" t="inlineStr">
        <is>
          <t>PAREJA: comparten el énfasis y alternan por semana</t>
        </is>
      </c>
      <c r="P380" t="inlineStr">
        <is>
          <t>ENFASIS-0703</t>
        </is>
      </c>
      <c r="Q380">
        <f>IF(I380="ENFASIS","ÉNFASIS "&amp;M380,IFERROR(VLOOKUP(J380,Grupos!$A$2:$D$100,4,FALSE),J380))</f>
        <v/>
      </c>
      <c r="R380">
        <f>O380&amp;IF(N380&lt;&gt;"",IF(O380&lt;&gt;""," · ","")&amp;"Con: "&amp;N380,"")</f>
        <v/>
      </c>
      <c r="S380">
        <f>C380&amp;"|"&amp;D380</f>
        <v/>
      </c>
      <c r="T380">
        <f>COUNTIF($S$2:S380,S380)</f>
        <v/>
      </c>
      <c r="U380">
        <f>S380&amp;"|"&amp;T380</f>
        <v/>
      </c>
      <c r="V380">
        <f>IFERROR(VLOOKUP(IF(I380="ENFASIS",LEFT(M380,FIND("+",M380&amp;"+")-1),J380),Direccion_Grupo!$A$2:$G$100,7,FALSE),"")</f>
        <v/>
      </c>
    </row>
    <row r="381">
      <c r="A381" t="n">
        <v>41</v>
      </c>
      <c r="B381" t="inlineStr">
        <is>
          <t>Quintero Ramírez María del Carmen</t>
        </is>
      </c>
      <c r="C381" t="inlineStr">
        <is>
          <t>MARTES</t>
        </is>
      </c>
      <c r="D381" t="n">
        <v>2</v>
      </c>
      <c r="E381" t="n">
        <v>1</v>
      </c>
      <c r="F381" t="n">
        <v>2</v>
      </c>
      <c r="G381" t="inlineStr">
        <is>
          <t>07:15</t>
        </is>
      </c>
      <c r="H381" t="inlineStr">
        <is>
          <t>08:00</t>
        </is>
      </c>
      <c r="I381" t="inlineStr">
        <is>
          <t>ENFASIS</t>
        </is>
      </c>
      <c r="J381" t="inlineStr"/>
      <c r="K381" t="inlineStr">
        <is>
          <t>CSI</t>
        </is>
      </c>
      <c r="L381" t="inlineStr">
        <is>
          <t>0703</t>
        </is>
      </c>
      <c r="M381" t="inlineStr">
        <is>
          <t>0703</t>
        </is>
      </c>
      <c r="N381" t="inlineStr">
        <is>
          <t>Casanova Quiñones Yoli del Carmen (ETR)</t>
        </is>
      </c>
      <c r="O381" t="inlineStr">
        <is>
          <t>PAREJA: comparten el énfasis y alternan por semana</t>
        </is>
      </c>
      <c r="P381" t="inlineStr">
        <is>
          <t>ENFASIS-0703</t>
        </is>
      </c>
      <c r="Q381">
        <f>IF(I381="ENFASIS","ÉNFASIS "&amp;M381,IFERROR(VLOOKUP(J381,Grupos!$A$2:$D$100,4,FALSE),J381))</f>
        <v/>
      </c>
      <c r="R381">
        <f>O381&amp;IF(N381&lt;&gt;"",IF(O381&lt;&gt;""," · ","")&amp;"Con: "&amp;N381,"")</f>
        <v/>
      </c>
      <c r="S381">
        <f>C381&amp;"|"&amp;D381</f>
        <v/>
      </c>
      <c r="T381">
        <f>COUNTIF($S$2:S381,S381)</f>
        <v/>
      </c>
      <c r="U381">
        <f>S381&amp;"|"&amp;T381</f>
        <v/>
      </c>
      <c r="V381">
        <f>IFERROR(VLOOKUP(IF(I381="ENFASIS",LEFT(M381,FIND("+",M381&amp;"+")-1),J381),Direccion_Grupo!$A$2:$G$100,7,FALSE),"")</f>
        <v/>
      </c>
    </row>
    <row r="382">
      <c r="A382" t="n">
        <v>5</v>
      </c>
      <c r="B382" t="inlineStr">
        <is>
          <t>Bastidas Valencia Zeneida Judith</t>
        </is>
      </c>
      <c r="C382" t="inlineStr">
        <is>
          <t>MARTES</t>
        </is>
      </c>
      <c r="D382" t="n">
        <v>2</v>
      </c>
      <c r="E382" t="n">
        <v>1</v>
      </c>
      <c r="F382" t="n">
        <v>2</v>
      </c>
      <c r="G382" t="inlineStr">
        <is>
          <t>07:15</t>
        </is>
      </c>
      <c r="H382" t="inlineStr">
        <is>
          <t>08:00</t>
        </is>
      </c>
      <c r="I382" t="inlineStr">
        <is>
          <t>ENFASIS</t>
        </is>
      </c>
      <c r="J382" t="inlineStr"/>
      <c r="K382" t="inlineStr">
        <is>
          <t>MAT</t>
        </is>
      </c>
      <c r="L382" t="inlineStr">
        <is>
          <t>0902</t>
        </is>
      </c>
      <c r="M382" t="inlineStr">
        <is>
          <t>0902</t>
        </is>
      </c>
      <c r="N382" t="inlineStr">
        <is>
          <t>Betancourth Ocampo Yohana Patricia (CSI); Estacio Estupiñán Rosario (ETR); Mindineros Satizábal John Jáver (TEI)</t>
        </is>
      </c>
      <c r="O382" t="inlineStr">
        <is>
          <t>EQUIPO DE 4: cada docente atiende un grupo de estudiantes en su área</t>
        </is>
      </c>
      <c r="P382" t="inlineStr">
        <is>
          <t>ENFASIS-0902</t>
        </is>
      </c>
      <c r="Q382">
        <f>IF(I382="ENFASIS","ÉNFASIS "&amp;M382,IFERROR(VLOOKUP(J382,Grupos!$A$2:$D$100,4,FALSE),J382))</f>
        <v/>
      </c>
      <c r="R382">
        <f>O382&amp;IF(N382&lt;&gt;"",IF(O382&lt;&gt;""," · ","")&amp;"Con: "&amp;N382,"")</f>
        <v/>
      </c>
      <c r="S382">
        <f>C382&amp;"|"&amp;D382</f>
        <v/>
      </c>
      <c r="T382">
        <f>COUNTIF($S$2:S382,S382)</f>
        <v/>
      </c>
      <c r="U382">
        <f>S382&amp;"|"&amp;T382</f>
        <v/>
      </c>
      <c r="V382">
        <f>IFERROR(VLOOKUP(IF(I382="ENFASIS",LEFT(M382,FIND("+",M382&amp;"+")-1),J382),Direccion_Grupo!$A$2:$G$100,7,FALSE),"")</f>
        <v/>
      </c>
    </row>
    <row r="383">
      <c r="A383" t="n">
        <v>6</v>
      </c>
      <c r="B383" t="inlineStr">
        <is>
          <t>Betancourth Ocampo Yohana Patricia</t>
        </is>
      </c>
      <c r="C383" t="inlineStr">
        <is>
          <t>MARTES</t>
        </is>
      </c>
      <c r="D383" t="n">
        <v>2</v>
      </c>
      <c r="E383" t="n">
        <v>1</v>
      </c>
      <c r="F383" t="n">
        <v>2</v>
      </c>
      <c r="G383" t="inlineStr">
        <is>
          <t>07:15</t>
        </is>
      </c>
      <c r="H383" t="inlineStr">
        <is>
          <t>08:00</t>
        </is>
      </c>
      <c r="I383" t="inlineStr">
        <is>
          <t>ENFASIS</t>
        </is>
      </c>
      <c r="J383" t="inlineStr"/>
      <c r="K383" t="inlineStr">
        <is>
          <t>CSI</t>
        </is>
      </c>
      <c r="L383" t="inlineStr">
        <is>
          <t>0902</t>
        </is>
      </c>
      <c r="M383" t="inlineStr">
        <is>
          <t>0902</t>
        </is>
      </c>
      <c r="N383" t="inlineStr">
        <is>
          <t>Estacio Estupiñán Rosario (ETR); Bastidas Valencia Zeneida Judith (MAT); Mindineros Satizábal John Jáver (TEI)</t>
        </is>
      </c>
      <c r="O383" t="inlineStr">
        <is>
          <t>EQUIPO DE 4: cada docente atiende un grupo de estudiantes en su área</t>
        </is>
      </c>
      <c r="P383" t="inlineStr">
        <is>
          <t>ENFASIS-0902</t>
        </is>
      </c>
      <c r="Q383">
        <f>IF(I383="ENFASIS","ÉNFASIS "&amp;M383,IFERROR(VLOOKUP(J383,Grupos!$A$2:$D$100,4,FALSE),J383))</f>
        <v/>
      </c>
      <c r="R383">
        <f>O383&amp;IF(N383&lt;&gt;"",IF(O383&lt;&gt;""," · ","")&amp;"Con: "&amp;N383,"")</f>
        <v/>
      </c>
      <c r="S383">
        <f>C383&amp;"|"&amp;D383</f>
        <v/>
      </c>
      <c r="T383">
        <f>COUNTIF($S$2:S383,S383)</f>
        <v/>
      </c>
      <c r="U383">
        <f>S383&amp;"|"&amp;T383</f>
        <v/>
      </c>
      <c r="V383">
        <f>IFERROR(VLOOKUP(IF(I383="ENFASIS",LEFT(M383,FIND("+",M383&amp;"+")-1),J383),Direccion_Grupo!$A$2:$G$100,7,FALSE),"")</f>
        <v/>
      </c>
    </row>
    <row r="384">
      <c r="A384" t="n">
        <v>18</v>
      </c>
      <c r="B384" t="inlineStr">
        <is>
          <t>Estacio Estupiñán Rosario</t>
        </is>
      </c>
      <c r="C384" t="inlineStr">
        <is>
          <t>MARTES</t>
        </is>
      </c>
      <c r="D384" t="n">
        <v>2</v>
      </c>
      <c r="E384" t="n">
        <v>1</v>
      </c>
      <c r="F384" t="n">
        <v>2</v>
      </c>
      <c r="G384" t="inlineStr">
        <is>
          <t>07:15</t>
        </is>
      </c>
      <c r="H384" t="inlineStr">
        <is>
          <t>08:00</t>
        </is>
      </c>
      <c r="I384" t="inlineStr">
        <is>
          <t>ENFASIS</t>
        </is>
      </c>
      <c r="J384" t="inlineStr"/>
      <c r="K384" t="inlineStr">
        <is>
          <t>ETR</t>
        </is>
      </c>
      <c r="L384" t="inlineStr">
        <is>
          <t>0902</t>
        </is>
      </c>
      <c r="M384" t="inlineStr">
        <is>
          <t>0902</t>
        </is>
      </c>
      <c r="N384" t="inlineStr">
        <is>
          <t>Betancourth Ocampo Yohana Patricia (CSI); Bastidas Valencia Zeneida Judith (MAT); Mindineros Satizábal John Jáver (TEI)</t>
        </is>
      </c>
      <c r="O384" t="inlineStr">
        <is>
          <t>EQUIPO DE 4: cada docente atiende un grupo de estudiantes en su área</t>
        </is>
      </c>
      <c r="P384" t="inlineStr">
        <is>
          <t>ENFASIS-0902</t>
        </is>
      </c>
      <c r="Q384">
        <f>IF(I384="ENFASIS","ÉNFASIS "&amp;M384,IFERROR(VLOOKUP(J384,Grupos!$A$2:$D$100,4,FALSE),J384))</f>
        <v/>
      </c>
      <c r="R384">
        <f>O384&amp;IF(N384&lt;&gt;"",IF(O384&lt;&gt;""," · ","")&amp;"Con: "&amp;N384,"")</f>
        <v/>
      </c>
      <c r="S384">
        <f>C384&amp;"|"&amp;D384</f>
        <v/>
      </c>
      <c r="T384">
        <f>COUNTIF($S$2:S384,S384)</f>
        <v/>
      </c>
      <c r="U384">
        <f>S384&amp;"|"&amp;T384</f>
        <v/>
      </c>
      <c r="V384">
        <f>IFERROR(VLOOKUP(IF(I384="ENFASIS",LEFT(M384,FIND("+",M384&amp;"+")-1),J384),Direccion_Grupo!$A$2:$G$100,7,FALSE),"")</f>
        <v/>
      </c>
    </row>
    <row r="385">
      <c r="A385" t="n">
        <v>29</v>
      </c>
      <c r="B385" t="inlineStr">
        <is>
          <t>Mindineros Satizábal John Jáver</t>
        </is>
      </c>
      <c r="C385" t="inlineStr">
        <is>
          <t>MARTES</t>
        </is>
      </c>
      <c r="D385" t="n">
        <v>2</v>
      </c>
      <c r="E385" t="n">
        <v>1</v>
      </c>
      <c r="F385" t="n">
        <v>2</v>
      </c>
      <c r="G385" t="inlineStr">
        <is>
          <t>07:15</t>
        </is>
      </c>
      <c r="H385" t="inlineStr">
        <is>
          <t>08:00</t>
        </is>
      </c>
      <c r="I385" t="inlineStr">
        <is>
          <t>ENFASIS</t>
        </is>
      </c>
      <c r="J385" t="inlineStr"/>
      <c r="K385" t="inlineStr">
        <is>
          <t>TEI</t>
        </is>
      </c>
      <c r="L385" t="inlineStr">
        <is>
          <t>0902</t>
        </is>
      </c>
      <c r="M385" t="inlineStr">
        <is>
          <t>0902</t>
        </is>
      </c>
      <c r="N385" t="inlineStr">
        <is>
          <t>Betancourth Ocampo Yohana Patricia (CSI); Estacio Estupiñán Rosario (ETR); Bastidas Valencia Zeneida Judith (MAT)</t>
        </is>
      </c>
      <c r="O385" t="inlineStr">
        <is>
          <t>EQUIPO DE 4: cada docente atiende un grupo de estudiantes en su área</t>
        </is>
      </c>
      <c r="P385" t="inlineStr">
        <is>
          <t>ENFASIS-0902</t>
        </is>
      </c>
      <c r="Q385">
        <f>IF(I385="ENFASIS","ÉNFASIS "&amp;M385,IFERROR(VLOOKUP(J385,Grupos!$A$2:$D$100,4,FALSE),J385))</f>
        <v/>
      </c>
      <c r="R385">
        <f>O385&amp;IF(N385&lt;&gt;"",IF(O385&lt;&gt;""," · ","")&amp;"Con: "&amp;N385,"")</f>
        <v/>
      </c>
      <c r="S385">
        <f>C385&amp;"|"&amp;D385</f>
        <v/>
      </c>
      <c r="T385">
        <f>COUNTIF($S$2:S385,S385)</f>
        <v/>
      </c>
      <c r="U385">
        <f>S385&amp;"|"&amp;T385</f>
        <v/>
      </c>
      <c r="V385">
        <f>IFERROR(VLOOKUP(IF(I385="ENFASIS",LEFT(M385,FIND("+",M385&amp;"+")-1),J385),Direccion_Grupo!$A$2:$G$100,7,FALSE),"")</f>
        <v/>
      </c>
    </row>
    <row r="386">
      <c r="A386" t="n">
        <v>2</v>
      </c>
      <c r="B386" t="inlineStr">
        <is>
          <t>Angulo Lucero Andrés Mauricio</t>
        </is>
      </c>
      <c r="C386" t="inlineStr">
        <is>
          <t>MARTES</t>
        </is>
      </c>
      <c r="D386" t="n">
        <v>2</v>
      </c>
      <c r="E386" t="n">
        <v>1</v>
      </c>
      <c r="F386" t="n">
        <v>2</v>
      </c>
      <c r="G386" t="inlineStr">
        <is>
          <t>07:15</t>
        </is>
      </c>
      <c r="H386" t="inlineStr">
        <is>
          <t>08:00</t>
        </is>
      </c>
      <c r="I386" t="inlineStr">
        <is>
          <t>ENFASIS</t>
        </is>
      </c>
      <c r="J386" t="inlineStr"/>
      <c r="K386" t="inlineStr">
        <is>
          <t>TEI</t>
        </is>
      </c>
      <c r="L386" t="inlineStr">
        <is>
          <t>D5-11°</t>
        </is>
      </c>
      <c r="M386" t="inlineStr">
        <is>
          <t>1102</t>
        </is>
      </c>
      <c r="N386" t="inlineStr">
        <is>
          <t>Pulgarín Ortiz César Marino (CSI); Montaño Arizala Leidis Claudina (ETR); Villota Rubio Janeth del Carmen (MAT)</t>
        </is>
      </c>
      <c r="O386" t="inlineStr">
        <is>
          <t>EQUIPO DE 4: cada docente atiende un grupo de estudiantes en su área</t>
        </is>
      </c>
      <c r="P386" t="inlineStr">
        <is>
          <t>ENFASIS-D5-11°</t>
        </is>
      </c>
      <c r="Q386">
        <f>IF(I386="ENFASIS","ÉNFASIS "&amp;M386,IFERROR(VLOOKUP(J386,Grupos!$A$2:$D$100,4,FALSE),J386))</f>
        <v/>
      </c>
      <c r="R386">
        <f>O386&amp;IF(N386&lt;&gt;"",IF(O386&lt;&gt;""," · ","")&amp;"Con: "&amp;N386,"")</f>
        <v/>
      </c>
      <c r="S386">
        <f>C386&amp;"|"&amp;D386</f>
        <v/>
      </c>
      <c r="T386">
        <f>COUNTIF($S$2:S386,S386)</f>
        <v/>
      </c>
      <c r="U386">
        <f>S386&amp;"|"&amp;T386</f>
        <v/>
      </c>
      <c r="V386">
        <f>IFERROR(VLOOKUP(IF(I386="ENFASIS",LEFT(M386,FIND("+",M386&amp;"+")-1),J386),Direccion_Grupo!$A$2:$G$100,7,FALSE),"")</f>
        <v/>
      </c>
    </row>
    <row r="387">
      <c r="A387" t="n">
        <v>31</v>
      </c>
      <c r="B387" t="inlineStr">
        <is>
          <t>Montaño Arizala Leidis Claudina</t>
        </is>
      </c>
      <c r="C387" t="inlineStr">
        <is>
          <t>MARTES</t>
        </is>
      </c>
      <c r="D387" t="n">
        <v>2</v>
      </c>
      <c r="E387" t="n">
        <v>1</v>
      </c>
      <c r="F387" t="n">
        <v>2</v>
      </c>
      <c r="G387" t="inlineStr">
        <is>
          <t>07:15</t>
        </is>
      </c>
      <c r="H387" t="inlineStr">
        <is>
          <t>08:00</t>
        </is>
      </c>
      <c r="I387" t="inlineStr">
        <is>
          <t>ENFASIS</t>
        </is>
      </c>
      <c r="J387" t="inlineStr"/>
      <c r="K387" t="inlineStr">
        <is>
          <t>ETR</t>
        </is>
      </c>
      <c r="L387" t="inlineStr">
        <is>
          <t>D5-11°</t>
        </is>
      </c>
      <c r="M387" t="inlineStr">
        <is>
          <t>1102</t>
        </is>
      </c>
      <c r="N387" t="inlineStr">
        <is>
          <t>Pulgarín Ortiz César Marino (CSI); Villota Rubio Janeth del Carmen (MAT); Angulo Lucero Andrés Mauricio (TEI)</t>
        </is>
      </c>
      <c r="O387" t="inlineStr">
        <is>
          <t>EQUIPO DE 4: cada docente atiende un grupo de estudiantes en su área</t>
        </is>
      </c>
      <c r="P387" t="inlineStr">
        <is>
          <t>ENFASIS-D5-11°</t>
        </is>
      </c>
      <c r="Q387">
        <f>IF(I387="ENFASIS","ÉNFASIS "&amp;M387,IFERROR(VLOOKUP(J387,Grupos!$A$2:$D$100,4,FALSE),J387))</f>
        <v/>
      </c>
      <c r="R387">
        <f>O387&amp;IF(N387&lt;&gt;"",IF(O387&lt;&gt;""," · ","")&amp;"Con: "&amp;N387,"")</f>
        <v/>
      </c>
      <c r="S387">
        <f>C387&amp;"|"&amp;D387</f>
        <v/>
      </c>
      <c r="T387">
        <f>COUNTIF($S$2:S387,S387)</f>
        <v/>
      </c>
      <c r="U387">
        <f>S387&amp;"|"&amp;T387</f>
        <v/>
      </c>
      <c r="V387">
        <f>IFERROR(VLOOKUP(IF(I387="ENFASIS",LEFT(M387,FIND("+",M387&amp;"+")-1),J387),Direccion_Grupo!$A$2:$G$100,7,FALSE),"")</f>
        <v/>
      </c>
    </row>
    <row r="388">
      <c r="A388" t="n">
        <v>40</v>
      </c>
      <c r="B388" t="inlineStr">
        <is>
          <t>Pulgarín Ortiz César Marino</t>
        </is>
      </c>
      <c r="C388" t="inlineStr">
        <is>
          <t>MARTES</t>
        </is>
      </c>
      <c r="D388" t="n">
        <v>2</v>
      </c>
      <c r="E388" t="n">
        <v>1</v>
      </c>
      <c r="F388" t="n">
        <v>2</v>
      </c>
      <c r="G388" t="inlineStr">
        <is>
          <t>07:15</t>
        </is>
      </c>
      <c r="H388" t="inlineStr">
        <is>
          <t>08:00</t>
        </is>
      </c>
      <c r="I388" t="inlineStr">
        <is>
          <t>ENFASIS</t>
        </is>
      </c>
      <c r="J388" t="inlineStr"/>
      <c r="K388" t="inlineStr">
        <is>
          <t>CSI</t>
        </is>
      </c>
      <c r="L388" t="inlineStr">
        <is>
          <t>D5-11°</t>
        </is>
      </c>
      <c r="M388" t="inlineStr">
        <is>
          <t>1102</t>
        </is>
      </c>
      <c r="N388" t="inlineStr">
        <is>
          <t>Montaño Arizala Leidis Claudina (ETR); Villota Rubio Janeth del Carmen (MAT); Angulo Lucero Andrés Mauricio (TEI)</t>
        </is>
      </c>
      <c r="O388" t="inlineStr">
        <is>
          <t>EQUIPO DE 4: cada docente atiende un grupo de estudiantes en su área</t>
        </is>
      </c>
      <c r="P388" t="inlineStr">
        <is>
          <t>ENFASIS-D5-11°</t>
        </is>
      </c>
      <c r="Q388">
        <f>IF(I388="ENFASIS","ÉNFASIS "&amp;M388,IFERROR(VLOOKUP(J388,Grupos!$A$2:$D$100,4,FALSE),J388))</f>
        <v/>
      </c>
      <c r="R388">
        <f>O388&amp;IF(N388&lt;&gt;"",IF(O388&lt;&gt;""," · ","")&amp;"Con: "&amp;N388,"")</f>
        <v/>
      </c>
      <c r="S388">
        <f>C388&amp;"|"&amp;D388</f>
        <v/>
      </c>
      <c r="T388">
        <f>COUNTIF($S$2:S388,S388)</f>
        <v/>
      </c>
      <c r="U388">
        <f>S388&amp;"|"&amp;T388</f>
        <v/>
      </c>
      <c r="V388">
        <f>IFERROR(VLOOKUP(IF(I388="ENFASIS",LEFT(M388,FIND("+",M388&amp;"+")-1),J388),Direccion_Grupo!$A$2:$G$100,7,FALSE),"")</f>
        <v/>
      </c>
    </row>
    <row r="389">
      <c r="A389" t="n">
        <v>54</v>
      </c>
      <c r="B389" t="inlineStr">
        <is>
          <t>Villota Rubio Janeth del Carmen</t>
        </is>
      </c>
      <c r="C389" t="inlineStr">
        <is>
          <t>MARTES</t>
        </is>
      </c>
      <c r="D389" t="n">
        <v>2</v>
      </c>
      <c r="E389" t="n">
        <v>1</v>
      </c>
      <c r="F389" t="n">
        <v>2</v>
      </c>
      <c r="G389" t="inlineStr">
        <is>
          <t>07:15</t>
        </is>
      </c>
      <c r="H389" t="inlineStr">
        <is>
          <t>08:00</t>
        </is>
      </c>
      <c r="I389" t="inlineStr">
        <is>
          <t>ENFASIS</t>
        </is>
      </c>
      <c r="J389" t="inlineStr"/>
      <c r="K389" t="inlineStr">
        <is>
          <t>MAT</t>
        </is>
      </c>
      <c r="L389" t="inlineStr">
        <is>
          <t>D5-11°</t>
        </is>
      </c>
      <c r="M389" t="inlineStr">
        <is>
          <t>1102</t>
        </is>
      </c>
      <c r="N389" t="inlineStr">
        <is>
          <t>Pulgarín Ortiz César Marino (CSI); Montaño Arizala Leidis Claudina (ETR); Angulo Lucero Andrés Mauricio (TEI)</t>
        </is>
      </c>
      <c r="O389" t="inlineStr">
        <is>
          <t>EQUIPO DE 4: cada docente atiende un grupo de estudiantes en su área</t>
        </is>
      </c>
      <c r="P389" t="inlineStr">
        <is>
          <t>ENFASIS-D5-11°</t>
        </is>
      </c>
      <c r="Q389">
        <f>IF(I389="ENFASIS","ÉNFASIS "&amp;M389,IFERROR(VLOOKUP(J389,Grupos!$A$2:$D$100,4,FALSE),J389))</f>
        <v/>
      </c>
      <c r="R389">
        <f>O389&amp;IF(N389&lt;&gt;"",IF(O389&lt;&gt;""," · ","")&amp;"Con: "&amp;N389,"")</f>
        <v/>
      </c>
      <c r="S389">
        <f>C389&amp;"|"&amp;D389</f>
        <v/>
      </c>
      <c r="T389">
        <f>COUNTIF($S$2:S389,S389)</f>
        <v/>
      </c>
      <c r="U389">
        <f>S389&amp;"|"&amp;T389</f>
        <v/>
      </c>
      <c r="V389">
        <f>IFERROR(VLOOKUP(IF(I389="ENFASIS",LEFT(M389,FIND("+",M389&amp;"+")-1),J389),Direccion_Grupo!$A$2:$G$100,7,FALSE),"")</f>
        <v/>
      </c>
    </row>
    <row r="390">
      <c r="A390" t="n">
        <v>20</v>
      </c>
      <c r="B390" t="inlineStr">
        <is>
          <t>García Gobea Saydi Magali</t>
        </is>
      </c>
      <c r="C390" t="inlineStr">
        <is>
          <t>MARTES</t>
        </is>
      </c>
      <c r="D390" t="n">
        <v>2</v>
      </c>
      <c r="E390" t="n">
        <v>1</v>
      </c>
      <c r="F390" t="n">
        <v>2</v>
      </c>
      <c r="G390" t="inlineStr">
        <is>
          <t>07:15</t>
        </is>
      </c>
      <c r="H390" t="inlineStr">
        <is>
          <t>08:00</t>
        </is>
      </c>
      <c r="I390" t="inlineStr">
        <is>
          <t>ENFASIS</t>
        </is>
      </c>
      <c r="J390" t="inlineStr"/>
      <c r="K390" t="inlineStr">
        <is>
          <t>CSI</t>
        </is>
      </c>
      <c r="L390" t="inlineStr">
        <is>
          <t>CS101</t>
        </is>
      </c>
      <c r="M390" t="inlineStr">
        <is>
          <t>CS101</t>
        </is>
      </c>
      <c r="N390" t="inlineStr">
        <is>
          <t>Lozano Torres Amanda Inés (ETR)</t>
        </is>
      </c>
      <c r="O390" t="inlineStr">
        <is>
          <t>PAREJA: comparten el énfasis y alternan por semana</t>
        </is>
      </c>
      <c r="P390" t="inlineStr">
        <is>
          <t>ENFASIS-CS101</t>
        </is>
      </c>
      <c r="Q390">
        <f>IF(I390="ENFASIS","ÉNFASIS "&amp;M390,IFERROR(VLOOKUP(J390,Grupos!$A$2:$D$100,4,FALSE),J390))</f>
        <v/>
      </c>
      <c r="R390">
        <f>O390&amp;IF(N390&lt;&gt;"",IF(O390&lt;&gt;""," · ","")&amp;"Con: "&amp;N390,"")</f>
        <v/>
      </c>
      <c r="S390">
        <f>C390&amp;"|"&amp;D390</f>
        <v/>
      </c>
      <c r="T390">
        <f>COUNTIF($S$2:S390,S390)</f>
        <v/>
      </c>
      <c r="U390">
        <f>S390&amp;"|"&amp;T390</f>
        <v/>
      </c>
      <c r="V390">
        <f>IFERROR(VLOOKUP(IF(I390="ENFASIS",LEFT(M390,FIND("+",M390&amp;"+")-1),J390),Direccion_Grupo!$A$2:$G$100,7,FALSE),"")</f>
        <v/>
      </c>
    </row>
    <row r="391">
      <c r="A391" t="n">
        <v>26</v>
      </c>
      <c r="B391" t="inlineStr">
        <is>
          <t>Lozano Torres Amanda Inés</t>
        </is>
      </c>
      <c r="C391" t="inlineStr">
        <is>
          <t>MARTES</t>
        </is>
      </c>
      <c r="D391" t="n">
        <v>2</v>
      </c>
      <c r="E391" t="n">
        <v>1</v>
      </c>
      <c r="F391" t="n">
        <v>2</v>
      </c>
      <c r="G391" t="inlineStr">
        <is>
          <t>07:15</t>
        </is>
      </c>
      <c r="H391" t="inlineStr">
        <is>
          <t>08:00</t>
        </is>
      </c>
      <c r="I391" t="inlineStr">
        <is>
          <t>ENFASIS</t>
        </is>
      </c>
      <c r="J391" t="inlineStr"/>
      <c r="K391" t="inlineStr">
        <is>
          <t>ETR</t>
        </is>
      </c>
      <c r="L391" t="inlineStr">
        <is>
          <t>CS101</t>
        </is>
      </c>
      <c r="M391" t="inlineStr">
        <is>
          <t>CS101</t>
        </is>
      </c>
      <c r="N391" t="inlineStr">
        <is>
          <t>García Gobea Saydi Magali (CSI)</t>
        </is>
      </c>
      <c r="O391" t="inlineStr">
        <is>
          <t>PAREJA: comparten el énfasis y alternan por semana</t>
        </is>
      </c>
      <c r="P391" t="inlineStr">
        <is>
          <t>ENFASIS-CS101</t>
        </is>
      </c>
      <c r="Q391">
        <f>IF(I391="ENFASIS","ÉNFASIS "&amp;M391,IFERROR(VLOOKUP(J391,Grupos!$A$2:$D$100,4,FALSE),J391))</f>
        <v/>
      </c>
      <c r="R391">
        <f>O391&amp;IF(N391&lt;&gt;"",IF(O391&lt;&gt;""," · ","")&amp;"Con: "&amp;N391,"")</f>
        <v/>
      </c>
      <c r="S391">
        <f>C391&amp;"|"&amp;D391</f>
        <v/>
      </c>
      <c r="T391">
        <f>COUNTIF($S$2:S391,S391)</f>
        <v/>
      </c>
      <c r="U391">
        <f>S391&amp;"|"&amp;T391</f>
        <v/>
      </c>
      <c r="V391">
        <f>IFERROR(VLOOKUP(IF(I391="ENFASIS",LEFT(M391,FIND("+",M391&amp;"+")-1),J391),Direccion_Grupo!$A$2:$G$100,7,FALSE),"")</f>
        <v/>
      </c>
    </row>
    <row r="392">
      <c r="A392" t="n">
        <v>1</v>
      </c>
      <c r="B392" t="inlineStr">
        <is>
          <t>Aguirre Riascos Jorge Andrés</t>
        </is>
      </c>
      <c r="C392" t="inlineStr">
        <is>
          <t>MARTES</t>
        </is>
      </c>
      <c r="D392" t="n">
        <v>2</v>
      </c>
      <c r="E392" t="n">
        <v>1</v>
      </c>
      <c r="F392" t="n">
        <v>2</v>
      </c>
      <c r="G392" t="inlineStr">
        <is>
          <t>07:15</t>
        </is>
      </c>
      <c r="H392" t="inlineStr">
        <is>
          <t>08:00</t>
        </is>
      </c>
      <c r="I392" t="inlineStr">
        <is>
          <t>ENFASIS</t>
        </is>
      </c>
      <c r="J392" t="inlineStr"/>
      <c r="K392" t="inlineStr">
        <is>
          <t>TEI</t>
        </is>
      </c>
      <c r="L392" t="inlineStr">
        <is>
          <t>CS102</t>
        </is>
      </c>
      <c r="M392" t="inlineStr">
        <is>
          <t>CS102</t>
        </is>
      </c>
      <c r="N392" t="inlineStr">
        <is>
          <t>Vásquez Valencia Segundo Leoncio (MAT)</t>
        </is>
      </c>
      <c r="O392" t="inlineStr">
        <is>
          <t>PAREJA: comparten el énfasis y alternan por semana</t>
        </is>
      </c>
      <c r="P392" t="inlineStr">
        <is>
          <t>ENFASIS-CS102</t>
        </is>
      </c>
      <c r="Q392">
        <f>IF(I392="ENFASIS","ÉNFASIS "&amp;M392,IFERROR(VLOOKUP(J392,Grupos!$A$2:$D$100,4,FALSE),J392))</f>
        <v/>
      </c>
      <c r="R392">
        <f>O392&amp;IF(N392&lt;&gt;"",IF(O392&lt;&gt;""," · ","")&amp;"Con: "&amp;N392,"")</f>
        <v/>
      </c>
      <c r="S392">
        <f>C392&amp;"|"&amp;D392</f>
        <v/>
      </c>
      <c r="T392">
        <f>COUNTIF($S$2:S392,S392)</f>
        <v/>
      </c>
      <c r="U392">
        <f>S392&amp;"|"&amp;T392</f>
        <v/>
      </c>
      <c r="V392">
        <f>IFERROR(VLOOKUP(IF(I392="ENFASIS",LEFT(M392,FIND("+",M392&amp;"+")-1),J392),Direccion_Grupo!$A$2:$G$100,7,FALSE),"")</f>
        <v/>
      </c>
    </row>
    <row r="393">
      <c r="A393" t="n">
        <v>52</v>
      </c>
      <c r="B393" t="inlineStr">
        <is>
          <t>Vásquez Valencia Segundo Leoncio</t>
        </is>
      </c>
      <c r="C393" t="inlineStr">
        <is>
          <t>MARTES</t>
        </is>
      </c>
      <c r="D393" t="n">
        <v>2</v>
      </c>
      <c r="E393" t="n">
        <v>1</v>
      </c>
      <c r="F393" t="n">
        <v>2</v>
      </c>
      <c r="G393" t="inlineStr">
        <is>
          <t>07:15</t>
        </is>
      </c>
      <c r="H393" t="inlineStr">
        <is>
          <t>08:00</t>
        </is>
      </c>
      <c r="I393" t="inlineStr">
        <is>
          <t>ENFASIS</t>
        </is>
      </c>
      <c r="J393" t="inlineStr"/>
      <c r="K393" t="inlineStr">
        <is>
          <t>MAT</t>
        </is>
      </c>
      <c r="L393" t="inlineStr">
        <is>
          <t>CS102</t>
        </is>
      </c>
      <c r="M393" t="inlineStr">
        <is>
          <t>CS102</t>
        </is>
      </c>
      <c r="N393" t="inlineStr">
        <is>
          <t>Aguirre Riascos Jorge Andrés (TEI)</t>
        </is>
      </c>
      <c r="O393" t="inlineStr">
        <is>
          <t>PAREJA: comparten el énfasis y alternan por semana</t>
        </is>
      </c>
      <c r="P393" t="inlineStr">
        <is>
          <t>ENFASIS-CS102</t>
        </is>
      </c>
      <c r="Q393">
        <f>IF(I393="ENFASIS","ÉNFASIS "&amp;M393,IFERROR(VLOOKUP(J393,Grupos!$A$2:$D$100,4,FALSE),J393))</f>
        <v/>
      </c>
      <c r="R393">
        <f>O393&amp;IF(N393&lt;&gt;"",IF(O393&lt;&gt;""," · ","")&amp;"Con: "&amp;N393,"")</f>
        <v/>
      </c>
      <c r="S393">
        <f>C393&amp;"|"&amp;D393</f>
        <v/>
      </c>
      <c r="T393">
        <f>COUNTIF($S$2:S393,S393)</f>
        <v/>
      </c>
      <c r="U393">
        <f>S393&amp;"|"&amp;T393</f>
        <v/>
      </c>
      <c r="V393">
        <f>IFERROR(VLOOKUP(IF(I393="ENFASIS",LEFT(M393,FIND("+",M393&amp;"+")-1),J393),Direccion_Grupo!$A$2:$G$100,7,FALSE),"")</f>
        <v/>
      </c>
    </row>
    <row r="394">
      <c r="A394" t="n">
        <v>50</v>
      </c>
      <c r="B394" t="inlineStr">
        <is>
          <t>Valencia Solís Gloria Alexa</t>
        </is>
      </c>
      <c r="C394" t="inlineStr">
        <is>
          <t>MARTES</t>
        </is>
      </c>
      <c r="D394" t="n">
        <v>3</v>
      </c>
      <c r="E394" t="n">
        <v>2</v>
      </c>
      <c r="F394" t="n">
        <v>1</v>
      </c>
      <c r="G394" t="inlineStr">
        <is>
          <t>07:30</t>
        </is>
      </c>
      <c r="H394" t="inlineStr">
        <is>
          <t>08:30</t>
        </is>
      </c>
      <c r="I394" t="inlineStr">
        <is>
          <t>AREAS_MULTIPLES</t>
        </is>
      </c>
      <c r="J394" t="inlineStr">
        <is>
          <t>0001</t>
        </is>
      </c>
      <c r="K394" t="inlineStr">
        <is>
          <t>ÁREAS MÚLTIPLES</t>
        </is>
      </c>
      <c r="L394" t="inlineStr"/>
      <c r="M394" t="inlineStr"/>
      <c r="N394" t="inlineStr"/>
      <c r="O394" t="inlineStr">
        <is>
          <t>Maestro de aula: todas las áreas con su grupo</t>
        </is>
      </c>
      <c r="P394" t="inlineStr"/>
      <c r="Q394">
        <f>IF(I394="ENFASIS","ÉNFASIS "&amp;M394,IFERROR(VLOOKUP(J394,Grupos!$A$2:$D$100,4,FALSE),J394))</f>
        <v/>
      </c>
      <c r="R394">
        <f>O394&amp;IF(N394&lt;&gt;"",IF(O394&lt;&gt;""," · ","")&amp;"Con: "&amp;N394,"")</f>
        <v/>
      </c>
      <c r="S394">
        <f>C394&amp;"|"&amp;D394</f>
        <v/>
      </c>
      <c r="T394">
        <f>COUNTIF($S$2:S394,S394)</f>
        <v/>
      </c>
      <c r="U394">
        <f>S394&amp;"|"&amp;T394</f>
        <v/>
      </c>
      <c r="V394">
        <f>IFERROR(VLOOKUP(IF(I394="ENFASIS",LEFT(M394,FIND("+",M394&amp;"+")-1),J394),Direccion_Grupo!$A$2:$G$100,7,FALSE),"")</f>
        <v/>
      </c>
    </row>
    <row r="395">
      <c r="A395" t="n">
        <v>27</v>
      </c>
      <c r="B395" t="inlineStr">
        <is>
          <t>Martínez Álvarez Andrea Ascención</t>
        </is>
      </c>
      <c r="C395" t="inlineStr">
        <is>
          <t>MARTES</t>
        </is>
      </c>
      <c r="D395" t="n">
        <v>3</v>
      </c>
      <c r="E395" t="n">
        <v>2</v>
      </c>
      <c r="F395" t="n">
        <v>1</v>
      </c>
      <c r="G395" t="inlineStr">
        <is>
          <t>07:30</t>
        </is>
      </c>
      <c r="H395" t="inlineStr">
        <is>
          <t>08:30</t>
        </is>
      </c>
      <c r="I395" t="inlineStr">
        <is>
          <t>AREAS_MULTIPLES</t>
        </is>
      </c>
      <c r="J395" t="inlineStr">
        <is>
          <t>0002</t>
        </is>
      </c>
      <c r="K395" t="inlineStr">
        <is>
          <t>ÁREAS MÚLTIPLES</t>
        </is>
      </c>
      <c r="L395" t="inlineStr"/>
      <c r="M395" t="inlineStr"/>
      <c r="N395" t="inlineStr"/>
      <c r="O395" t="inlineStr">
        <is>
          <t>Maestro de aula: todas las áreas con su grupo</t>
        </is>
      </c>
      <c r="P395" t="inlineStr"/>
      <c r="Q395">
        <f>IF(I395="ENFASIS","ÉNFASIS "&amp;M395,IFERROR(VLOOKUP(J395,Grupos!$A$2:$D$100,4,FALSE),J395))</f>
        <v/>
      </c>
      <c r="R395">
        <f>O395&amp;IF(N395&lt;&gt;"",IF(O395&lt;&gt;""," · ","")&amp;"Con: "&amp;N395,"")</f>
        <v/>
      </c>
      <c r="S395">
        <f>C395&amp;"|"&amp;D395</f>
        <v/>
      </c>
      <c r="T395">
        <f>COUNTIF($S$2:S395,S395)</f>
        <v/>
      </c>
      <c r="U395">
        <f>S395&amp;"|"&amp;T395</f>
        <v/>
      </c>
      <c r="V395">
        <f>IFERROR(VLOOKUP(IF(I395="ENFASIS",LEFT(M395,FIND("+",M395&amp;"+")-1),J395),Direccion_Grupo!$A$2:$G$100,7,FALSE),"")</f>
        <v/>
      </c>
    </row>
    <row r="396">
      <c r="A396" t="n">
        <v>23</v>
      </c>
      <c r="B396" t="inlineStr">
        <is>
          <t>Landázuri Quiñones María Elia</t>
        </is>
      </c>
      <c r="C396" t="inlineStr">
        <is>
          <t>MARTES</t>
        </is>
      </c>
      <c r="D396" t="n">
        <v>3</v>
      </c>
      <c r="E396" t="n">
        <v>2</v>
      </c>
      <c r="F396" t="n">
        <v>1</v>
      </c>
      <c r="G396" t="inlineStr">
        <is>
          <t>08:20</t>
        </is>
      </c>
      <c r="H396" t="inlineStr">
        <is>
          <t>09:05</t>
        </is>
      </c>
      <c r="I396" t="inlineStr">
        <is>
          <t>AREAS_MULTIPLES</t>
        </is>
      </c>
      <c r="J396" t="inlineStr">
        <is>
          <t>0101</t>
        </is>
      </c>
      <c r="K396" t="inlineStr">
        <is>
          <t>ÁREAS MÚLTIPLES</t>
        </is>
      </c>
      <c r="L396" t="inlineStr"/>
      <c r="M396" t="inlineStr"/>
      <c r="N396" t="inlineStr"/>
      <c r="O396" t="inlineStr">
        <is>
          <t>Maestro de aula: todas las áreas con su grupo</t>
        </is>
      </c>
      <c r="P396" t="inlineStr"/>
      <c r="Q396">
        <f>IF(I396="ENFASIS","ÉNFASIS "&amp;M396,IFERROR(VLOOKUP(J396,Grupos!$A$2:$D$100,4,FALSE),J396))</f>
        <v/>
      </c>
      <c r="R396">
        <f>O396&amp;IF(N396&lt;&gt;"",IF(O396&lt;&gt;""," · ","")&amp;"Con: "&amp;N396,"")</f>
        <v/>
      </c>
      <c r="S396">
        <f>C396&amp;"|"&amp;D396</f>
        <v/>
      </c>
      <c r="T396">
        <f>COUNTIF($S$2:S396,S396)</f>
        <v/>
      </c>
      <c r="U396">
        <f>S396&amp;"|"&amp;T396</f>
        <v/>
      </c>
      <c r="V396">
        <f>IFERROR(VLOOKUP(IF(I396="ENFASIS",LEFT(M396,FIND("+",M396&amp;"+")-1),J396),Direccion_Grupo!$A$2:$G$100,7,FALSE),"")</f>
        <v/>
      </c>
    </row>
    <row r="397">
      <c r="A397" t="n">
        <v>45</v>
      </c>
      <c r="B397" t="inlineStr">
        <is>
          <t>Sinisterra Ana Lucía</t>
        </is>
      </c>
      <c r="C397" t="inlineStr">
        <is>
          <t>MARTES</t>
        </is>
      </c>
      <c r="D397" t="n">
        <v>3</v>
      </c>
      <c r="E397" t="n">
        <v>2</v>
      </c>
      <c r="F397" t="n">
        <v>1</v>
      </c>
      <c r="G397" t="inlineStr">
        <is>
          <t>08:20</t>
        </is>
      </c>
      <c r="H397" t="inlineStr">
        <is>
          <t>09:05</t>
        </is>
      </c>
      <c r="I397" t="inlineStr">
        <is>
          <t>AREAS_MULTIPLES</t>
        </is>
      </c>
      <c r="J397" t="inlineStr">
        <is>
          <t>0102</t>
        </is>
      </c>
      <c r="K397" t="inlineStr">
        <is>
          <t>ÁREAS MÚLTIPLES</t>
        </is>
      </c>
      <c r="L397" t="inlineStr"/>
      <c r="M397" t="inlineStr"/>
      <c r="N397" t="inlineStr"/>
      <c r="O397" t="inlineStr">
        <is>
          <t>Maestro de aula: todas las áreas con su grupo</t>
        </is>
      </c>
      <c r="P397" t="inlineStr"/>
      <c r="Q397">
        <f>IF(I397="ENFASIS","ÉNFASIS "&amp;M397,IFERROR(VLOOKUP(J397,Grupos!$A$2:$D$100,4,FALSE),J397))</f>
        <v/>
      </c>
      <c r="R397">
        <f>O397&amp;IF(N397&lt;&gt;"",IF(O397&lt;&gt;""," · ","")&amp;"Con: "&amp;N397,"")</f>
        <v/>
      </c>
      <c r="S397">
        <f>C397&amp;"|"&amp;D397</f>
        <v/>
      </c>
      <c r="T397">
        <f>COUNTIF($S$2:S397,S397)</f>
        <v/>
      </c>
      <c r="U397">
        <f>S397&amp;"|"&amp;T397</f>
        <v/>
      </c>
      <c r="V397">
        <f>IFERROR(VLOOKUP(IF(I397="ENFASIS",LEFT(M397,FIND("+",M397&amp;"+")-1),J397),Direccion_Grupo!$A$2:$G$100,7,FALSE),"")</f>
        <v/>
      </c>
    </row>
    <row r="398">
      <c r="A398" t="n">
        <v>13</v>
      </c>
      <c r="B398" t="inlineStr">
        <is>
          <t>Cortés Salazar María Ebelice</t>
        </is>
      </c>
      <c r="C398" t="inlineStr">
        <is>
          <t>MARTES</t>
        </is>
      </c>
      <c r="D398" t="n">
        <v>3</v>
      </c>
      <c r="E398" t="n">
        <v>2</v>
      </c>
      <c r="F398" t="n">
        <v>1</v>
      </c>
      <c r="G398" t="inlineStr">
        <is>
          <t>08:20</t>
        </is>
      </c>
      <c r="H398" t="inlineStr">
        <is>
          <t>09:05</t>
        </is>
      </c>
      <c r="I398" t="inlineStr">
        <is>
          <t>AREAS_MULTIPLES</t>
        </is>
      </c>
      <c r="J398" t="inlineStr">
        <is>
          <t>0201</t>
        </is>
      </c>
      <c r="K398" t="inlineStr">
        <is>
          <t>ÁREAS MÚLTIPLES</t>
        </is>
      </c>
      <c r="L398" t="inlineStr"/>
      <c r="M398" t="inlineStr"/>
      <c r="N398" t="inlineStr"/>
      <c r="O398" t="inlineStr">
        <is>
          <t>Maestro de aula: todas las áreas con su grupo</t>
        </is>
      </c>
      <c r="P398" t="inlineStr"/>
      <c r="Q398">
        <f>IF(I398="ENFASIS","ÉNFASIS "&amp;M398,IFERROR(VLOOKUP(J398,Grupos!$A$2:$D$100,4,FALSE),J398))</f>
        <v/>
      </c>
      <c r="R398">
        <f>O398&amp;IF(N398&lt;&gt;"",IF(O398&lt;&gt;""," · ","")&amp;"Con: "&amp;N398,"")</f>
        <v/>
      </c>
      <c r="S398">
        <f>C398&amp;"|"&amp;D398</f>
        <v/>
      </c>
      <c r="T398">
        <f>COUNTIF($S$2:S398,S398)</f>
        <v/>
      </c>
      <c r="U398">
        <f>S398&amp;"|"&amp;T398</f>
        <v/>
      </c>
      <c r="V398">
        <f>IFERROR(VLOOKUP(IF(I398="ENFASIS",LEFT(M398,FIND("+",M398&amp;"+")-1),J398),Direccion_Grupo!$A$2:$G$100,7,FALSE),"")</f>
        <v/>
      </c>
    </row>
    <row r="399">
      <c r="A399" t="n">
        <v>21</v>
      </c>
      <c r="B399" t="inlineStr">
        <is>
          <t>Garzón Quiñones Sixta Janina</t>
        </is>
      </c>
      <c r="C399" t="inlineStr">
        <is>
          <t>MARTES</t>
        </is>
      </c>
      <c r="D399" t="n">
        <v>3</v>
      </c>
      <c r="E399" t="n">
        <v>2</v>
      </c>
      <c r="F399" t="n">
        <v>1</v>
      </c>
      <c r="G399" t="inlineStr">
        <is>
          <t>08:20</t>
        </is>
      </c>
      <c r="H399" t="inlineStr">
        <is>
          <t>09:05</t>
        </is>
      </c>
      <c r="I399" t="inlineStr">
        <is>
          <t>AREAS_MULTIPLES</t>
        </is>
      </c>
      <c r="J399" t="inlineStr">
        <is>
          <t>0202</t>
        </is>
      </c>
      <c r="K399" t="inlineStr">
        <is>
          <t>ÁREAS MÚLTIPLES</t>
        </is>
      </c>
      <c r="L399" t="inlineStr"/>
      <c r="M399" t="inlineStr"/>
      <c r="N399" t="inlineStr"/>
      <c r="O399" t="inlineStr">
        <is>
          <t>Maestro de aula: todas las áreas con su grupo</t>
        </is>
      </c>
      <c r="P399" t="inlineStr"/>
      <c r="Q399">
        <f>IF(I399="ENFASIS","ÉNFASIS "&amp;M399,IFERROR(VLOOKUP(J399,Grupos!$A$2:$D$100,4,FALSE),J399))</f>
        <v/>
      </c>
      <c r="R399">
        <f>O399&amp;IF(N399&lt;&gt;"",IF(O399&lt;&gt;""," · ","")&amp;"Con: "&amp;N399,"")</f>
        <v/>
      </c>
      <c r="S399">
        <f>C399&amp;"|"&amp;D399</f>
        <v/>
      </c>
      <c r="T399">
        <f>COUNTIF($S$2:S399,S399)</f>
        <v/>
      </c>
      <c r="U399">
        <f>S399&amp;"|"&amp;T399</f>
        <v/>
      </c>
      <c r="V399">
        <f>IFERROR(VLOOKUP(IF(I399="ENFASIS",LEFT(M399,FIND("+",M399&amp;"+")-1),J399),Direccion_Grupo!$A$2:$G$100,7,FALSE),"")</f>
        <v/>
      </c>
    </row>
    <row r="400">
      <c r="A400" t="n">
        <v>46</v>
      </c>
      <c r="B400" t="inlineStr">
        <is>
          <t>Tenorio Cuero Lucy Bivian</t>
        </is>
      </c>
      <c r="C400" t="inlineStr">
        <is>
          <t>MARTES</t>
        </is>
      </c>
      <c r="D400" t="n">
        <v>3</v>
      </c>
      <c r="E400" t="n">
        <v>2</v>
      </c>
      <c r="F400" t="n">
        <v>1</v>
      </c>
      <c r="G400" t="inlineStr">
        <is>
          <t>08:20</t>
        </is>
      </c>
      <c r="H400" t="inlineStr">
        <is>
          <t>09:05</t>
        </is>
      </c>
      <c r="I400" t="inlineStr">
        <is>
          <t>AREAS_MULTIPLES</t>
        </is>
      </c>
      <c r="J400" t="inlineStr">
        <is>
          <t>0203</t>
        </is>
      </c>
      <c r="K400" t="inlineStr">
        <is>
          <t>ÁREAS MÚLTIPLES</t>
        </is>
      </c>
      <c r="L400" t="inlineStr"/>
      <c r="M400" t="inlineStr"/>
      <c r="N400" t="inlineStr"/>
      <c r="O400" t="inlineStr">
        <is>
          <t>Maestro de aula: todas las áreas con su grupo</t>
        </is>
      </c>
      <c r="P400" t="inlineStr"/>
      <c r="Q400">
        <f>IF(I400="ENFASIS","ÉNFASIS "&amp;M400,IFERROR(VLOOKUP(J400,Grupos!$A$2:$D$100,4,FALSE),J400))</f>
        <v/>
      </c>
      <c r="R400">
        <f>O400&amp;IF(N400&lt;&gt;"",IF(O400&lt;&gt;""," · ","")&amp;"Con: "&amp;N400,"")</f>
        <v/>
      </c>
      <c r="S400">
        <f>C400&amp;"|"&amp;D400</f>
        <v/>
      </c>
      <c r="T400">
        <f>COUNTIF($S$2:S400,S400)</f>
        <v/>
      </c>
      <c r="U400">
        <f>S400&amp;"|"&amp;T400</f>
        <v/>
      </c>
      <c r="V400">
        <f>IFERROR(VLOOKUP(IF(I400="ENFASIS",LEFT(M400,FIND("+",M400&amp;"+")-1),J400),Direccion_Grupo!$A$2:$G$100,7,FALSE),"")</f>
        <v/>
      </c>
    </row>
    <row r="401">
      <c r="A401" t="n">
        <v>48</v>
      </c>
      <c r="B401" t="inlineStr">
        <is>
          <t>Torres Segura Encarnación</t>
        </is>
      </c>
      <c r="C401" t="inlineStr">
        <is>
          <t>MARTES</t>
        </is>
      </c>
      <c r="D401" t="n">
        <v>3</v>
      </c>
      <c r="E401" t="n">
        <v>2</v>
      </c>
      <c r="F401" t="n">
        <v>1</v>
      </c>
      <c r="G401" t="inlineStr">
        <is>
          <t>08:20</t>
        </is>
      </c>
      <c r="H401" t="inlineStr">
        <is>
          <t>09:05</t>
        </is>
      </c>
      <c r="I401" t="inlineStr">
        <is>
          <t>AREAS_MULTIPLES</t>
        </is>
      </c>
      <c r="J401" t="inlineStr">
        <is>
          <t>0301</t>
        </is>
      </c>
      <c r="K401" t="inlineStr">
        <is>
          <t>ÁREAS MÚLTIPLES</t>
        </is>
      </c>
      <c r="L401" t="inlineStr"/>
      <c r="M401" t="inlineStr"/>
      <c r="N401" t="inlineStr"/>
      <c r="O401" t="inlineStr">
        <is>
          <t>Maestro de aula: todas las áreas con su grupo</t>
        </is>
      </c>
      <c r="P401" t="inlineStr"/>
      <c r="Q401">
        <f>IF(I401="ENFASIS","ÉNFASIS "&amp;M401,IFERROR(VLOOKUP(J401,Grupos!$A$2:$D$100,4,FALSE),J401))</f>
        <v/>
      </c>
      <c r="R401">
        <f>O401&amp;IF(N401&lt;&gt;"",IF(O401&lt;&gt;""," · ","")&amp;"Con: "&amp;N401,"")</f>
        <v/>
      </c>
      <c r="S401">
        <f>C401&amp;"|"&amp;D401</f>
        <v/>
      </c>
      <c r="T401">
        <f>COUNTIF($S$2:S401,S401)</f>
        <v/>
      </c>
      <c r="U401">
        <f>S401&amp;"|"&amp;T401</f>
        <v/>
      </c>
      <c r="V401">
        <f>IFERROR(VLOOKUP(IF(I401="ENFASIS",LEFT(M401,FIND("+",M401&amp;"+")-1),J401),Direccion_Grupo!$A$2:$G$100,7,FALSE),"")</f>
        <v/>
      </c>
    </row>
    <row r="402">
      <c r="A402" t="n">
        <v>24</v>
      </c>
      <c r="B402" t="inlineStr">
        <is>
          <t>Landázuri Gallón Teresa</t>
        </is>
      </c>
      <c r="C402" t="inlineStr">
        <is>
          <t>MARTES</t>
        </is>
      </c>
      <c r="D402" t="n">
        <v>3</v>
      </c>
      <c r="E402" t="n">
        <v>2</v>
      </c>
      <c r="F402" t="n">
        <v>1</v>
      </c>
      <c r="G402" t="inlineStr">
        <is>
          <t>08:20</t>
        </is>
      </c>
      <c r="H402" t="inlineStr">
        <is>
          <t>09:05</t>
        </is>
      </c>
      <c r="I402" t="inlineStr">
        <is>
          <t>AREAS_MULTIPLES</t>
        </is>
      </c>
      <c r="J402" t="inlineStr">
        <is>
          <t>0302</t>
        </is>
      </c>
      <c r="K402" t="inlineStr">
        <is>
          <t>ÁREAS MÚLTIPLES</t>
        </is>
      </c>
      <c r="L402" t="inlineStr"/>
      <c r="M402" t="inlineStr"/>
      <c r="N402" t="inlineStr"/>
      <c r="O402" t="inlineStr">
        <is>
          <t>Maestro de aula: todas las áreas con su grupo</t>
        </is>
      </c>
      <c r="P402" t="inlineStr"/>
      <c r="Q402">
        <f>IF(I402="ENFASIS","ÉNFASIS "&amp;M402,IFERROR(VLOOKUP(J402,Grupos!$A$2:$D$100,4,FALSE),J402))</f>
        <v/>
      </c>
      <c r="R402">
        <f>O402&amp;IF(N402&lt;&gt;"",IF(O402&lt;&gt;""," · ","")&amp;"Con: "&amp;N402,"")</f>
        <v/>
      </c>
      <c r="S402">
        <f>C402&amp;"|"&amp;D402</f>
        <v/>
      </c>
      <c r="T402">
        <f>COUNTIF($S$2:S402,S402)</f>
        <v/>
      </c>
      <c r="U402">
        <f>S402&amp;"|"&amp;T402</f>
        <v/>
      </c>
      <c r="V402">
        <f>IFERROR(VLOOKUP(IF(I402="ENFASIS",LEFT(M402,FIND("+",M402&amp;"+")-1),J402),Direccion_Grupo!$A$2:$G$100,7,FALSE),"")</f>
        <v/>
      </c>
    </row>
    <row r="403">
      <c r="A403" t="n">
        <v>55</v>
      </c>
      <c r="B403" t="inlineStr">
        <is>
          <t>Zamora Ordóñez Celia Pastora</t>
        </is>
      </c>
      <c r="C403" t="inlineStr">
        <is>
          <t>MARTES</t>
        </is>
      </c>
      <c r="D403" t="n">
        <v>3</v>
      </c>
      <c r="E403" t="n">
        <v>2</v>
      </c>
      <c r="F403" t="n">
        <v>1</v>
      </c>
      <c r="G403" t="inlineStr">
        <is>
          <t>08:20</t>
        </is>
      </c>
      <c r="H403" t="inlineStr">
        <is>
          <t>09:05</t>
        </is>
      </c>
      <c r="I403" t="inlineStr">
        <is>
          <t>AREAS_MULTIPLES</t>
        </is>
      </c>
      <c r="J403" t="inlineStr">
        <is>
          <t>0401</t>
        </is>
      </c>
      <c r="K403" t="inlineStr">
        <is>
          <t>ÁREAS MÚLTIPLES</t>
        </is>
      </c>
      <c r="L403" t="inlineStr"/>
      <c r="M403" t="inlineStr"/>
      <c r="N403" t="inlineStr"/>
      <c r="O403" t="inlineStr">
        <is>
          <t>Maestro de aula: todas las áreas con su grupo</t>
        </is>
      </c>
      <c r="P403" t="inlineStr"/>
      <c r="Q403">
        <f>IF(I403="ENFASIS","ÉNFASIS "&amp;M403,IFERROR(VLOOKUP(J403,Grupos!$A$2:$D$100,4,FALSE),J403))</f>
        <v/>
      </c>
      <c r="R403">
        <f>O403&amp;IF(N403&lt;&gt;"",IF(O403&lt;&gt;""," · ","")&amp;"Con: "&amp;N403,"")</f>
        <v/>
      </c>
      <c r="S403">
        <f>C403&amp;"|"&amp;D403</f>
        <v/>
      </c>
      <c r="T403">
        <f>COUNTIF($S$2:S403,S403)</f>
        <v/>
      </c>
      <c r="U403">
        <f>S403&amp;"|"&amp;T403</f>
        <v/>
      </c>
      <c r="V403">
        <f>IFERROR(VLOOKUP(IF(I403="ENFASIS",LEFT(M403,FIND("+",M403&amp;"+")-1),J403),Direccion_Grupo!$A$2:$G$100,7,FALSE),"")</f>
        <v/>
      </c>
    </row>
    <row r="404">
      <c r="A404" t="n">
        <v>33</v>
      </c>
      <c r="B404" t="inlineStr">
        <is>
          <t>Núñez Perlaza Elcy</t>
        </is>
      </c>
      <c r="C404" t="inlineStr">
        <is>
          <t>MARTES</t>
        </is>
      </c>
      <c r="D404" t="n">
        <v>3</v>
      </c>
      <c r="E404" t="n">
        <v>2</v>
      </c>
      <c r="F404" t="n">
        <v>1</v>
      </c>
      <c r="G404" t="inlineStr">
        <is>
          <t>08:20</t>
        </is>
      </c>
      <c r="H404" t="inlineStr">
        <is>
          <t>09:05</t>
        </is>
      </c>
      <c r="I404" t="inlineStr">
        <is>
          <t>AREAS_MULTIPLES</t>
        </is>
      </c>
      <c r="J404" t="inlineStr">
        <is>
          <t>0402</t>
        </is>
      </c>
      <c r="K404" t="inlineStr">
        <is>
          <t>ÁREAS MÚLTIPLES</t>
        </is>
      </c>
      <c r="L404" t="inlineStr"/>
      <c r="M404" t="inlineStr"/>
      <c r="N404" t="inlineStr"/>
      <c r="O404" t="inlineStr">
        <is>
          <t>Maestro de aula: todas las áreas con su grupo</t>
        </is>
      </c>
      <c r="P404" t="inlineStr"/>
      <c r="Q404">
        <f>IF(I404="ENFASIS","ÉNFASIS "&amp;M404,IFERROR(VLOOKUP(J404,Grupos!$A$2:$D$100,4,FALSE),J404))</f>
        <v/>
      </c>
      <c r="R404">
        <f>O404&amp;IF(N404&lt;&gt;"",IF(O404&lt;&gt;""," · ","")&amp;"Con: "&amp;N404,"")</f>
        <v/>
      </c>
      <c r="S404">
        <f>C404&amp;"|"&amp;D404</f>
        <v/>
      </c>
      <c r="T404">
        <f>COUNTIF($S$2:S404,S404)</f>
        <v/>
      </c>
      <c r="U404">
        <f>S404&amp;"|"&amp;T404</f>
        <v/>
      </c>
      <c r="V404">
        <f>IFERROR(VLOOKUP(IF(I404="ENFASIS",LEFT(M404,FIND("+",M404&amp;"+")-1),J404),Direccion_Grupo!$A$2:$G$100,7,FALSE),"")</f>
        <v/>
      </c>
    </row>
    <row r="405">
      <c r="A405" t="n">
        <v>14</v>
      </c>
      <c r="B405" t="inlineStr">
        <is>
          <t>Cuéllar Gallo Nemesia</t>
        </is>
      </c>
      <c r="C405" t="inlineStr">
        <is>
          <t>MARTES</t>
        </is>
      </c>
      <c r="D405" t="n">
        <v>3</v>
      </c>
      <c r="E405" t="n">
        <v>2</v>
      </c>
      <c r="F405" t="n">
        <v>1</v>
      </c>
      <c r="G405" t="inlineStr">
        <is>
          <t>08:20</t>
        </is>
      </c>
      <c r="H405" t="inlineStr">
        <is>
          <t>09:05</t>
        </is>
      </c>
      <c r="I405" t="inlineStr">
        <is>
          <t>AREAS_MULTIPLES</t>
        </is>
      </c>
      <c r="J405" t="inlineStr">
        <is>
          <t>0501</t>
        </is>
      </c>
      <c r="K405" t="inlineStr">
        <is>
          <t>ÁREAS MÚLTIPLES</t>
        </is>
      </c>
      <c r="L405" t="inlineStr"/>
      <c r="M405" t="inlineStr"/>
      <c r="N405" t="inlineStr"/>
      <c r="O405" t="inlineStr">
        <is>
          <t>Maestro de aula: todas las áreas con su grupo</t>
        </is>
      </c>
      <c r="P405" t="inlineStr"/>
      <c r="Q405">
        <f>IF(I405="ENFASIS","ÉNFASIS "&amp;M405,IFERROR(VLOOKUP(J405,Grupos!$A$2:$D$100,4,FALSE),J405))</f>
        <v/>
      </c>
      <c r="R405">
        <f>O405&amp;IF(N405&lt;&gt;"",IF(O405&lt;&gt;""," · ","")&amp;"Con: "&amp;N405,"")</f>
        <v/>
      </c>
      <c r="S405">
        <f>C405&amp;"|"&amp;D405</f>
        <v/>
      </c>
      <c r="T405">
        <f>COUNTIF($S$2:S405,S405)</f>
        <v/>
      </c>
      <c r="U405">
        <f>S405&amp;"|"&amp;T405</f>
        <v/>
      </c>
      <c r="V405">
        <f>IFERROR(VLOOKUP(IF(I405="ENFASIS",LEFT(M405,FIND("+",M405&amp;"+")-1),J405),Direccion_Grupo!$A$2:$G$100,7,FALSE),"")</f>
        <v/>
      </c>
    </row>
    <row r="406">
      <c r="A406" t="n">
        <v>11</v>
      </c>
      <c r="B406" t="inlineStr">
        <is>
          <t>Centeno Zúñiga Claudia Patricia</t>
        </is>
      </c>
      <c r="C406" t="inlineStr">
        <is>
          <t>MARTES</t>
        </is>
      </c>
      <c r="D406" t="n">
        <v>3</v>
      </c>
      <c r="E406" t="n">
        <v>2</v>
      </c>
      <c r="F406" t="n">
        <v>1</v>
      </c>
      <c r="G406" t="inlineStr">
        <is>
          <t>08:20</t>
        </is>
      </c>
      <c r="H406" t="inlineStr">
        <is>
          <t>09:05</t>
        </is>
      </c>
      <c r="I406" t="inlineStr">
        <is>
          <t>AREAS_MULTIPLES</t>
        </is>
      </c>
      <c r="J406" t="inlineStr">
        <is>
          <t>0502</t>
        </is>
      </c>
      <c r="K406" t="inlineStr">
        <is>
          <t>ÁREAS MÚLTIPLES</t>
        </is>
      </c>
      <c r="L406" t="inlineStr"/>
      <c r="M406" t="inlineStr"/>
      <c r="N406" t="inlineStr"/>
      <c r="O406" t="inlineStr">
        <is>
          <t>Maestro de aula: todas las áreas con su grupo</t>
        </is>
      </c>
      <c r="P406" t="inlineStr"/>
      <c r="Q406">
        <f>IF(I406="ENFASIS","ÉNFASIS "&amp;M406,IFERROR(VLOOKUP(J406,Grupos!$A$2:$D$100,4,FALSE),J406))</f>
        <v/>
      </c>
      <c r="R406">
        <f>O406&amp;IF(N406&lt;&gt;"",IF(O406&lt;&gt;""," · ","")&amp;"Con: "&amp;N406,"")</f>
        <v/>
      </c>
      <c r="S406">
        <f>C406&amp;"|"&amp;D406</f>
        <v/>
      </c>
      <c r="T406">
        <f>COUNTIF($S$2:S406,S406)</f>
        <v/>
      </c>
      <c r="U406">
        <f>S406&amp;"|"&amp;T406</f>
        <v/>
      </c>
      <c r="V406">
        <f>IFERROR(VLOOKUP(IF(I406="ENFASIS",LEFT(M406,FIND("+",M406&amp;"+")-1),J406),Direccion_Grupo!$A$2:$G$100,7,FALSE),"")</f>
        <v/>
      </c>
    </row>
    <row r="407">
      <c r="A407" t="n">
        <v>32</v>
      </c>
      <c r="B407" t="inlineStr">
        <is>
          <t>Narváez Sánchez Dora Alejandra</t>
        </is>
      </c>
      <c r="C407" t="inlineStr">
        <is>
          <t>MARTES</t>
        </is>
      </c>
      <c r="D407" t="n">
        <v>3</v>
      </c>
      <c r="E407" t="n">
        <v>2</v>
      </c>
      <c r="F407" t="n">
        <v>1</v>
      </c>
      <c r="G407" t="inlineStr">
        <is>
          <t>08:20</t>
        </is>
      </c>
      <c r="H407" t="inlineStr">
        <is>
          <t>09:05</t>
        </is>
      </c>
      <c r="I407" t="inlineStr">
        <is>
          <t>AREAS_MULTIPLES</t>
        </is>
      </c>
      <c r="J407" t="inlineStr">
        <is>
          <t>0503</t>
        </is>
      </c>
      <c r="K407" t="inlineStr">
        <is>
          <t>ÁREAS MÚLTIPLES</t>
        </is>
      </c>
      <c r="L407" t="inlineStr"/>
      <c r="M407" t="inlineStr"/>
      <c r="N407" t="inlineStr"/>
      <c r="O407" t="inlineStr">
        <is>
          <t>Maestro de aula: todas las áreas con su grupo</t>
        </is>
      </c>
      <c r="P407" t="inlineStr"/>
      <c r="Q407">
        <f>IF(I407="ENFASIS","ÉNFASIS "&amp;M407,IFERROR(VLOOKUP(J407,Grupos!$A$2:$D$100,4,FALSE),J407))</f>
        <v/>
      </c>
      <c r="R407">
        <f>O407&amp;IF(N407&lt;&gt;"",IF(O407&lt;&gt;""," · ","")&amp;"Con: "&amp;N407,"")</f>
        <v/>
      </c>
      <c r="S407">
        <f>C407&amp;"|"&amp;D407</f>
        <v/>
      </c>
      <c r="T407">
        <f>COUNTIF($S$2:S407,S407)</f>
        <v/>
      </c>
      <c r="U407">
        <f>S407&amp;"|"&amp;T407</f>
        <v/>
      </c>
      <c r="V407">
        <f>IFERROR(VLOOKUP(IF(I407="ENFASIS",LEFT(M407,FIND("+",M407&amp;"+")-1),J407),Direccion_Grupo!$A$2:$G$100,7,FALSE),"")</f>
        <v/>
      </c>
    </row>
    <row r="408">
      <c r="A408" t="n">
        <v>17</v>
      </c>
      <c r="B408" t="inlineStr">
        <is>
          <t>Escobar Cortés Liliana</t>
        </is>
      </c>
      <c r="C408" t="inlineStr">
        <is>
          <t>MARTES</t>
        </is>
      </c>
      <c r="D408" t="n">
        <v>3</v>
      </c>
      <c r="E408" t="n">
        <v>2</v>
      </c>
      <c r="F408" t="n">
        <v>1</v>
      </c>
      <c r="G408" t="inlineStr">
        <is>
          <t>08:20</t>
        </is>
      </c>
      <c r="H408" t="inlineStr">
        <is>
          <t>09:05</t>
        </is>
      </c>
      <c r="I408" t="inlineStr">
        <is>
          <t>AREAS_MULTIPLES</t>
        </is>
      </c>
      <c r="J408" t="inlineStr">
        <is>
          <t>0504</t>
        </is>
      </c>
      <c r="K408" t="inlineStr">
        <is>
          <t>ÁREAS MÚLTIPLES</t>
        </is>
      </c>
      <c r="L408" t="inlineStr"/>
      <c r="M408" t="inlineStr"/>
      <c r="N408" t="inlineStr"/>
      <c r="O408" t="inlineStr">
        <is>
          <t>Maestro de aula: todas las áreas con su grupo</t>
        </is>
      </c>
      <c r="P408" t="inlineStr"/>
      <c r="Q408">
        <f>IF(I408="ENFASIS","ÉNFASIS "&amp;M408,IFERROR(VLOOKUP(J408,Grupos!$A$2:$D$100,4,FALSE),J408))</f>
        <v/>
      </c>
      <c r="R408">
        <f>O408&amp;IF(N408&lt;&gt;"",IF(O408&lt;&gt;""," · ","")&amp;"Con: "&amp;N408,"")</f>
        <v/>
      </c>
      <c r="S408">
        <f>C408&amp;"|"&amp;D408</f>
        <v/>
      </c>
      <c r="T408">
        <f>COUNTIF($S$2:S408,S408)</f>
        <v/>
      </c>
      <c r="U408">
        <f>S408&amp;"|"&amp;T408</f>
        <v/>
      </c>
      <c r="V408">
        <f>IFERROR(VLOOKUP(IF(I408="ENFASIS",LEFT(M408,FIND("+",M408&amp;"+")-1),J408),Direccion_Grupo!$A$2:$G$100,7,FALSE),"")</f>
        <v/>
      </c>
    </row>
    <row r="409">
      <c r="A409" t="n">
        <v>37</v>
      </c>
      <c r="B409" t="inlineStr">
        <is>
          <t>Prado Quiñones Genís Maribel</t>
        </is>
      </c>
      <c r="C409" t="inlineStr">
        <is>
          <t>MARTES</t>
        </is>
      </c>
      <c r="D409" t="n">
        <v>3</v>
      </c>
      <c r="E409" t="n">
        <v>2</v>
      </c>
      <c r="F409" t="n">
        <v>1</v>
      </c>
      <c r="G409" t="inlineStr">
        <is>
          <t>08:20</t>
        </is>
      </c>
      <c r="H409" t="inlineStr">
        <is>
          <t>09:05</t>
        </is>
      </c>
      <c r="I409" t="inlineStr">
        <is>
          <t>CLASE</t>
        </is>
      </c>
      <c r="J409" t="inlineStr">
        <is>
          <t>0601</t>
        </is>
      </c>
      <c r="K409" t="inlineStr">
        <is>
          <t>CNA</t>
        </is>
      </c>
      <c r="L409" t="inlineStr"/>
      <c r="M409" t="inlineStr"/>
      <c r="N409" t="inlineStr"/>
      <c r="O409" t="inlineStr"/>
      <c r="P409" t="inlineStr">
        <is>
          <t>0601-CNA</t>
        </is>
      </c>
      <c r="Q409">
        <f>IF(I409="ENFASIS","ÉNFASIS "&amp;M409,IFERROR(VLOOKUP(J409,Grupos!$A$2:$D$100,4,FALSE),J409))</f>
        <v/>
      </c>
      <c r="R409">
        <f>O409&amp;IF(N409&lt;&gt;"",IF(O409&lt;&gt;""," · ","")&amp;"Con: "&amp;N409,"")</f>
        <v/>
      </c>
      <c r="S409">
        <f>C409&amp;"|"&amp;D409</f>
        <v/>
      </c>
      <c r="T409">
        <f>COUNTIF($S$2:S409,S409)</f>
        <v/>
      </c>
      <c r="U409">
        <f>S409&amp;"|"&amp;T409</f>
        <v/>
      </c>
      <c r="V409">
        <f>IFERROR(VLOOKUP(IF(I409="ENFASIS",LEFT(M409,FIND("+",M409&amp;"+")-1),J409),Direccion_Grupo!$A$2:$G$100,7,FALSE),"")</f>
        <v/>
      </c>
    </row>
    <row r="410">
      <c r="A410" t="n">
        <v>16</v>
      </c>
      <c r="B410" t="inlineStr">
        <is>
          <t>Cuero Rincón Hernando Jesús</t>
        </is>
      </c>
      <c r="C410" t="inlineStr">
        <is>
          <t>MARTES</t>
        </is>
      </c>
      <c r="D410" t="n">
        <v>3</v>
      </c>
      <c r="E410" t="n">
        <v>2</v>
      </c>
      <c r="F410" t="n">
        <v>1</v>
      </c>
      <c r="G410" t="inlineStr">
        <is>
          <t>08:20</t>
        </is>
      </c>
      <c r="H410" t="inlineStr">
        <is>
          <t>09:05</t>
        </is>
      </c>
      <c r="I410" t="inlineStr">
        <is>
          <t>CLASE</t>
        </is>
      </c>
      <c r="J410" t="inlineStr">
        <is>
          <t>0602</t>
        </is>
      </c>
      <c r="K410" t="inlineStr">
        <is>
          <t>CAS</t>
        </is>
      </c>
      <c r="L410" t="inlineStr"/>
      <c r="M410" t="inlineStr"/>
      <c r="N410" t="inlineStr"/>
      <c r="O410" t="inlineStr"/>
      <c r="P410" t="inlineStr">
        <is>
          <t>0602-CAS</t>
        </is>
      </c>
      <c r="Q410">
        <f>IF(I410="ENFASIS","ÉNFASIS "&amp;M410,IFERROR(VLOOKUP(J410,Grupos!$A$2:$D$100,4,FALSE),J410))</f>
        <v/>
      </c>
      <c r="R410">
        <f>O410&amp;IF(N410&lt;&gt;"",IF(O410&lt;&gt;""," · ","")&amp;"Con: "&amp;N410,"")</f>
        <v/>
      </c>
      <c r="S410">
        <f>C410&amp;"|"&amp;D410</f>
        <v/>
      </c>
      <c r="T410">
        <f>COUNTIF($S$2:S410,S410)</f>
        <v/>
      </c>
      <c r="U410">
        <f>S410&amp;"|"&amp;T410</f>
        <v/>
      </c>
      <c r="V410">
        <f>IFERROR(VLOOKUP(IF(I410="ENFASIS",LEFT(M410,FIND("+",M410&amp;"+")-1),J410),Direccion_Grupo!$A$2:$G$100,7,FALSE),"")</f>
        <v/>
      </c>
    </row>
    <row r="411">
      <c r="A411" t="n">
        <v>52</v>
      </c>
      <c r="B411" t="inlineStr">
        <is>
          <t>Vásquez Valencia Segundo Leoncio</t>
        </is>
      </c>
      <c r="C411" t="inlineStr">
        <is>
          <t>MARTES</t>
        </is>
      </c>
      <c r="D411" t="n">
        <v>3</v>
      </c>
      <c r="E411" t="n">
        <v>2</v>
      </c>
      <c r="F411" t="n">
        <v>1</v>
      </c>
      <c r="G411" t="inlineStr">
        <is>
          <t>08:20</t>
        </is>
      </c>
      <c r="H411" t="inlineStr">
        <is>
          <t>09:05</t>
        </is>
      </c>
      <c r="I411" t="inlineStr">
        <is>
          <t>CLASE</t>
        </is>
      </c>
      <c r="J411" t="inlineStr">
        <is>
          <t>0701</t>
        </is>
      </c>
      <c r="K411" t="inlineStr">
        <is>
          <t>MAT</t>
        </is>
      </c>
      <c r="L411" t="inlineStr"/>
      <c r="M411" t="inlineStr"/>
      <c r="N411" t="inlineStr"/>
      <c r="O411" t="inlineStr"/>
      <c r="P411" t="inlineStr">
        <is>
          <t>0701-MAT</t>
        </is>
      </c>
      <c r="Q411">
        <f>IF(I411="ENFASIS","ÉNFASIS "&amp;M411,IFERROR(VLOOKUP(J411,Grupos!$A$2:$D$100,4,FALSE),J411))</f>
        <v/>
      </c>
      <c r="R411">
        <f>O411&amp;IF(N411&lt;&gt;"",IF(O411&lt;&gt;""," · ","")&amp;"Con: "&amp;N411,"")</f>
        <v/>
      </c>
      <c r="S411">
        <f>C411&amp;"|"&amp;D411</f>
        <v/>
      </c>
      <c r="T411">
        <f>COUNTIF($S$2:S411,S411)</f>
        <v/>
      </c>
      <c r="U411">
        <f>S411&amp;"|"&amp;T411</f>
        <v/>
      </c>
      <c r="V411">
        <f>IFERROR(VLOOKUP(IF(I411="ENFASIS",LEFT(M411,FIND("+",M411&amp;"+")-1),J411),Direccion_Grupo!$A$2:$G$100,7,FALSE),"")</f>
        <v/>
      </c>
    </row>
    <row r="412">
      <c r="A412" t="n">
        <v>1</v>
      </c>
      <c r="B412" t="inlineStr">
        <is>
          <t>Aguirre Riascos Jorge Andrés</t>
        </is>
      </c>
      <c r="C412" t="inlineStr">
        <is>
          <t>MARTES</t>
        </is>
      </c>
      <c r="D412" t="n">
        <v>3</v>
      </c>
      <c r="E412" t="n">
        <v>2</v>
      </c>
      <c r="F412" t="n">
        <v>1</v>
      </c>
      <c r="G412" t="inlineStr">
        <is>
          <t>08:20</t>
        </is>
      </c>
      <c r="H412" t="inlineStr">
        <is>
          <t>09:05</t>
        </is>
      </c>
      <c r="I412" t="inlineStr">
        <is>
          <t>CLASE</t>
        </is>
      </c>
      <c r="J412" t="inlineStr">
        <is>
          <t>0702</t>
        </is>
      </c>
      <c r="K412" t="inlineStr">
        <is>
          <t>TEI</t>
        </is>
      </c>
      <c r="L412" t="inlineStr"/>
      <c r="M412" t="inlineStr"/>
      <c r="N412" t="inlineStr"/>
      <c r="O412" t="inlineStr"/>
      <c r="P412" t="inlineStr">
        <is>
          <t>0702-TEI</t>
        </is>
      </c>
      <c r="Q412">
        <f>IF(I412="ENFASIS","ÉNFASIS "&amp;M412,IFERROR(VLOOKUP(J412,Grupos!$A$2:$D$100,4,FALSE),J412))</f>
        <v/>
      </c>
      <c r="R412">
        <f>O412&amp;IF(N412&lt;&gt;"",IF(O412&lt;&gt;""," · ","")&amp;"Con: "&amp;N412,"")</f>
        <v/>
      </c>
      <c r="S412">
        <f>C412&amp;"|"&amp;D412</f>
        <v/>
      </c>
      <c r="T412">
        <f>COUNTIF($S$2:S412,S412)</f>
        <v/>
      </c>
      <c r="U412">
        <f>S412&amp;"|"&amp;T412</f>
        <v/>
      </c>
      <c r="V412">
        <f>IFERROR(VLOOKUP(IF(I412="ENFASIS",LEFT(M412,FIND("+",M412&amp;"+")-1),J412),Direccion_Grupo!$A$2:$G$100,7,FALSE),"")</f>
        <v/>
      </c>
    </row>
    <row r="413">
      <c r="A413" t="n">
        <v>39</v>
      </c>
      <c r="B413" t="inlineStr">
        <is>
          <t>Puches Ana Milena</t>
        </is>
      </c>
      <c r="C413" t="inlineStr">
        <is>
          <t>MARTES</t>
        </is>
      </c>
      <c r="D413" t="n">
        <v>3</v>
      </c>
      <c r="E413" t="n">
        <v>2</v>
      </c>
      <c r="F413" t="n">
        <v>1</v>
      </c>
      <c r="G413" t="inlineStr">
        <is>
          <t>08:20</t>
        </is>
      </c>
      <c r="H413" t="inlineStr">
        <is>
          <t>09:05</t>
        </is>
      </c>
      <c r="I413" t="inlineStr">
        <is>
          <t>CLASE</t>
        </is>
      </c>
      <c r="J413" t="inlineStr">
        <is>
          <t>0703</t>
        </is>
      </c>
      <c r="K413" t="inlineStr">
        <is>
          <t>ART</t>
        </is>
      </c>
      <c r="L413" t="inlineStr"/>
      <c r="M413" t="inlineStr"/>
      <c r="N413" t="inlineStr"/>
      <c r="O413" t="inlineStr"/>
      <c r="P413" t="inlineStr">
        <is>
          <t>0703-ART</t>
        </is>
      </c>
      <c r="Q413">
        <f>IF(I413="ENFASIS","ÉNFASIS "&amp;M413,IFERROR(VLOOKUP(J413,Grupos!$A$2:$D$100,4,FALSE),J413))</f>
        <v/>
      </c>
      <c r="R413">
        <f>O413&amp;IF(N413&lt;&gt;"",IF(O413&lt;&gt;""," · ","")&amp;"Con: "&amp;N413,"")</f>
        <v/>
      </c>
      <c r="S413">
        <f>C413&amp;"|"&amp;D413</f>
        <v/>
      </c>
      <c r="T413">
        <f>COUNTIF($S$2:S413,S413)</f>
        <v/>
      </c>
      <c r="U413">
        <f>S413&amp;"|"&amp;T413</f>
        <v/>
      </c>
      <c r="V413">
        <f>IFERROR(VLOOKUP(IF(I413="ENFASIS",LEFT(M413,FIND("+",M413&amp;"+")-1),J413),Direccion_Grupo!$A$2:$G$100,7,FALSE),"")</f>
        <v/>
      </c>
    </row>
    <row r="414">
      <c r="A414" t="n">
        <v>41</v>
      </c>
      <c r="B414" t="inlineStr">
        <is>
          <t>Quintero Ramírez María del Carmen</t>
        </is>
      </c>
      <c r="C414" t="inlineStr">
        <is>
          <t>MARTES</t>
        </is>
      </c>
      <c r="D414" t="n">
        <v>3</v>
      </c>
      <c r="E414" t="n">
        <v>2</v>
      </c>
      <c r="F414" t="n">
        <v>1</v>
      </c>
      <c r="G414" t="inlineStr">
        <is>
          <t>08:20</t>
        </is>
      </c>
      <c r="H414" t="inlineStr">
        <is>
          <t>09:05</t>
        </is>
      </c>
      <c r="I414" t="inlineStr">
        <is>
          <t>CLASE</t>
        </is>
      </c>
      <c r="J414" t="inlineStr">
        <is>
          <t>0704</t>
        </is>
      </c>
      <c r="K414" t="inlineStr">
        <is>
          <t>CSI</t>
        </is>
      </c>
      <c r="L414" t="inlineStr"/>
      <c r="M414" t="inlineStr"/>
      <c r="N414" t="inlineStr"/>
      <c r="O414" t="inlineStr">
        <is>
          <t>Sociales / Inglés (alternan cada semana)</t>
        </is>
      </c>
      <c r="P414" t="inlineStr">
        <is>
          <t>0704-CSI</t>
        </is>
      </c>
      <c r="Q414">
        <f>IF(I414="ENFASIS","ÉNFASIS "&amp;M414,IFERROR(VLOOKUP(J414,Grupos!$A$2:$D$100,4,FALSE),J414))</f>
        <v/>
      </c>
      <c r="R414">
        <f>O414&amp;IF(N414&lt;&gt;"",IF(O414&lt;&gt;""," · ","")&amp;"Con: "&amp;N414,"")</f>
        <v/>
      </c>
      <c r="S414">
        <f>C414&amp;"|"&amp;D414</f>
        <v/>
      </c>
      <c r="T414">
        <f>COUNTIF($S$2:S414,S414)</f>
        <v/>
      </c>
      <c r="U414">
        <f>S414&amp;"|"&amp;T414</f>
        <v/>
      </c>
      <c r="V414">
        <f>IFERROR(VLOOKUP(IF(I414="ENFASIS",LEFT(M414,FIND("+",M414&amp;"+")-1),J414),Direccion_Grupo!$A$2:$G$100,7,FALSE),"")</f>
        <v/>
      </c>
    </row>
    <row r="415">
      <c r="A415" t="n">
        <v>9</v>
      </c>
      <c r="B415" t="inlineStr">
        <is>
          <t>Castillo Angulo Martha Cecilia</t>
        </is>
      </c>
      <c r="C415" t="inlineStr">
        <is>
          <t>MARTES</t>
        </is>
      </c>
      <c r="D415" t="n">
        <v>3</v>
      </c>
      <c r="E415" t="n">
        <v>2</v>
      </c>
      <c r="F415" t="n">
        <v>1</v>
      </c>
      <c r="G415" t="inlineStr">
        <is>
          <t>08:20</t>
        </is>
      </c>
      <c r="H415" t="inlineStr">
        <is>
          <t>09:05</t>
        </is>
      </c>
      <c r="I415" t="inlineStr">
        <is>
          <t>CLASE</t>
        </is>
      </c>
      <c r="J415" t="inlineStr">
        <is>
          <t>0802</t>
        </is>
      </c>
      <c r="K415" t="inlineStr">
        <is>
          <t>ETR</t>
        </is>
      </c>
      <c r="L415" t="inlineStr"/>
      <c r="M415" t="inlineStr"/>
      <c r="N415" t="inlineStr"/>
      <c r="O415" t="inlineStr">
        <is>
          <t>Ética / Religión (alternan cada semana)</t>
        </is>
      </c>
      <c r="P415" t="inlineStr">
        <is>
          <t>0802-ETR</t>
        </is>
      </c>
      <c r="Q415">
        <f>IF(I415="ENFASIS","ÉNFASIS "&amp;M415,IFERROR(VLOOKUP(J415,Grupos!$A$2:$D$100,4,FALSE),J415))</f>
        <v/>
      </c>
      <c r="R415">
        <f>O415&amp;IF(N415&lt;&gt;"",IF(O415&lt;&gt;""," · ","")&amp;"Con: "&amp;N415,"")</f>
        <v/>
      </c>
      <c r="S415">
        <f>C415&amp;"|"&amp;D415</f>
        <v/>
      </c>
      <c r="T415">
        <f>COUNTIF($S$2:S415,S415)</f>
        <v/>
      </c>
      <c r="U415">
        <f>S415&amp;"|"&amp;T415</f>
        <v/>
      </c>
      <c r="V415">
        <f>IFERROR(VLOOKUP(IF(I415="ENFASIS",LEFT(M415,FIND("+",M415&amp;"+")-1),J415),Direccion_Grupo!$A$2:$G$100,7,FALSE),"")</f>
        <v/>
      </c>
    </row>
    <row r="416">
      <c r="A416" t="n">
        <v>18</v>
      </c>
      <c r="B416" t="inlineStr">
        <is>
          <t>Estacio Estupiñán Rosario</t>
        </is>
      </c>
      <c r="C416" t="inlineStr">
        <is>
          <t>MARTES</t>
        </is>
      </c>
      <c r="D416" t="n">
        <v>3</v>
      </c>
      <c r="E416" t="n">
        <v>2</v>
      </c>
      <c r="F416" t="n">
        <v>1</v>
      </c>
      <c r="G416" t="inlineStr">
        <is>
          <t>08:20</t>
        </is>
      </c>
      <c r="H416" t="inlineStr">
        <is>
          <t>09:05</t>
        </is>
      </c>
      <c r="I416" t="inlineStr">
        <is>
          <t>CLASE</t>
        </is>
      </c>
      <c r="J416" t="inlineStr">
        <is>
          <t>0901</t>
        </is>
      </c>
      <c r="K416" t="inlineStr">
        <is>
          <t>ETR</t>
        </is>
      </c>
      <c r="L416" t="inlineStr"/>
      <c r="M416" t="inlineStr"/>
      <c r="N416" t="inlineStr"/>
      <c r="O416" t="inlineStr">
        <is>
          <t>Ética / Religión (alternan cada semana)</t>
        </is>
      </c>
      <c r="P416" t="inlineStr">
        <is>
          <t>0901-ETR</t>
        </is>
      </c>
      <c r="Q416">
        <f>IF(I416="ENFASIS","ÉNFASIS "&amp;M416,IFERROR(VLOOKUP(J416,Grupos!$A$2:$D$100,4,FALSE),J416))</f>
        <v/>
      </c>
      <c r="R416">
        <f>O416&amp;IF(N416&lt;&gt;"",IF(O416&lt;&gt;""," · ","")&amp;"Con: "&amp;N416,"")</f>
        <v/>
      </c>
      <c r="S416">
        <f>C416&amp;"|"&amp;D416</f>
        <v/>
      </c>
      <c r="T416">
        <f>COUNTIF($S$2:S416,S416)</f>
        <v/>
      </c>
      <c r="U416">
        <f>S416&amp;"|"&amp;T416</f>
        <v/>
      </c>
      <c r="V416">
        <f>IFERROR(VLOOKUP(IF(I416="ENFASIS",LEFT(M416,FIND("+",M416&amp;"+")-1),J416),Direccion_Grupo!$A$2:$G$100,7,FALSE),"")</f>
        <v/>
      </c>
    </row>
    <row r="417">
      <c r="A417" t="n">
        <v>5</v>
      </c>
      <c r="B417" t="inlineStr">
        <is>
          <t>Bastidas Valencia Zeneida Judith</t>
        </is>
      </c>
      <c r="C417" t="inlineStr">
        <is>
          <t>MARTES</t>
        </is>
      </c>
      <c r="D417" t="n">
        <v>3</v>
      </c>
      <c r="E417" t="n">
        <v>2</v>
      </c>
      <c r="F417" t="n">
        <v>1</v>
      </c>
      <c r="G417" t="inlineStr">
        <is>
          <t>08:20</t>
        </is>
      </c>
      <c r="H417" t="inlineStr">
        <is>
          <t>09:05</t>
        </is>
      </c>
      <c r="I417" t="inlineStr">
        <is>
          <t>CLASE</t>
        </is>
      </c>
      <c r="J417" t="inlineStr">
        <is>
          <t>0902</t>
        </is>
      </c>
      <c r="K417" t="inlineStr">
        <is>
          <t>MAT</t>
        </is>
      </c>
      <c r="L417" t="inlineStr"/>
      <c r="M417" t="inlineStr"/>
      <c r="N417" t="inlineStr"/>
      <c r="O417" t="inlineStr"/>
      <c r="P417" t="inlineStr">
        <is>
          <t>0902-MAT</t>
        </is>
      </c>
      <c r="Q417">
        <f>IF(I417="ENFASIS","ÉNFASIS "&amp;M417,IFERROR(VLOOKUP(J417,Grupos!$A$2:$D$100,4,FALSE),J417))</f>
        <v/>
      </c>
      <c r="R417">
        <f>O417&amp;IF(N417&lt;&gt;"",IF(O417&lt;&gt;""," · ","")&amp;"Con: "&amp;N417,"")</f>
        <v/>
      </c>
      <c r="S417">
        <f>C417&amp;"|"&amp;D417</f>
        <v/>
      </c>
      <c r="T417">
        <f>COUNTIF($S$2:S417,S417)</f>
        <v/>
      </c>
      <c r="U417">
        <f>S417&amp;"|"&amp;T417</f>
        <v/>
      </c>
      <c r="V417">
        <f>IFERROR(VLOOKUP(IF(I417="ENFASIS",LEFT(M417,FIND("+",M417&amp;"+")-1),J417),Direccion_Grupo!$A$2:$G$100,7,FALSE),"")</f>
        <v/>
      </c>
    </row>
    <row r="418">
      <c r="A418" t="n">
        <v>29</v>
      </c>
      <c r="B418" t="inlineStr">
        <is>
          <t>Mindineros Satizábal John Jáver</t>
        </is>
      </c>
      <c r="C418" t="inlineStr">
        <is>
          <t>MARTES</t>
        </is>
      </c>
      <c r="D418" t="n">
        <v>3</v>
      </c>
      <c r="E418" t="n">
        <v>2</v>
      </c>
      <c r="F418" t="n">
        <v>1</v>
      </c>
      <c r="G418" t="inlineStr">
        <is>
          <t>08:20</t>
        </is>
      </c>
      <c r="H418" t="inlineStr">
        <is>
          <t>09:05</t>
        </is>
      </c>
      <c r="I418" t="inlineStr">
        <is>
          <t>CLASE</t>
        </is>
      </c>
      <c r="J418" t="inlineStr">
        <is>
          <t>1001</t>
        </is>
      </c>
      <c r="K418" t="inlineStr">
        <is>
          <t>TEI</t>
        </is>
      </c>
      <c r="L418" t="inlineStr"/>
      <c r="M418" t="inlineStr"/>
      <c r="N418" t="inlineStr"/>
      <c r="O418" t="inlineStr"/>
      <c r="P418" t="inlineStr">
        <is>
          <t>1001-TEI</t>
        </is>
      </c>
      <c r="Q418">
        <f>IF(I418="ENFASIS","ÉNFASIS "&amp;M418,IFERROR(VLOOKUP(J418,Grupos!$A$2:$D$100,4,FALSE),J418))</f>
        <v/>
      </c>
      <c r="R418">
        <f>O418&amp;IF(N418&lt;&gt;"",IF(O418&lt;&gt;""," · ","")&amp;"Con: "&amp;N418,"")</f>
        <v/>
      </c>
      <c r="S418">
        <f>C418&amp;"|"&amp;D418</f>
        <v/>
      </c>
      <c r="T418">
        <f>COUNTIF($S$2:S418,S418)</f>
        <v/>
      </c>
      <c r="U418">
        <f>S418&amp;"|"&amp;T418</f>
        <v/>
      </c>
      <c r="V418">
        <f>IFERROR(VLOOKUP(IF(I418="ENFASIS",LEFT(M418,FIND("+",M418&amp;"+")-1),J418),Direccion_Grupo!$A$2:$G$100,7,FALSE),"")</f>
        <v/>
      </c>
    </row>
    <row r="419">
      <c r="A419" t="n">
        <v>2</v>
      </c>
      <c r="B419" t="inlineStr">
        <is>
          <t>Angulo Lucero Andrés Mauricio</t>
        </is>
      </c>
      <c r="C419" t="inlineStr">
        <is>
          <t>MARTES</t>
        </is>
      </c>
      <c r="D419" t="n">
        <v>3</v>
      </c>
      <c r="E419" t="n">
        <v>2</v>
      </c>
      <c r="F419" t="n">
        <v>1</v>
      </c>
      <c r="G419" t="inlineStr">
        <is>
          <t>08:20</t>
        </is>
      </c>
      <c r="H419" t="inlineStr">
        <is>
          <t>09:05</t>
        </is>
      </c>
      <c r="I419" t="inlineStr">
        <is>
          <t>CLASE</t>
        </is>
      </c>
      <c r="J419" t="inlineStr">
        <is>
          <t>1002</t>
        </is>
      </c>
      <c r="K419" t="inlineStr">
        <is>
          <t>TEI</t>
        </is>
      </c>
      <c r="L419" t="inlineStr"/>
      <c r="M419" t="inlineStr"/>
      <c r="N419" t="inlineStr"/>
      <c r="O419" t="inlineStr"/>
      <c r="P419" t="inlineStr">
        <is>
          <t>1002-TEI</t>
        </is>
      </c>
      <c r="Q419">
        <f>IF(I419="ENFASIS","ÉNFASIS "&amp;M419,IFERROR(VLOOKUP(J419,Grupos!$A$2:$D$100,4,FALSE),J419))</f>
        <v/>
      </c>
      <c r="R419">
        <f>O419&amp;IF(N419&lt;&gt;"",IF(O419&lt;&gt;""," · ","")&amp;"Con: "&amp;N419,"")</f>
        <v/>
      </c>
      <c r="S419">
        <f>C419&amp;"|"&amp;D419</f>
        <v/>
      </c>
      <c r="T419">
        <f>COUNTIF($S$2:S419,S419)</f>
        <v/>
      </c>
      <c r="U419">
        <f>S419&amp;"|"&amp;T419</f>
        <v/>
      </c>
      <c r="V419">
        <f>IFERROR(VLOOKUP(IF(I419="ENFASIS",LEFT(M419,FIND("+",M419&amp;"+")-1),J419),Direccion_Grupo!$A$2:$G$100,7,FALSE),"")</f>
        <v/>
      </c>
    </row>
    <row r="420">
      <c r="A420" t="n">
        <v>40</v>
      </c>
      <c r="B420" t="inlineStr">
        <is>
          <t>Pulgarín Ortiz César Marino</t>
        </is>
      </c>
      <c r="C420" t="inlineStr">
        <is>
          <t>MARTES</t>
        </is>
      </c>
      <c r="D420" t="n">
        <v>3</v>
      </c>
      <c r="E420" t="n">
        <v>2</v>
      </c>
      <c r="F420" t="n">
        <v>1</v>
      </c>
      <c r="G420" t="inlineStr">
        <is>
          <t>08:20</t>
        </is>
      </c>
      <c r="H420" t="inlineStr">
        <is>
          <t>09:05</t>
        </is>
      </c>
      <c r="I420" t="inlineStr">
        <is>
          <t>CLASE</t>
        </is>
      </c>
      <c r="J420" t="inlineStr">
        <is>
          <t>1102</t>
        </is>
      </c>
      <c r="K420" t="inlineStr">
        <is>
          <t>CSI</t>
        </is>
      </c>
      <c r="L420" t="inlineStr"/>
      <c r="M420" t="inlineStr"/>
      <c r="N420" t="inlineStr"/>
      <c r="O420" t="inlineStr">
        <is>
          <t>Sociales / Inglés (alternan cada semana)</t>
        </is>
      </c>
      <c r="P420" t="inlineStr">
        <is>
          <t>1102-CSI</t>
        </is>
      </c>
      <c r="Q420">
        <f>IF(I420="ENFASIS","ÉNFASIS "&amp;M420,IFERROR(VLOOKUP(J420,Grupos!$A$2:$D$100,4,FALSE),J420))</f>
        <v/>
      </c>
      <c r="R420">
        <f>O420&amp;IF(N420&lt;&gt;"",IF(O420&lt;&gt;""," · ","")&amp;"Con: "&amp;N420,"")</f>
        <v/>
      </c>
      <c r="S420">
        <f>C420&amp;"|"&amp;D420</f>
        <v/>
      </c>
      <c r="T420">
        <f>COUNTIF($S$2:S420,S420)</f>
        <v/>
      </c>
      <c r="U420">
        <f>S420&amp;"|"&amp;T420</f>
        <v/>
      </c>
      <c r="V420">
        <f>IFERROR(VLOOKUP(IF(I420="ENFASIS",LEFT(M420,FIND("+",M420&amp;"+")-1),J420),Direccion_Grupo!$A$2:$G$100,7,FALSE),"")</f>
        <v/>
      </c>
    </row>
    <row r="421">
      <c r="A421" t="n">
        <v>42</v>
      </c>
      <c r="B421" t="inlineStr">
        <is>
          <t>Quiñones Cabezas Marcos Vidal</t>
        </is>
      </c>
      <c r="C421" t="inlineStr">
        <is>
          <t>MARTES</t>
        </is>
      </c>
      <c r="D421" t="n">
        <v>3</v>
      </c>
      <c r="E421" t="n">
        <v>2</v>
      </c>
      <c r="F421" t="n">
        <v>1</v>
      </c>
      <c r="G421" t="inlineStr">
        <is>
          <t>08:20</t>
        </is>
      </c>
      <c r="H421" t="inlineStr">
        <is>
          <t>09:05</t>
        </is>
      </c>
      <c r="I421" t="inlineStr">
        <is>
          <t>CLASE</t>
        </is>
      </c>
      <c r="J421" t="inlineStr">
        <is>
          <t>CS101</t>
        </is>
      </c>
      <c r="K421" t="inlineStr">
        <is>
          <t>MAT</t>
        </is>
      </c>
      <c r="L421" t="inlineStr"/>
      <c r="M421" t="inlineStr"/>
      <c r="N421" t="inlineStr"/>
      <c r="O421" t="inlineStr"/>
      <c r="P421" t="inlineStr">
        <is>
          <t>CS101-MAT</t>
        </is>
      </c>
      <c r="Q421">
        <f>IF(I421="ENFASIS","ÉNFASIS "&amp;M421,IFERROR(VLOOKUP(J421,Grupos!$A$2:$D$100,4,FALSE),J421))</f>
        <v/>
      </c>
      <c r="R421">
        <f>O421&amp;IF(N421&lt;&gt;"",IF(O421&lt;&gt;""," · ","")&amp;"Con: "&amp;N421,"")</f>
        <v/>
      </c>
      <c r="S421">
        <f>C421&amp;"|"&amp;D421</f>
        <v/>
      </c>
      <c r="T421">
        <f>COUNTIF($S$2:S421,S421)</f>
        <v/>
      </c>
      <c r="U421">
        <f>S421&amp;"|"&amp;T421</f>
        <v/>
      </c>
      <c r="V421">
        <f>IFERROR(VLOOKUP(IF(I421="ENFASIS",LEFT(M421,FIND("+",M421&amp;"+")-1),J421),Direccion_Grupo!$A$2:$G$100,7,FALSE),"")</f>
        <v/>
      </c>
    </row>
    <row r="422">
      <c r="A422" t="n">
        <v>26</v>
      </c>
      <c r="B422" t="inlineStr">
        <is>
          <t>Lozano Torres Amanda Inés</t>
        </is>
      </c>
      <c r="C422" t="inlineStr">
        <is>
          <t>MARTES</t>
        </is>
      </c>
      <c r="D422" t="n">
        <v>3</v>
      </c>
      <c r="E422" t="n">
        <v>2</v>
      </c>
      <c r="F422" t="n">
        <v>1</v>
      </c>
      <c r="G422" t="inlineStr">
        <is>
          <t>08:20</t>
        </is>
      </c>
      <c r="H422" t="inlineStr">
        <is>
          <t>09:05</t>
        </is>
      </c>
      <c r="I422" t="inlineStr">
        <is>
          <t>CLASE</t>
        </is>
      </c>
      <c r="J422" t="inlineStr">
        <is>
          <t>CS102</t>
        </is>
      </c>
      <c r="K422" t="inlineStr">
        <is>
          <t>ETR</t>
        </is>
      </c>
      <c r="L422" t="inlineStr"/>
      <c r="M422" t="inlineStr"/>
      <c r="N422" t="inlineStr"/>
      <c r="O422" t="inlineStr">
        <is>
          <t>Ética / Religión (alternan cada semana)</t>
        </is>
      </c>
      <c r="P422" t="inlineStr">
        <is>
          <t>CS102-ETR</t>
        </is>
      </c>
      <c r="Q422">
        <f>IF(I422="ENFASIS","ÉNFASIS "&amp;M422,IFERROR(VLOOKUP(J422,Grupos!$A$2:$D$100,4,FALSE),J422))</f>
        <v/>
      </c>
      <c r="R422">
        <f>O422&amp;IF(N422&lt;&gt;"",IF(O422&lt;&gt;""," · ","")&amp;"Con: "&amp;N422,"")</f>
        <v/>
      </c>
      <c r="S422">
        <f>C422&amp;"|"&amp;D422</f>
        <v/>
      </c>
      <c r="T422">
        <f>COUNTIF($S$2:S422,S422)</f>
        <v/>
      </c>
      <c r="U422">
        <f>S422&amp;"|"&amp;T422</f>
        <v/>
      </c>
      <c r="V422">
        <f>IFERROR(VLOOKUP(IF(I422="ENFASIS",LEFT(M422,FIND("+",M422&amp;"+")-1),J422),Direccion_Grupo!$A$2:$G$100,7,FALSE),"")</f>
        <v/>
      </c>
    </row>
    <row r="423">
      <c r="A423" t="n">
        <v>35</v>
      </c>
      <c r="B423" t="inlineStr">
        <is>
          <t>Ortiz Araujo Adiela Carlota</t>
        </is>
      </c>
      <c r="C423" t="inlineStr">
        <is>
          <t>MARTES</t>
        </is>
      </c>
      <c r="D423" t="n">
        <v>3</v>
      </c>
      <c r="E423" t="n">
        <v>2</v>
      </c>
      <c r="F423" t="n">
        <v>1</v>
      </c>
      <c r="G423" t="inlineStr">
        <is>
          <t>08:20</t>
        </is>
      </c>
      <c r="H423" t="inlineStr">
        <is>
          <t>09:05</t>
        </is>
      </c>
      <c r="I423" t="inlineStr">
        <is>
          <t>CLASE</t>
        </is>
      </c>
      <c r="J423" t="inlineStr">
        <is>
          <t>CS202</t>
        </is>
      </c>
      <c r="K423" t="inlineStr">
        <is>
          <t>CSI</t>
        </is>
      </c>
      <c r="L423" t="inlineStr"/>
      <c r="M423" t="inlineStr"/>
      <c r="N423" t="inlineStr"/>
      <c r="O423" t="inlineStr">
        <is>
          <t>Sociales / Inglés (alternan cada semana)</t>
        </is>
      </c>
      <c r="P423" t="inlineStr">
        <is>
          <t>CS202-CSI</t>
        </is>
      </c>
      <c r="Q423">
        <f>IF(I423="ENFASIS","ÉNFASIS "&amp;M423,IFERROR(VLOOKUP(J423,Grupos!$A$2:$D$100,4,FALSE),J423))</f>
        <v/>
      </c>
      <c r="R423">
        <f>O423&amp;IF(N423&lt;&gt;"",IF(O423&lt;&gt;""," · ","")&amp;"Con: "&amp;N423,"")</f>
        <v/>
      </c>
      <c r="S423">
        <f>C423&amp;"|"&amp;D423</f>
        <v/>
      </c>
      <c r="T423">
        <f>COUNTIF($S$2:S423,S423)</f>
        <v/>
      </c>
      <c r="U423">
        <f>S423&amp;"|"&amp;T423</f>
        <v/>
      </c>
      <c r="V423">
        <f>IFERROR(VLOOKUP(IF(I423="ENFASIS",LEFT(M423,FIND("+",M423&amp;"+")-1),J423),Direccion_Grupo!$A$2:$G$100,7,FALSE),"")</f>
        <v/>
      </c>
    </row>
    <row r="424">
      <c r="A424" t="n">
        <v>7</v>
      </c>
      <c r="B424" t="inlineStr">
        <is>
          <t>Casanova Casanova Johana Andrea</t>
        </is>
      </c>
      <c r="C424" t="inlineStr">
        <is>
          <t>MARTES</t>
        </is>
      </c>
      <c r="D424" t="n">
        <v>3</v>
      </c>
      <c r="E424" t="n">
        <v>2</v>
      </c>
      <c r="F424" t="n">
        <v>1</v>
      </c>
      <c r="G424" t="inlineStr">
        <is>
          <t>08:20</t>
        </is>
      </c>
      <c r="H424" t="inlineStr">
        <is>
          <t>09:05</t>
        </is>
      </c>
      <c r="I424" t="inlineStr">
        <is>
          <t>ORIENTACION</t>
        </is>
      </c>
      <c r="J424" t="inlineStr">
        <is>
          <t>ORIENT</t>
        </is>
      </c>
      <c r="K424" t="inlineStr">
        <is>
          <t>ORIENTACIÓN ESCOLAR</t>
        </is>
      </c>
      <c r="L424" t="inlineStr"/>
      <c r="M424" t="inlineStr"/>
      <c r="N424" t="inlineStr"/>
      <c r="O424" t="inlineStr">
        <is>
          <t>Jornada 07:30 a 14:30</t>
        </is>
      </c>
      <c r="P424" t="inlineStr"/>
      <c r="Q424">
        <f>IF(I424="ENFASIS","ÉNFASIS "&amp;M424,IFERROR(VLOOKUP(J424,Grupos!$A$2:$D$100,4,FALSE),J424))</f>
        <v/>
      </c>
      <c r="R424">
        <f>O424&amp;IF(N424&lt;&gt;"",IF(O424&lt;&gt;""," · ","")&amp;"Con: "&amp;N424,"")</f>
        <v/>
      </c>
      <c r="S424">
        <f>C424&amp;"|"&amp;D424</f>
        <v/>
      </c>
      <c r="T424">
        <f>COUNTIF($S$2:S424,S424)</f>
        <v/>
      </c>
      <c r="U424">
        <f>S424&amp;"|"&amp;T424</f>
        <v/>
      </c>
      <c r="V424">
        <f>IFERROR(VLOOKUP(IF(I424="ENFASIS",LEFT(M424,FIND("+",M424&amp;"+")-1),J424),Direccion_Grupo!$A$2:$G$100,7,FALSE),"")</f>
        <v/>
      </c>
    </row>
    <row r="425">
      <c r="A425" t="n">
        <v>36</v>
      </c>
      <c r="B425" t="inlineStr">
        <is>
          <t>Ponce Moncayo Ángela Paola</t>
        </is>
      </c>
      <c r="C425" t="inlineStr">
        <is>
          <t>MARTES</t>
        </is>
      </c>
      <c r="D425" t="n">
        <v>3</v>
      </c>
      <c r="E425" t="n">
        <v>2</v>
      </c>
      <c r="F425" t="n">
        <v>1</v>
      </c>
      <c r="G425" t="inlineStr">
        <is>
          <t>08:20</t>
        </is>
      </c>
      <c r="H425" t="inlineStr">
        <is>
          <t>09:05</t>
        </is>
      </c>
      <c r="I425" t="inlineStr">
        <is>
          <t>ORIENTACION</t>
        </is>
      </c>
      <c r="J425" t="inlineStr">
        <is>
          <t>ORIENT</t>
        </is>
      </c>
      <c r="K425" t="inlineStr">
        <is>
          <t>ORIENTACIÓN ESCOLAR</t>
        </is>
      </c>
      <c r="L425" t="inlineStr"/>
      <c r="M425" t="inlineStr"/>
      <c r="N425" t="inlineStr"/>
      <c r="O425" t="inlineStr">
        <is>
          <t>Jornada 08:30 a 13:30</t>
        </is>
      </c>
      <c r="P425" t="inlineStr"/>
      <c r="Q425">
        <f>IF(I425="ENFASIS","ÉNFASIS "&amp;M425,IFERROR(VLOOKUP(J425,Grupos!$A$2:$D$100,4,FALSE),J425))</f>
        <v/>
      </c>
      <c r="R425">
        <f>O425&amp;IF(N425&lt;&gt;"",IF(O425&lt;&gt;""," · ","")&amp;"Con: "&amp;N425,"")</f>
        <v/>
      </c>
      <c r="S425">
        <f>C425&amp;"|"&amp;D425</f>
        <v/>
      </c>
      <c r="T425">
        <f>COUNTIF($S$2:S425,S425)</f>
        <v/>
      </c>
      <c r="U425">
        <f>S425&amp;"|"&amp;T425</f>
        <v/>
      </c>
      <c r="V425">
        <f>IFERROR(VLOOKUP(IF(I425="ENFASIS",LEFT(M425,FIND("+",M425&amp;"+")-1),J425),Direccion_Grupo!$A$2:$G$100,7,FALSE),"")</f>
        <v/>
      </c>
    </row>
    <row r="426">
      <c r="A426" t="n">
        <v>56</v>
      </c>
      <c r="B426" t="inlineStr">
        <is>
          <t>Ortiz Estacio Martha Cecilia</t>
        </is>
      </c>
      <c r="C426" t="inlineStr">
        <is>
          <t>MARTES</t>
        </is>
      </c>
      <c r="D426" t="n">
        <v>3</v>
      </c>
      <c r="E426" t="n">
        <v>2</v>
      </c>
      <c r="F426" t="n">
        <v>1</v>
      </c>
      <c r="G426" t="inlineStr">
        <is>
          <t>08:20</t>
        </is>
      </c>
      <c r="H426" t="inlineStr">
        <is>
          <t>09:05</t>
        </is>
      </c>
      <c r="I426" t="inlineStr">
        <is>
          <t>TUTORIA</t>
        </is>
      </c>
      <c r="J426" t="inlineStr">
        <is>
          <t>PTAFI</t>
        </is>
      </c>
      <c r="K426" t="inlineStr">
        <is>
          <t>TUTORÍA PTAFI</t>
        </is>
      </c>
      <c r="L426" t="inlineStr"/>
      <c r="M426" t="inlineStr"/>
      <c r="N426" t="inlineStr"/>
      <c r="O426" t="inlineStr">
        <is>
          <t>Jornada 06:30 a 12:00</t>
        </is>
      </c>
      <c r="P426" t="inlineStr"/>
      <c r="Q426">
        <f>IF(I426="ENFASIS","ÉNFASIS "&amp;M426,IFERROR(VLOOKUP(J426,Grupos!$A$2:$D$100,4,FALSE),J426))</f>
        <v/>
      </c>
      <c r="R426">
        <f>O426&amp;IF(N426&lt;&gt;"",IF(O426&lt;&gt;""," · ","")&amp;"Con: "&amp;N426,"")</f>
        <v/>
      </c>
      <c r="S426">
        <f>C426&amp;"|"&amp;D426</f>
        <v/>
      </c>
      <c r="T426">
        <f>COUNTIF($S$2:S426,S426)</f>
        <v/>
      </c>
      <c r="U426">
        <f>S426&amp;"|"&amp;T426</f>
        <v/>
      </c>
      <c r="V426">
        <f>IFERROR(VLOOKUP(IF(I426="ENFASIS",LEFT(M426,FIND("+",M426&amp;"+")-1),J426),Direccion_Grupo!$A$2:$G$100,7,FALSE),"")</f>
        <v/>
      </c>
    </row>
    <row r="427">
      <c r="A427" t="n">
        <v>12</v>
      </c>
      <c r="B427" t="inlineStr">
        <is>
          <t>Chillambo Quiñones María Rocío</t>
        </is>
      </c>
      <c r="C427" t="inlineStr">
        <is>
          <t>MARTES</t>
        </is>
      </c>
      <c r="D427" t="n">
        <v>3</v>
      </c>
      <c r="E427" t="n">
        <v>2</v>
      </c>
      <c r="F427" t="n">
        <v>1</v>
      </c>
      <c r="G427" t="inlineStr">
        <is>
          <t>08:20</t>
        </is>
      </c>
      <c r="H427" t="inlineStr">
        <is>
          <t>09:05</t>
        </is>
      </c>
      <c r="I427" t="inlineStr">
        <is>
          <t>ENFASIS</t>
        </is>
      </c>
      <c r="J427" t="inlineStr"/>
      <c r="K427" t="inlineStr">
        <is>
          <t>CNA</t>
        </is>
      </c>
      <c r="L427" t="inlineStr">
        <is>
          <t>0801</t>
        </is>
      </c>
      <c r="M427" t="inlineStr">
        <is>
          <t>0801</t>
        </is>
      </c>
      <c r="N427" t="inlineStr">
        <is>
          <t>Samaniego Angulo Flor Mireya (ART); Valverde Montaño María Teresa (CAS); Cuero Bamba Berte Levi (ERD)</t>
        </is>
      </c>
      <c r="O427" t="inlineStr">
        <is>
          <t>EQUIPO DE 4: cada docente atiende un grupo de estudiantes en su área</t>
        </is>
      </c>
      <c r="P427" t="inlineStr">
        <is>
          <t>ENFASIS-0801</t>
        </is>
      </c>
      <c r="Q427">
        <f>IF(I427="ENFASIS","ÉNFASIS "&amp;M427,IFERROR(VLOOKUP(J427,Grupos!$A$2:$D$100,4,FALSE),J427))</f>
        <v/>
      </c>
      <c r="R427">
        <f>O427&amp;IF(N427&lt;&gt;"",IF(O427&lt;&gt;""," · ","")&amp;"Con: "&amp;N427,"")</f>
        <v/>
      </c>
      <c r="S427">
        <f>C427&amp;"|"&amp;D427</f>
        <v/>
      </c>
      <c r="T427">
        <f>COUNTIF($S$2:S427,S427)</f>
        <v/>
      </c>
      <c r="U427">
        <f>S427&amp;"|"&amp;T427</f>
        <v/>
      </c>
      <c r="V427">
        <f>IFERROR(VLOOKUP(IF(I427="ENFASIS",LEFT(M427,FIND("+",M427&amp;"+")-1),J427),Direccion_Grupo!$A$2:$G$100,7,FALSE),"")</f>
        <v/>
      </c>
    </row>
    <row r="428">
      <c r="A428" t="n">
        <v>15</v>
      </c>
      <c r="B428" t="inlineStr">
        <is>
          <t>Cuero Bamba Berte Levi</t>
        </is>
      </c>
      <c r="C428" t="inlineStr">
        <is>
          <t>MARTES</t>
        </is>
      </c>
      <c r="D428" t="n">
        <v>3</v>
      </c>
      <c r="E428" t="n">
        <v>2</v>
      </c>
      <c r="F428" t="n">
        <v>1</v>
      </c>
      <c r="G428" t="inlineStr">
        <is>
          <t>08:20</t>
        </is>
      </c>
      <c r="H428" t="inlineStr">
        <is>
          <t>09:05</t>
        </is>
      </c>
      <c r="I428" t="inlineStr">
        <is>
          <t>ENFASIS</t>
        </is>
      </c>
      <c r="J428" t="inlineStr"/>
      <c r="K428" t="inlineStr">
        <is>
          <t>ERD</t>
        </is>
      </c>
      <c r="L428" t="inlineStr">
        <is>
          <t>0801</t>
        </is>
      </c>
      <c r="M428" t="inlineStr">
        <is>
          <t>0801</t>
        </is>
      </c>
      <c r="N428" t="inlineStr">
        <is>
          <t>Samaniego Angulo Flor Mireya (ART); Valverde Montaño María Teresa (CAS); Chillambo Quiñones María Rocío (CNA)</t>
        </is>
      </c>
      <c r="O428" t="inlineStr">
        <is>
          <t>EQUIPO DE 4: cada docente atiende un grupo de estudiantes en su área</t>
        </is>
      </c>
      <c r="P428" t="inlineStr">
        <is>
          <t>ENFASIS-0801</t>
        </is>
      </c>
      <c r="Q428">
        <f>IF(I428="ENFASIS","ÉNFASIS "&amp;M428,IFERROR(VLOOKUP(J428,Grupos!$A$2:$D$100,4,FALSE),J428))</f>
        <v/>
      </c>
      <c r="R428">
        <f>O428&amp;IF(N428&lt;&gt;"",IF(O428&lt;&gt;""," · ","")&amp;"Con: "&amp;N428,"")</f>
        <v/>
      </c>
      <c r="S428">
        <f>C428&amp;"|"&amp;D428</f>
        <v/>
      </c>
      <c r="T428">
        <f>COUNTIF($S$2:S428,S428)</f>
        <v/>
      </c>
      <c r="U428">
        <f>S428&amp;"|"&amp;T428</f>
        <v/>
      </c>
      <c r="V428">
        <f>IFERROR(VLOOKUP(IF(I428="ENFASIS",LEFT(M428,FIND("+",M428&amp;"+")-1),J428),Direccion_Grupo!$A$2:$G$100,7,FALSE),"")</f>
        <v/>
      </c>
    </row>
    <row r="429">
      <c r="A429" t="n">
        <v>44</v>
      </c>
      <c r="B429" t="inlineStr">
        <is>
          <t>Samaniego Angulo Flor Mireya</t>
        </is>
      </c>
      <c r="C429" t="inlineStr">
        <is>
          <t>MARTES</t>
        </is>
      </c>
      <c r="D429" t="n">
        <v>3</v>
      </c>
      <c r="E429" t="n">
        <v>2</v>
      </c>
      <c r="F429" t="n">
        <v>1</v>
      </c>
      <c r="G429" t="inlineStr">
        <is>
          <t>08:20</t>
        </is>
      </c>
      <c r="H429" t="inlineStr">
        <is>
          <t>09:05</t>
        </is>
      </c>
      <c r="I429" t="inlineStr">
        <is>
          <t>ENFASIS</t>
        </is>
      </c>
      <c r="J429" t="inlineStr"/>
      <c r="K429" t="inlineStr">
        <is>
          <t>ART</t>
        </is>
      </c>
      <c r="L429" t="inlineStr">
        <is>
          <t>0801</t>
        </is>
      </c>
      <c r="M429" t="inlineStr">
        <is>
          <t>0801</t>
        </is>
      </c>
      <c r="N429" t="inlineStr">
        <is>
          <t>Valverde Montaño María Teresa (CAS); Cuero Bamba Berte Levi (ERD); Chillambo Quiñones María Rocío (CNA)</t>
        </is>
      </c>
      <c r="O429" t="inlineStr">
        <is>
          <t>EQUIPO DE 4: cada docente atiende un grupo de estudiantes en su área</t>
        </is>
      </c>
      <c r="P429" t="inlineStr">
        <is>
          <t>ENFASIS-0801</t>
        </is>
      </c>
      <c r="Q429">
        <f>IF(I429="ENFASIS","ÉNFASIS "&amp;M429,IFERROR(VLOOKUP(J429,Grupos!$A$2:$D$100,4,FALSE),J429))</f>
        <v/>
      </c>
      <c r="R429">
        <f>O429&amp;IF(N429&lt;&gt;"",IF(O429&lt;&gt;""," · ","")&amp;"Con: "&amp;N429,"")</f>
        <v/>
      </c>
      <c r="S429">
        <f>C429&amp;"|"&amp;D429</f>
        <v/>
      </c>
      <c r="T429">
        <f>COUNTIF($S$2:S429,S429)</f>
        <v/>
      </c>
      <c r="U429">
        <f>S429&amp;"|"&amp;T429</f>
        <v/>
      </c>
      <c r="V429">
        <f>IFERROR(VLOOKUP(IF(I429="ENFASIS",LEFT(M429,FIND("+",M429&amp;"+")-1),J429),Direccion_Grupo!$A$2:$G$100,7,FALSE),"")</f>
        <v/>
      </c>
    </row>
    <row r="430">
      <c r="A430" t="n">
        <v>51</v>
      </c>
      <c r="B430" t="inlineStr">
        <is>
          <t>Valverde Montaño María Teresa</t>
        </is>
      </c>
      <c r="C430" t="inlineStr">
        <is>
          <t>MARTES</t>
        </is>
      </c>
      <c r="D430" t="n">
        <v>3</v>
      </c>
      <c r="E430" t="n">
        <v>2</v>
      </c>
      <c r="F430" t="n">
        <v>1</v>
      </c>
      <c r="G430" t="inlineStr">
        <is>
          <t>08:20</t>
        </is>
      </c>
      <c r="H430" t="inlineStr">
        <is>
          <t>09:05</t>
        </is>
      </c>
      <c r="I430" t="inlineStr">
        <is>
          <t>ENFASIS</t>
        </is>
      </c>
      <c r="J430" t="inlineStr"/>
      <c r="K430" t="inlineStr">
        <is>
          <t>CAS</t>
        </is>
      </c>
      <c r="L430" t="inlineStr">
        <is>
          <t>0801</t>
        </is>
      </c>
      <c r="M430" t="inlineStr">
        <is>
          <t>0801</t>
        </is>
      </c>
      <c r="N430" t="inlineStr">
        <is>
          <t>Samaniego Angulo Flor Mireya (ART); Cuero Bamba Berte Levi (ERD); Chillambo Quiñones María Rocío (CNA)</t>
        </is>
      </c>
      <c r="O430" t="inlineStr">
        <is>
          <t>EQUIPO DE 4: cada docente atiende un grupo de estudiantes en su área</t>
        </is>
      </c>
      <c r="P430" t="inlineStr">
        <is>
          <t>ENFASIS-0801</t>
        </is>
      </c>
      <c r="Q430">
        <f>IF(I430="ENFASIS","ÉNFASIS "&amp;M430,IFERROR(VLOOKUP(J430,Grupos!$A$2:$D$100,4,FALSE),J430))</f>
        <v/>
      </c>
      <c r="R430">
        <f>O430&amp;IF(N430&lt;&gt;"",IF(O430&lt;&gt;""," · ","")&amp;"Con: "&amp;N430,"")</f>
        <v/>
      </c>
      <c r="S430">
        <f>C430&amp;"|"&amp;D430</f>
        <v/>
      </c>
      <c r="T430">
        <f>COUNTIF($S$2:S430,S430)</f>
        <v/>
      </c>
      <c r="U430">
        <f>S430&amp;"|"&amp;T430</f>
        <v/>
      </c>
      <c r="V430">
        <f>IFERROR(VLOOKUP(IF(I430="ENFASIS",LEFT(M430,FIND("+",M430&amp;"+")-1),J430),Direccion_Grupo!$A$2:$G$100,7,FALSE),"")</f>
        <v/>
      </c>
    </row>
    <row r="431">
      <c r="A431" t="n">
        <v>3</v>
      </c>
      <c r="B431" t="inlineStr">
        <is>
          <t>Arboleda Ortiz Luz América</t>
        </is>
      </c>
      <c r="C431" t="inlineStr">
        <is>
          <t>MARTES</t>
        </is>
      </c>
      <c r="D431" t="n">
        <v>3</v>
      </c>
      <c r="E431" t="n">
        <v>2</v>
      </c>
      <c r="F431" t="n">
        <v>1</v>
      </c>
      <c r="G431" t="inlineStr">
        <is>
          <t>08:20</t>
        </is>
      </c>
      <c r="H431" t="inlineStr">
        <is>
          <t>09:05</t>
        </is>
      </c>
      <c r="I431" t="inlineStr">
        <is>
          <t>ENFASIS</t>
        </is>
      </c>
      <c r="J431" t="inlineStr"/>
      <c r="K431" t="inlineStr">
        <is>
          <t>ART</t>
        </is>
      </c>
      <c r="L431" t="inlineStr">
        <is>
          <t>D5-11°</t>
        </is>
      </c>
      <c r="M431" t="inlineStr">
        <is>
          <t>1101</t>
        </is>
      </c>
      <c r="N431" t="inlineStr">
        <is>
          <t>Montaño Anchico Favio Héctor (CAS); Ramírez Guerra Jimmy Eduardo (ERD); Villota Rubio Héctor Hugo (CNA)</t>
        </is>
      </c>
      <c r="O431" t="inlineStr">
        <is>
          <t>EQUIPO DE 4: cada docente atiende un grupo de estudiantes en su área</t>
        </is>
      </c>
      <c r="P431" t="inlineStr">
        <is>
          <t>ENFASIS-D5-11°</t>
        </is>
      </c>
      <c r="Q431">
        <f>IF(I431="ENFASIS","ÉNFASIS "&amp;M431,IFERROR(VLOOKUP(J431,Grupos!$A$2:$D$100,4,FALSE),J431))</f>
        <v/>
      </c>
      <c r="R431">
        <f>O431&amp;IF(N431&lt;&gt;"",IF(O431&lt;&gt;""," · ","")&amp;"Con: "&amp;N431,"")</f>
        <v/>
      </c>
      <c r="S431">
        <f>C431&amp;"|"&amp;D431</f>
        <v/>
      </c>
      <c r="T431">
        <f>COUNTIF($S$2:S431,S431)</f>
        <v/>
      </c>
      <c r="U431">
        <f>S431&amp;"|"&amp;T431</f>
        <v/>
      </c>
      <c r="V431">
        <f>IFERROR(VLOOKUP(IF(I431="ENFASIS",LEFT(M431,FIND("+",M431&amp;"+")-1),J431),Direccion_Grupo!$A$2:$G$100,7,FALSE),"")</f>
        <v/>
      </c>
    </row>
    <row r="432">
      <c r="A432" t="n">
        <v>30</v>
      </c>
      <c r="B432" t="inlineStr">
        <is>
          <t>Montaño Anchico Favio Héctor</t>
        </is>
      </c>
      <c r="C432" t="inlineStr">
        <is>
          <t>MARTES</t>
        </is>
      </c>
      <c r="D432" t="n">
        <v>3</v>
      </c>
      <c r="E432" t="n">
        <v>2</v>
      </c>
      <c r="F432" t="n">
        <v>1</v>
      </c>
      <c r="G432" t="inlineStr">
        <is>
          <t>08:20</t>
        </is>
      </c>
      <c r="H432" t="inlineStr">
        <is>
          <t>09:05</t>
        </is>
      </c>
      <c r="I432" t="inlineStr">
        <is>
          <t>ENFASIS</t>
        </is>
      </c>
      <c r="J432" t="inlineStr"/>
      <c r="K432" t="inlineStr">
        <is>
          <t>CAS</t>
        </is>
      </c>
      <c r="L432" t="inlineStr">
        <is>
          <t>D5-11°</t>
        </is>
      </c>
      <c r="M432" t="inlineStr">
        <is>
          <t>1101</t>
        </is>
      </c>
      <c r="N432" t="inlineStr">
        <is>
          <t>Arboleda Ortiz Luz América (ART); Ramírez Guerra Jimmy Eduardo (ERD); Villota Rubio Héctor Hugo (CNA)</t>
        </is>
      </c>
      <c r="O432" t="inlineStr">
        <is>
          <t>EQUIPO DE 4: cada docente atiende un grupo de estudiantes en su área</t>
        </is>
      </c>
      <c r="P432" t="inlineStr">
        <is>
          <t>ENFASIS-D5-11°</t>
        </is>
      </c>
      <c r="Q432">
        <f>IF(I432="ENFASIS","ÉNFASIS "&amp;M432,IFERROR(VLOOKUP(J432,Grupos!$A$2:$D$100,4,FALSE),J432))</f>
        <v/>
      </c>
      <c r="R432">
        <f>O432&amp;IF(N432&lt;&gt;"",IF(O432&lt;&gt;""," · ","")&amp;"Con: "&amp;N432,"")</f>
        <v/>
      </c>
      <c r="S432">
        <f>C432&amp;"|"&amp;D432</f>
        <v/>
      </c>
      <c r="T432">
        <f>COUNTIF($S$2:S432,S432)</f>
        <v/>
      </c>
      <c r="U432">
        <f>S432&amp;"|"&amp;T432</f>
        <v/>
      </c>
      <c r="V432">
        <f>IFERROR(VLOOKUP(IF(I432="ENFASIS",LEFT(M432,FIND("+",M432&amp;"+")-1),J432),Direccion_Grupo!$A$2:$G$100,7,FALSE),"")</f>
        <v/>
      </c>
    </row>
    <row r="433">
      <c r="A433" t="n">
        <v>43</v>
      </c>
      <c r="B433" t="inlineStr">
        <is>
          <t>Ramírez Guerra Jimmy Eduardo</t>
        </is>
      </c>
      <c r="C433" t="inlineStr">
        <is>
          <t>MARTES</t>
        </is>
      </c>
      <c r="D433" t="n">
        <v>3</v>
      </c>
      <c r="E433" t="n">
        <v>2</v>
      </c>
      <c r="F433" t="n">
        <v>1</v>
      </c>
      <c r="G433" t="inlineStr">
        <is>
          <t>08:20</t>
        </is>
      </c>
      <c r="H433" t="inlineStr">
        <is>
          <t>09:05</t>
        </is>
      </c>
      <c r="I433" t="inlineStr">
        <is>
          <t>ENFASIS</t>
        </is>
      </c>
      <c r="J433" t="inlineStr"/>
      <c r="K433" t="inlineStr">
        <is>
          <t>ERD</t>
        </is>
      </c>
      <c r="L433" t="inlineStr">
        <is>
          <t>D5-11°</t>
        </is>
      </c>
      <c r="M433" t="inlineStr">
        <is>
          <t>1101</t>
        </is>
      </c>
      <c r="N433" t="inlineStr">
        <is>
          <t>Arboleda Ortiz Luz América (ART); Montaño Anchico Favio Héctor (CAS); Villota Rubio Héctor Hugo (CNA)</t>
        </is>
      </c>
      <c r="O433" t="inlineStr">
        <is>
          <t>EQUIPO DE 4: cada docente atiende un grupo de estudiantes en su área</t>
        </is>
      </c>
      <c r="P433" t="inlineStr">
        <is>
          <t>ENFASIS-D5-11°</t>
        </is>
      </c>
      <c r="Q433">
        <f>IF(I433="ENFASIS","ÉNFASIS "&amp;M433,IFERROR(VLOOKUP(J433,Grupos!$A$2:$D$100,4,FALSE),J433))</f>
        <v/>
      </c>
      <c r="R433">
        <f>O433&amp;IF(N433&lt;&gt;"",IF(O433&lt;&gt;""," · ","")&amp;"Con: "&amp;N433,"")</f>
        <v/>
      </c>
      <c r="S433">
        <f>C433&amp;"|"&amp;D433</f>
        <v/>
      </c>
      <c r="T433">
        <f>COUNTIF($S$2:S433,S433)</f>
        <v/>
      </c>
      <c r="U433">
        <f>S433&amp;"|"&amp;T433</f>
        <v/>
      </c>
      <c r="V433">
        <f>IFERROR(VLOOKUP(IF(I433="ENFASIS",LEFT(M433,FIND("+",M433&amp;"+")-1),J433),Direccion_Grupo!$A$2:$G$100,7,FALSE),"")</f>
        <v/>
      </c>
    </row>
    <row r="434">
      <c r="A434" t="n">
        <v>53</v>
      </c>
      <c r="B434" t="inlineStr">
        <is>
          <t>Villota Rubio Héctor Hugo</t>
        </is>
      </c>
      <c r="C434" t="inlineStr">
        <is>
          <t>MARTES</t>
        </is>
      </c>
      <c r="D434" t="n">
        <v>3</v>
      </c>
      <c r="E434" t="n">
        <v>2</v>
      </c>
      <c r="F434" t="n">
        <v>1</v>
      </c>
      <c r="G434" t="inlineStr">
        <is>
          <t>08:20</t>
        </is>
      </c>
      <c r="H434" t="inlineStr">
        <is>
          <t>09:05</t>
        </is>
      </c>
      <c r="I434" t="inlineStr">
        <is>
          <t>ENFASIS</t>
        </is>
      </c>
      <c r="J434" t="inlineStr"/>
      <c r="K434" t="inlineStr">
        <is>
          <t>CNA</t>
        </is>
      </c>
      <c r="L434" t="inlineStr">
        <is>
          <t>D5-11°</t>
        </is>
      </c>
      <c r="M434" t="inlineStr">
        <is>
          <t>1101</t>
        </is>
      </c>
      <c r="N434" t="inlineStr">
        <is>
          <t>Arboleda Ortiz Luz América (ART); Montaño Anchico Favio Héctor (CAS); Ramírez Guerra Jimmy Eduardo (ERD)</t>
        </is>
      </c>
      <c r="O434" t="inlineStr">
        <is>
          <t>EQUIPO DE 4: cada docente atiende un grupo de estudiantes en su área</t>
        </is>
      </c>
      <c r="P434" t="inlineStr">
        <is>
          <t>ENFASIS-D5-11°</t>
        </is>
      </c>
      <c r="Q434">
        <f>IF(I434="ENFASIS","ÉNFASIS "&amp;M434,IFERROR(VLOOKUP(J434,Grupos!$A$2:$D$100,4,FALSE),J434))</f>
        <v/>
      </c>
      <c r="R434">
        <f>O434&amp;IF(N434&lt;&gt;"",IF(O434&lt;&gt;""," · ","")&amp;"Con: "&amp;N434,"")</f>
        <v/>
      </c>
      <c r="S434">
        <f>C434&amp;"|"&amp;D434</f>
        <v/>
      </c>
      <c r="T434">
        <f>COUNTIF($S$2:S434,S434)</f>
        <v/>
      </c>
      <c r="U434">
        <f>S434&amp;"|"&amp;T434</f>
        <v/>
      </c>
      <c r="V434">
        <f>IFERROR(VLOOKUP(IF(I434="ENFASIS",LEFT(M434,FIND("+",M434&amp;"+")-1),J434),Direccion_Grupo!$A$2:$G$100,7,FALSE),"")</f>
        <v/>
      </c>
    </row>
    <row r="435">
      <c r="A435" t="n">
        <v>22</v>
      </c>
      <c r="B435" t="inlineStr">
        <is>
          <t>González Castillo Jólmer Jimy</t>
        </is>
      </c>
      <c r="C435" t="inlineStr">
        <is>
          <t>MARTES</t>
        </is>
      </c>
      <c r="D435" t="n">
        <v>3</v>
      </c>
      <c r="E435" t="n">
        <v>2</v>
      </c>
      <c r="F435" t="n">
        <v>1</v>
      </c>
      <c r="G435" t="inlineStr">
        <is>
          <t>08:20</t>
        </is>
      </c>
      <c r="H435" t="inlineStr">
        <is>
          <t>09:05</t>
        </is>
      </c>
      <c r="I435" t="inlineStr">
        <is>
          <t>ENFASIS</t>
        </is>
      </c>
      <c r="J435" t="inlineStr"/>
      <c r="K435" t="inlineStr">
        <is>
          <t>ERD</t>
        </is>
      </c>
      <c r="L435" t="inlineStr">
        <is>
          <t>CS201</t>
        </is>
      </c>
      <c r="M435" t="inlineStr">
        <is>
          <t>CS201</t>
        </is>
      </c>
      <c r="N435" t="inlineStr">
        <is>
          <t>Valencia Marínez Saidy Eufemia (ART); Meza Banguera Gladys Alicia (CAS); Lemos Guancha Miriam (CNA)</t>
        </is>
      </c>
      <c r="O435" t="inlineStr">
        <is>
          <t>EQUIPO DE 4: cada docente atiende un grupo de estudiantes en su área</t>
        </is>
      </c>
      <c r="P435" t="inlineStr">
        <is>
          <t>ENFASIS-CS201</t>
        </is>
      </c>
      <c r="Q435">
        <f>IF(I435="ENFASIS","ÉNFASIS "&amp;M435,IFERROR(VLOOKUP(J435,Grupos!$A$2:$D$100,4,FALSE),J435))</f>
        <v/>
      </c>
      <c r="R435">
        <f>O435&amp;IF(N435&lt;&gt;"",IF(O435&lt;&gt;""," · ","")&amp;"Con: "&amp;N435,"")</f>
        <v/>
      </c>
      <c r="S435">
        <f>C435&amp;"|"&amp;D435</f>
        <v/>
      </c>
      <c r="T435">
        <f>COUNTIF($S$2:S435,S435)</f>
        <v/>
      </c>
      <c r="U435">
        <f>S435&amp;"|"&amp;T435</f>
        <v/>
      </c>
      <c r="V435">
        <f>IFERROR(VLOOKUP(IF(I435="ENFASIS",LEFT(M435,FIND("+",M435&amp;"+")-1),J435),Direccion_Grupo!$A$2:$G$100,7,FALSE),"")</f>
        <v/>
      </c>
    </row>
    <row r="436">
      <c r="A436" t="n">
        <v>25</v>
      </c>
      <c r="B436" t="inlineStr">
        <is>
          <t>Lemos Guancha Miriam</t>
        </is>
      </c>
      <c r="C436" t="inlineStr">
        <is>
          <t>MARTES</t>
        </is>
      </c>
      <c r="D436" t="n">
        <v>3</v>
      </c>
      <c r="E436" t="n">
        <v>2</v>
      </c>
      <c r="F436" t="n">
        <v>1</v>
      </c>
      <c r="G436" t="inlineStr">
        <is>
          <t>08:20</t>
        </is>
      </c>
      <c r="H436" t="inlineStr">
        <is>
          <t>09:05</t>
        </is>
      </c>
      <c r="I436" t="inlineStr">
        <is>
          <t>ENFASIS</t>
        </is>
      </c>
      <c r="J436" t="inlineStr"/>
      <c r="K436" t="inlineStr">
        <is>
          <t>CNA</t>
        </is>
      </c>
      <c r="L436" t="inlineStr">
        <is>
          <t>CS201</t>
        </is>
      </c>
      <c r="M436" t="inlineStr">
        <is>
          <t>CS201</t>
        </is>
      </c>
      <c r="N436" t="inlineStr">
        <is>
          <t>Valencia Marínez Saidy Eufemia (ART); Meza Banguera Gladys Alicia (CAS); González Castillo Jólmer Jimy (ERD)</t>
        </is>
      </c>
      <c r="O436" t="inlineStr">
        <is>
          <t>EQUIPO DE 4: cada docente atiende un grupo de estudiantes en su área</t>
        </is>
      </c>
      <c r="P436" t="inlineStr">
        <is>
          <t>ENFASIS-CS201</t>
        </is>
      </c>
      <c r="Q436">
        <f>IF(I436="ENFASIS","ÉNFASIS "&amp;M436,IFERROR(VLOOKUP(J436,Grupos!$A$2:$D$100,4,FALSE),J436))</f>
        <v/>
      </c>
      <c r="R436">
        <f>O436&amp;IF(N436&lt;&gt;"",IF(O436&lt;&gt;""," · ","")&amp;"Con: "&amp;N436,"")</f>
        <v/>
      </c>
      <c r="S436">
        <f>C436&amp;"|"&amp;D436</f>
        <v/>
      </c>
      <c r="T436">
        <f>COUNTIF($S$2:S436,S436)</f>
        <v/>
      </c>
      <c r="U436">
        <f>S436&amp;"|"&amp;T436</f>
        <v/>
      </c>
      <c r="V436">
        <f>IFERROR(VLOOKUP(IF(I436="ENFASIS",LEFT(M436,FIND("+",M436&amp;"+")-1),J436),Direccion_Grupo!$A$2:$G$100,7,FALSE),"")</f>
        <v/>
      </c>
    </row>
    <row r="437">
      <c r="A437" t="n">
        <v>28</v>
      </c>
      <c r="B437" t="inlineStr">
        <is>
          <t>Meza Banguera Gladys Alicia</t>
        </is>
      </c>
      <c r="C437" t="inlineStr">
        <is>
          <t>MARTES</t>
        </is>
      </c>
      <c r="D437" t="n">
        <v>3</v>
      </c>
      <c r="E437" t="n">
        <v>2</v>
      </c>
      <c r="F437" t="n">
        <v>1</v>
      </c>
      <c r="G437" t="inlineStr">
        <is>
          <t>08:20</t>
        </is>
      </c>
      <c r="H437" t="inlineStr">
        <is>
          <t>09:05</t>
        </is>
      </c>
      <c r="I437" t="inlineStr">
        <is>
          <t>ENFASIS</t>
        </is>
      </c>
      <c r="J437" t="inlineStr"/>
      <c r="K437" t="inlineStr">
        <is>
          <t>CAS</t>
        </is>
      </c>
      <c r="L437" t="inlineStr">
        <is>
          <t>CS201</t>
        </is>
      </c>
      <c r="M437" t="inlineStr">
        <is>
          <t>CS201</t>
        </is>
      </c>
      <c r="N437" t="inlineStr">
        <is>
          <t>Valencia Marínez Saidy Eufemia (ART); González Castillo Jólmer Jimy (ERD); Lemos Guancha Miriam (CNA)</t>
        </is>
      </c>
      <c r="O437" t="inlineStr">
        <is>
          <t>EQUIPO DE 4: cada docente atiende un grupo de estudiantes en su área</t>
        </is>
      </c>
      <c r="P437" t="inlineStr">
        <is>
          <t>ENFASIS-CS201</t>
        </is>
      </c>
      <c r="Q437">
        <f>IF(I437="ENFASIS","ÉNFASIS "&amp;M437,IFERROR(VLOOKUP(J437,Grupos!$A$2:$D$100,4,FALSE),J437))</f>
        <v/>
      </c>
      <c r="R437">
        <f>O437&amp;IF(N437&lt;&gt;"",IF(O437&lt;&gt;""," · ","")&amp;"Con: "&amp;N437,"")</f>
        <v/>
      </c>
      <c r="S437">
        <f>C437&amp;"|"&amp;D437</f>
        <v/>
      </c>
      <c r="T437">
        <f>COUNTIF($S$2:S437,S437)</f>
        <v/>
      </c>
      <c r="U437">
        <f>S437&amp;"|"&amp;T437</f>
        <v/>
      </c>
      <c r="V437">
        <f>IFERROR(VLOOKUP(IF(I437="ENFASIS",LEFT(M437,FIND("+",M437&amp;"+")-1),J437),Direccion_Grupo!$A$2:$G$100,7,FALSE),"")</f>
        <v/>
      </c>
    </row>
    <row r="438">
      <c r="A438" t="n">
        <v>49</v>
      </c>
      <c r="B438" t="inlineStr">
        <is>
          <t>Valencia Marínez Saidy Eufemia</t>
        </is>
      </c>
      <c r="C438" t="inlineStr">
        <is>
          <t>MARTES</t>
        </is>
      </c>
      <c r="D438" t="n">
        <v>3</v>
      </c>
      <c r="E438" t="n">
        <v>2</v>
      </c>
      <c r="F438" t="n">
        <v>1</v>
      </c>
      <c r="G438" t="inlineStr">
        <is>
          <t>08:20</t>
        </is>
      </c>
      <c r="H438" t="inlineStr">
        <is>
          <t>09:05</t>
        </is>
      </c>
      <c r="I438" t="inlineStr">
        <is>
          <t>ENFASIS</t>
        </is>
      </c>
      <c r="J438" t="inlineStr"/>
      <c r="K438" t="inlineStr">
        <is>
          <t>ART</t>
        </is>
      </c>
      <c r="L438" t="inlineStr">
        <is>
          <t>CS201</t>
        </is>
      </c>
      <c r="M438" t="inlineStr">
        <is>
          <t>CS201</t>
        </is>
      </c>
      <c r="N438" t="inlineStr">
        <is>
          <t>Meza Banguera Gladys Alicia (CAS); González Castillo Jólmer Jimy (ERD); Lemos Guancha Miriam (CNA)</t>
        </is>
      </c>
      <c r="O438" t="inlineStr">
        <is>
          <t>EQUIPO DE 4: cada docente atiende un grupo de estudiantes en su área</t>
        </is>
      </c>
      <c r="P438" t="inlineStr">
        <is>
          <t>ENFASIS-CS201</t>
        </is>
      </c>
      <c r="Q438">
        <f>IF(I438="ENFASIS","ÉNFASIS "&amp;M438,IFERROR(VLOOKUP(J438,Grupos!$A$2:$D$100,4,FALSE),J438))</f>
        <v/>
      </c>
      <c r="R438">
        <f>O438&amp;IF(N438&lt;&gt;"",IF(O438&lt;&gt;""," · ","")&amp;"Con: "&amp;N438,"")</f>
        <v/>
      </c>
      <c r="S438">
        <f>C438&amp;"|"&amp;D438</f>
        <v/>
      </c>
      <c r="T438">
        <f>COUNTIF($S$2:S438,S438)</f>
        <v/>
      </c>
      <c r="U438">
        <f>S438&amp;"|"&amp;T438</f>
        <v/>
      </c>
      <c r="V438">
        <f>IFERROR(VLOOKUP(IF(I438="ENFASIS",LEFT(M438,FIND("+",M438&amp;"+")-1),J438),Direccion_Grupo!$A$2:$G$100,7,FALSE),"")</f>
        <v/>
      </c>
    </row>
    <row r="439">
      <c r="A439" t="n">
        <v>50</v>
      </c>
      <c r="B439" t="inlineStr">
        <is>
          <t>Valencia Solís Gloria Alexa</t>
        </is>
      </c>
      <c r="C439" t="inlineStr">
        <is>
          <t>MARTES</t>
        </is>
      </c>
      <c r="D439" t="n">
        <v>4</v>
      </c>
      <c r="E439" t="n">
        <v>2</v>
      </c>
      <c r="F439" t="n">
        <v>2</v>
      </c>
      <c r="G439" t="inlineStr">
        <is>
          <t>08:30</t>
        </is>
      </c>
      <c r="H439" t="inlineStr">
        <is>
          <t>09:30</t>
        </is>
      </c>
      <c r="I439" t="inlineStr">
        <is>
          <t>AREAS_MULTIPLES</t>
        </is>
      </c>
      <c r="J439" t="inlineStr">
        <is>
          <t>0001</t>
        </is>
      </c>
      <c r="K439" t="inlineStr">
        <is>
          <t>ÁREAS MÚLTIPLES</t>
        </is>
      </c>
      <c r="L439" t="inlineStr"/>
      <c r="M439" t="inlineStr"/>
      <c r="N439" t="inlineStr"/>
      <c r="O439" t="inlineStr">
        <is>
          <t>Maestro de aula: todas las áreas con su grupo</t>
        </is>
      </c>
      <c r="P439" t="inlineStr"/>
      <c r="Q439">
        <f>IF(I439="ENFASIS","ÉNFASIS "&amp;M439,IFERROR(VLOOKUP(J439,Grupos!$A$2:$D$100,4,FALSE),J439))</f>
        <v/>
      </c>
      <c r="R439">
        <f>O439&amp;IF(N439&lt;&gt;"",IF(O439&lt;&gt;""," · ","")&amp;"Con: "&amp;N439,"")</f>
        <v/>
      </c>
      <c r="S439">
        <f>C439&amp;"|"&amp;D439</f>
        <v/>
      </c>
      <c r="T439">
        <f>COUNTIF($S$2:S439,S439)</f>
        <v/>
      </c>
      <c r="U439">
        <f>S439&amp;"|"&amp;T439</f>
        <v/>
      </c>
      <c r="V439">
        <f>IFERROR(VLOOKUP(IF(I439="ENFASIS",LEFT(M439,FIND("+",M439&amp;"+")-1),J439),Direccion_Grupo!$A$2:$G$100,7,FALSE),"")</f>
        <v/>
      </c>
    </row>
    <row r="440">
      <c r="A440" t="n">
        <v>27</v>
      </c>
      <c r="B440" t="inlineStr">
        <is>
          <t>Martínez Álvarez Andrea Ascención</t>
        </is>
      </c>
      <c r="C440" t="inlineStr">
        <is>
          <t>MARTES</t>
        </is>
      </c>
      <c r="D440" t="n">
        <v>4</v>
      </c>
      <c r="E440" t="n">
        <v>2</v>
      </c>
      <c r="F440" t="n">
        <v>2</v>
      </c>
      <c r="G440" t="inlineStr">
        <is>
          <t>08:30</t>
        </is>
      </c>
      <c r="H440" t="inlineStr">
        <is>
          <t>09:30</t>
        </is>
      </c>
      <c r="I440" t="inlineStr">
        <is>
          <t>AREAS_MULTIPLES</t>
        </is>
      </c>
      <c r="J440" t="inlineStr">
        <is>
          <t>0002</t>
        </is>
      </c>
      <c r="K440" t="inlineStr">
        <is>
          <t>ÁREAS MÚLTIPLES</t>
        </is>
      </c>
      <c r="L440" t="inlineStr"/>
      <c r="M440" t="inlineStr"/>
      <c r="N440" t="inlineStr"/>
      <c r="O440" t="inlineStr">
        <is>
          <t>Maestro de aula: todas las áreas con su grupo</t>
        </is>
      </c>
      <c r="P440" t="inlineStr"/>
      <c r="Q440">
        <f>IF(I440="ENFASIS","ÉNFASIS "&amp;M440,IFERROR(VLOOKUP(J440,Grupos!$A$2:$D$100,4,FALSE),J440))</f>
        <v/>
      </c>
      <c r="R440">
        <f>O440&amp;IF(N440&lt;&gt;"",IF(O440&lt;&gt;""," · ","")&amp;"Con: "&amp;N440,"")</f>
        <v/>
      </c>
      <c r="S440">
        <f>C440&amp;"|"&amp;D440</f>
        <v/>
      </c>
      <c r="T440">
        <f>COUNTIF($S$2:S440,S440)</f>
        <v/>
      </c>
      <c r="U440">
        <f>S440&amp;"|"&amp;T440</f>
        <v/>
      </c>
      <c r="V440">
        <f>IFERROR(VLOOKUP(IF(I440="ENFASIS",LEFT(M440,FIND("+",M440&amp;"+")-1),J440),Direccion_Grupo!$A$2:$G$100,7,FALSE),"")</f>
        <v/>
      </c>
    </row>
    <row r="441">
      <c r="A441" t="n">
        <v>23</v>
      </c>
      <c r="B441" t="inlineStr">
        <is>
          <t>Landázuri Quiñones María Elia</t>
        </is>
      </c>
      <c r="C441" t="inlineStr">
        <is>
          <t>MARTES</t>
        </is>
      </c>
      <c r="D441" t="n">
        <v>4</v>
      </c>
      <c r="E441" t="n">
        <v>2</v>
      </c>
      <c r="F441" t="n">
        <v>2</v>
      </c>
      <c r="G441" t="inlineStr">
        <is>
          <t>09:05</t>
        </is>
      </c>
      <c r="H441" t="inlineStr">
        <is>
          <t>09:50</t>
        </is>
      </c>
      <c r="I441" t="inlineStr">
        <is>
          <t>AREAS_MULTIPLES</t>
        </is>
      </c>
      <c r="J441" t="inlineStr">
        <is>
          <t>0101</t>
        </is>
      </c>
      <c r="K441" t="inlineStr">
        <is>
          <t>ÁREAS MÚLTIPLES</t>
        </is>
      </c>
      <c r="L441" t="inlineStr"/>
      <c r="M441" t="inlineStr"/>
      <c r="N441" t="inlineStr"/>
      <c r="O441" t="inlineStr">
        <is>
          <t>Maestro de aula: todas las áreas con su grupo</t>
        </is>
      </c>
      <c r="P441" t="inlineStr"/>
      <c r="Q441">
        <f>IF(I441="ENFASIS","ÉNFASIS "&amp;M441,IFERROR(VLOOKUP(J441,Grupos!$A$2:$D$100,4,FALSE),J441))</f>
        <v/>
      </c>
      <c r="R441">
        <f>O441&amp;IF(N441&lt;&gt;"",IF(O441&lt;&gt;""," · ","")&amp;"Con: "&amp;N441,"")</f>
        <v/>
      </c>
      <c r="S441">
        <f>C441&amp;"|"&amp;D441</f>
        <v/>
      </c>
      <c r="T441">
        <f>COUNTIF($S$2:S441,S441)</f>
        <v/>
      </c>
      <c r="U441">
        <f>S441&amp;"|"&amp;T441</f>
        <v/>
      </c>
      <c r="V441">
        <f>IFERROR(VLOOKUP(IF(I441="ENFASIS",LEFT(M441,FIND("+",M441&amp;"+")-1),J441),Direccion_Grupo!$A$2:$G$100,7,FALSE),"")</f>
        <v/>
      </c>
    </row>
    <row r="442">
      <c r="A442" t="n">
        <v>45</v>
      </c>
      <c r="B442" t="inlineStr">
        <is>
          <t>Sinisterra Ana Lucía</t>
        </is>
      </c>
      <c r="C442" t="inlineStr">
        <is>
          <t>MARTES</t>
        </is>
      </c>
      <c r="D442" t="n">
        <v>4</v>
      </c>
      <c r="E442" t="n">
        <v>2</v>
      </c>
      <c r="F442" t="n">
        <v>2</v>
      </c>
      <c r="G442" t="inlineStr">
        <is>
          <t>09:05</t>
        </is>
      </c>
      <c r="H442" t="inlineStr">
        <is>
          <t>09:50</t>
        </is>
      </c>
      <c r="I442" t="inlineStr">
        <is>
          <t>AREAS_MULTIPLES</t>
        </is>
      </c>
      <c r="J442" t="inlineStr">
        <is>
          <t>0102</t>
        </is>
      </c>
      <c r="K442" t="inlineStr">
        <is>
          <t>ÁREAS MÚLTIPLES</t>
        </is>
      </c>
      <c r="L442" t="inlineStr"/>
      <c r="M442" t="inlineStr"/>
      <c r="N442" t="inlineStr"/>
      <c r="O442" t="inlineStr">
        <is>
          <t>Maestro de aula: todas las áreas con su grupo</t>
        </is>
      </c>
      <c r="P442" t="inlineStr"/>
      <c r="Q442">
        <f>IF(I442="ENFASIS","ÉNFASIS "&amp;M442,IFERROR(VLOOKUP(J442,Grupos!$A$2:$D$100,4,FALSE),J442))</f>
        <v/>
      </c>
      <c r="R442">
        <f>O442&amp;IF(N442&lt;&gt;"",IF(O442&lt;&gt;""," · ","")&amp;"Con: "&amp;N442,"")</f>
        <v/>
      </c>
      <c r="S442">
        <f>C442&amp;"|"&amp;D442</f>
        <v/>
      </c>
      <c r="T442">
        <f>COUNTIF($S$2:S442,S442)</f>
        <v/>
      </c>
      <c r="U442">
        <f>S442&amp;"|"&amp;T442</f>
        <v/>
      </c>
      <c r="V442">
        <f>IFERROR(VLOOKUP(IF(I442="ENFASIS",LEFT(M442,FIND("+",M442&amp;"+")-1),J442),Direccion_Grupo!$A$2:$G$100,7,FALSE),"")</f>
        <v/>
      </c>
    </row>
    <row r="443">
      <c r="A443" t="n">
        <v>13</v>
      </c>
      <c r="B443" t="inlineStr">
        <is>
          <t>Cortés Salazar María Ebelice</t>
        </is>
      </c>
      <c r="C443" t="inlineStr">
        <is>
          <t>MARTES</t>
        </is>
      </c>
      <c r="D443" t="n">
        <v>4</v>
      </c>
      <c r="E443" t="n">
        <v>2</v>
      </c>
      <c r="F443" t="n">
        <v>2</v>
      </c>
      <c r="G443" t="inlineStr">
        <is>
          <t>09:05</t>
        </is>
      </c>
      <c r="H443" t="inlineStr">
        <is>
          <t>09:50</t>
        </is>
      </c>
      <c r="I443" t="inlineStr">
        <is>
          <t>AREAS_MULTIPLES</t>
        </is>
      </c>
      <c r="J443" t="inlineStr">
        <is>
          <t>0201</t>
        </is>
      </c>
      <c r="K443" t="inlineStr">
        <is>
          <t>ÁREAS MÚLTIPLES</t>
        </is>
      </c>
      <c r="L443" t="inlineStr"/>
      <c r="M443" t="inlineStr"/>
      <c r="N443" t="inlineStr"/>
      <c r="O443" t="inlineStr">
        <is>
          <t>Maestro de aula: todas las áreas con su grupo</t>
        </is>
      </c>
      <c r="P443" t="inlineStr"/>
      <c r="Q443">
        <f>IF(I443="ENFASIS","ÉNFASIS "&amp;M443,IFERROR(VLOOKUP(J443,Grupos!$A$2:$D$100,4,FALSE),J443))</f>
        <v/>
      </c>
      <c r="R443">
        <f>O443&amp;IF(N443&lt;&gt;"",IF(O443&lt;&gt;""," · ","")&amp;"Con: "&amp;N443,"")</f>
        <v/>
      </c>
      <c r="S443">
        <f>C443&amp;"|"&amp;D443</f>
        <v/>
      </c>
      <c r="T443">
        <f>COUNTIF($S$2:S443,S443)</f>
        <v/>
      </c>
      <c r="U443">
        <f>S443&amp;"|"&amp;T443</f>
        <v/>
      </c>
      <c r="V443">
        <f>IFERROR(VLOOKUP(IF(I443="ENFASIS",LEFT(M443,FIND("+",M443&amp;"+")-1),J443),Direccion_Grupo!$A$2:$G$100,7,FALSE),"")</f>
        <v/>
      </c>
    </row>
    <row r="444">
      <c r="A444" t="n">
        <v>21</v>
      </c>
      <c r="B444" t="inlineStr">
        <is>
          <t>Garzón Quiñones Sixta Janina</t>
        </is>
      </c>
      <c r="C444" t="inlineStr">
        <is>
          <t>MARTES</t>
        </is>
      </c>
      <c r="D444" t="n">
        <v>4</v>
      </c>
      <c r="E444" t="n">
        <v>2</v>
      </c>
      <c r="F444" t="n">
        <v>2</v>
      </c>
      <c r="G444" t="inlineStr">
        <is>
          <t>09:05</t>
        </is>
      </c>
      <c r="H444" t="inlineStr">
        <is>
          <t>09:50</t>
        </is>
      </c>
      <c r="I444" t="inlineStr">
        <is>
          <t>AREAS_MULTIPLES</t>
        </is>
      </c>
      <c r="J444" t="inlineStr">
        <is>
          <t>0202</t>
        </is>
      </c>
      <c r="K444" t="inlineStr">
        <is>
          <t>ÁREAS MÚLTIPLES</t>
        </is>
      </c>
      <c r="L444" t="inlineStr"/>
      <c r="M444" t="inlineStr"/>
      <c r="N444" t="inlineStr"/>
      <c r="O444" t="inlineStr">
        <is>
          <t>Maestro de aula: todas las áreas con su grupo</t>
        </is>
      </c>
      <c r="P444" t="inlineStr"/>
      <c r="Q444">
        <f>IF(I444="ENFASIS","ÉNFASIS "&amp;M444,IFERROR(VLOOKUP(J444,Grupos!$A$2:$D$100,4,FALSE),J444))</f>
        <v/>
      </c>
      <c r="R444">
        <f>O444&amp;IF(N444&lt;&gt;"",IF(O444&lt;&gt;""," · ","")&amp;"Con: "&amp;N444,"")</f>
        <v/>
      </c>
      <c r="S444">
        <f>C444&amp;"|"&amp;D444</f>
        <v/>
      </c>
      <c r="T444">
        <f>COUNTIF($S$2:S444,S444)</f>
        <v/>
      </c>
      <c r="U444">
        <f>S444&amp;"|"&amp;T444</f>
        <v/>
      </c>
      <c r="V444">
        <f>IFERROR(VLOOKUP(IF(I444="ENFASIS",LEFT(M444,FIND("+",M444&amp;"+")-1),J444),Direccion_Grupo!$A$2:$G$100,7,FALSE),"")</f>
        <v/>
      </c>
    </row>
    <row r="445">
      <c r="A445" t="n">
        <v>46</v>
      </c>
      <c r="B445" t="inlineStr">
        <is>
          <t>Tenorio Cuero Lucy Bivian</t>
        </is>
      </c>
      <c r="C445" t="inlineStr">
        <is>
          <t>MARTES</t>
        </is>
      </c>
      <c r="D445" t="n">
        <v>4</v>
      </c>
      <c r="E445" t="n">
        <v>2</v>
      </c>
      <c r="F445" t="n">
        <v>2</v>
      </c>
      <c r="G445" t="inlineStr">
        <is>
          <t>09:05</t>
        </is>
      </c>
      <c r="H445" t="inlineStr">
        <is>
          <t>09:50</t>
        </is>
      </c>
      <c r="I445" t="inlineStr">
        <is>
          <t>AREAS_MULTIPLES</t>
        </is>
      </c>
      <c r="J445" t="inlineStr">
        <is>
          <t>0203</t>
        </is>
      </c>
      <c r="K445" t="inlineStr">
        <is>
          <t>ÁREAS MÚLTIPLES</t>
        </is>
      </c>
      <c r="L445" t="inlineStr"/>
      <c r="M445" t="inlineStr"/>
      <c r="N445" t="inlineStr"/>
      <c r="O445" t="inlineStr">
        <is>
          <t>Maestro de aula: todas las áreas con su grupo</t>
        </is>
      </c>
      <c r="P445" t="inlineStr"/>
      <c r="Q445">
        <f>IF(I445="ENFASIS","ÉNFASIS "&amp;M445,IFERROR(VLOOKUP(J445,Grupos!$A$2:$D$100,4,FALSE),J445))</f>
        <v/>
      </c>
      <c r="R445">
        <f>O445&amp;IF(N445&lt;&gt;"",IF(O445&lt;&gt;""," · ","")&amp;"Con: "&amp;N445,"")</f>
        <v/>
      </c>
      <c r="S445">
        <f>C445&amp;"|"&amp;D445</f>
        <v/>
      </c>
      <c r="T445">
        <f>COUNTIF($S$2:S445,S445)</f>
        <v/>
      </c>
      <c r="U445">
        <f>S445&amp;"|"&amp;T445</f>
        <v/>
      </c>
      <c r="V445">
        <f>IFERROR(VLOOKUP(IF(I445="ENFASIS",LEFT(M445,FIND("+",M445&amp;"+")-1),J445),Direccion_Grupo!$A$2:$G$100,7,FALSE),"")</f>
        <v/>
      </c>
    </row>
    <row r="446">
      <c r="A446" t="n">
        <v>48</v>
      </c>
      <c r="B446" t="inlineStr">
        <is>
          <t>Torres Segura Encarnación</t>
        </is>
      </c>
      <c r="C446" t="inlineStr">
        <is>
          <t>MARTES</t>
        </is>
      </c>
      <c r="D446" t="n">
        <v>4</v>
      </c>
      <c r="E446" t="n">
        <v>2</v>
      </c>
      <c r="F446" t="n">
        <v>2</v>
      </c>
      <c r="G446" t="inlineStr">
        <is>
          <t>09:05</t>
        </is>
      </c>
      <c r="H446" t="inlineStr">
        <is>
          <t>09:50</t>
        </is>
      </c>
      <c r="I446" t="inlineStr">
        <is>
          <t>AREAS_MULTIPLES</t>
        </is>
      </c>
      <c r="J446" t="inlineStr">
        <is>
          <t>0301</t>
        </is>
      </c>
      <c r="K446" t="inlineStr">
        <is>
          <t>ÁREAS MÚLTIPLES</t>
        </is>
      </c>
      <c r="L446" t="inlineStr"/>
      <c r="M446" t="inlineStr"/>
      <c r="N446" t="inlineStr"/>
      <c r="O446" t="inlineStr">
        <is>
          <t>Maestro de aula: todas las áreas con su grupo</t>
        </is>
      </c>
      <c r="P446" t="inlineStr"/>
      <c r="Q446">
        <f>IF(I446="ENFASIS","ÉNFASIS "&amp;M446,IFERROR(VLOOKUP(J446,Grupos!$A$2:$D$100,4,FALSE),J446))</f>
        <v/>
      </c>
      <c r="R446">
        <f>O446&amp;IF(N446&lt;&gt;"",IF(O446&lt;&gt;""," · ","")&amp;"Con: "&amp;N446,"")</f>
        <v/>
      </c>
      <c r="S446">
        <f>C446&amp;"|"&amp;D446</f>
        <v/>
      </c>
      <c r="T446">
        <f>COUNTIF($S$2:S446,S446)</f>
        <v/>
      </c>
      <c r="U446">
        <f>S446&amp;"|"&amp;T446</f>
        <v/>
      </c>
      <c r="V446">
        <f>IFERROR(VLOOKUP(IF(I446="ENFASIS",LEFT(M446,FIND("+",M446&amp;"+")-1),J446),Direccion_Grupo!$A$2:$G$100,7,FALSE),"")</f>
        <v/>
      </c>
    </row>
    <row r="447">
      <c r="A447" t="n">
        <v>24</v>
      </c>
      <c r="B447" t="inlineStr">
        <is>
          <t>Landázuri Gallón Teresa</t>
        </is>
      </c>
      <c r="C447" t="inlineStr">
        <is>
          <t>MARTES</t>
        </is>
      </c>
      <c r="D447" t="n">
        <v>4</v>
      </c>
      <c r="E447" t="n">
        <v>2</v>
      </c>
      <c r="F447" t="n">
        <v>2</v>
      </c>
      <c r="G447" t="inlineStr">
        <is>
          <t>09:05</t>
        </is>
      </c>
      <c r="H447" t="inlineStr">
        <is>
          <t>09:50</t>
        </is>
      </c>
      <c r="I447" t="inlineStr">
        <is>
          <t>AREAS_MULTIPLES</t>
        </is>
      </c>
      <c r="J447" t="inlineStr">
        <is>
          <t>0302</t>
        </is>
      </c>
      <c r="K447" t="inlineStr">
        <is>
          <t>ÁREAS MÚLTIPLES</t>
        </is>
      </c>
      <c r="L447" t="inlineStr"/>
      <c r="M447" t="inlineStr"/>
      <c r="N447" t="inlineStr"/>
      <c r="O447" t="inlineStr">
        <is>
          <t>Maestro de aula: todas las áreas con su grupo</t>
        </is>
      </c>
      <c r="P447" t="inlineStr"/>
      <c r="Q447">
        <f>IF(I447="ENFASIS","ÉNFASIS "&amp;M447,IFERROR(VLOOKUP(J447,Grupos!$A$2:$D$100,4,FALSE),J447))</f>
        <v/>
      </c>
      <c r="R447">
        <f>O447&amp;IF(N447&lt;&gt;"",IF(O447&lt;&gt;""," · ","")&amp;"Con: "&amp;N447,"")</f>
        <v/>
      </c>
      <c r="S447">
        <f>C447&amp;"|"&amp;D447</f>
        <v/>
      </c>
      <c r="T447">
        <f>COUNTIF($S$2:S447,S447)</f>
        <v/>
      </c>
      <c r="U447">
        <f>S447&amp;"|"&amp;T447</f>
        <v/>
      </c>
      <c r="V447">
        <f>IFERROR(VLOOKUP(IF(I447="ENFASIS",LEFT(M447,FIND("+",M447&amp;"+")-1),J447),Direccion_Grupo!$A$2:$G$100,7,FALSE),"")</f>
        <v/>
      </c>
    </row>
    <row r="448">
      <c r="A448" t="n">
        <v>55</v>
      </c>
      <c r="B448" t="inlineStr">
        <is>
          <t>Zamora Ordóñez Celia Pastora</t>
        </is>
      </c>
      <c r="C448" t="inlineStr">
        <is>
          <t>MARTES</t>
        </is>
      </c>
      <c r="D448" t="n">
        <v>4</v>
      </c>
      <c r="E448" t="n">
        <v>2</v>
      </c>
      <c r="F448" t="n">
        <v>2</v>
      </c>
      <c r="G448" t="inlineStr">
        <is>
          <t>09:05</t>
        </is>
      </c>
      <c r="H448" t="inlineStr">
        <is>
          <t>09:50</t>
        </is>
      </c>
      <c r="I448" t="inlineStr">
        <is>
          <t>AREAS_MULTIPLES</t>
        </is>
      </c>
      <c r="J448" t="inlineStr">
        <is>
          <t>0401</t>
        </is>
      </c>
      <c r="K448" t="inlineStr">
        <is>
          <t>ÁREAS MÚLTIPLES</t>
        </is>
      </c>
      <c r="L448" t="inlineStr"/>
      <c r="M448" t="inlineStr"/>
      <c r="N448" t="inlineStr"/>
      <c r="O448" t="inlineStr">
        <is>
          <t>Maestro de aula: todas las áreas con su grupo</t>
        </is>
      </c>
      <c r="P448" t="inlineStr"/>
      <c r="Q448">
        <f>IF(I448="ENFASIS","ÉNFASIS "&amp;M448,IFERROR(VLOOKUP(J448,Grupos!$A$2:$D$100,4,FALSE),J448))</f>
        <v/>
      </c>
      <c r="R448">
        <f>O448&amp;IF(N448&lt;&gt;"",IF(O448&lt;&gt;""," · ","")&amp;"Con: "&amp;N448,"")</f>
        <v/>
      </c>
      <c r="S448">
        <f>C448&amp;"|"&amp;D448</f>
        <v/>
      </c>
      <c r="T448">
        <f>COUNTIF($S$2:S448,S448)</f>
        <v/>
      </c>
      <c r="U448">
        <f>S448&amp;"|"&amp;T448</f>
        <v/>
      </c>
      <c r="V448">
        <f>IFERROR(VLOOKUP(IF(I448="ENFASIS",LEFT(M448,FIND("+",M448&amp;"+")-1),J448),Direccion_Grupo!$A$2:$G$100,7,FALSE),"")</f>
        <v/>
      </c>
    </row>
    <row r="449">
      <c r="A449" t="n">
        <v>33</v>
      </c>
      <c r="B449" t="inlineStr">
        <is>
          <t>Núñez Perlaza Elcy</t>
        </is>
      </c>
      <c r="C449" t="inlineStr">
        <is>
          <t>MARTES</t>
        </is>
      </c>
      <c r="D449" t="n">
        <v>4</v>
      </c>
      <c r="E449" t="n">
        <v>2</v>
      </c>
      <c r="F449" t="n">
        <v>2</v>
      </c>
      <c r="G449" t="inlineStr">
        <is>
          <t>09:05</t>
        </is>
      </c>
      <c r="H449" t="inlineStr">
        <is>
          <t>09:50</t>
        </is>
      </c>
      <c r="I449" t="inlineStr">
        <is>
          <t>AREAS_MULTIPLES</t>
        </is>
      </c>
      <c r="J449" t="inlineStr">
        <is>
          <t>0402</t>
        </is>
      </c>
      <c r="K449" t="inlineStr">
        <is>
          <t>ÁREAS MÚLTIPLES</t>
        </is>
      </c>
      <c r="L449" t="inlineStr"/>
      <c r="M449" t="inlineStr"/>
      <c r="N449" t="inlineStr"/>
      <c r="O449" t="inlineStr">
        <is>
          <t>Maestro de aula: todas las áreas con su grupo</t>
        </is>
      </c>
      <c r="P449" t="inlineStr"/>
      <c r="Q449">
        <f>IF(I449="ENFASIS","ÉNFASIS "&amp;M449,IFERROR(VLOOKUP(J449,Grupos!$A$2:$D$100,4,FALSE),J449))</f>
        <v/>
      </c>
      <c r="R449">
        <f>O449&amp;IF(N449&lt;&gt;"",IF(O449&lt;&gt;""," · ","")&amp;"Con: "&amp;N449,"")</f>
        <v/>
      </c>
      <c r="S449">
        <f>C449&amp;"|"&amp;D449</f>
        <v/>
      </c>
      <c r="T449">
        <f>COUNTIF($S$2:S449,S449)</f>
        <v/>
      </c>
      <c r="U449">
        <f>S449&amp;"|"&amp;T449</f>
        <v/>
      </c>
      <c r="V449">
        <f>IFERROR(VLOOKUP(IF(I449="ENFASIS",LEFT(M449,FIND("+",M449&amp;"+")-1),J449),Direccion_Grupo!$A$2:$G$100,7,FALSE),"")</f>
        <v/>
      </c>
    </row>
    <row r="450">
      <c r="A450" t="n">
        <v>14</v>
      </c>
      <c r="B450" t="inlineStr">
        <is>
          <t>Cuéllar Gallo Nemesia</t>
        </is>
      </c>
      <c r="C450" t="inlineStr">
        <is>
          <t>MARTES</t>
        </is>
      </c>
      <c r="D450" t="n">
        <v>4</v>
      </c>
      <c r="E450" t="n">
        <v>2</v>
      </c>
      <c r="F450" t="n">
        <v>2</v>
      </c>
      <c r="G450" t="inlineStr">
        <is>
          <t>09:05</t>
        </is>
      </c>
      <c r="H450" t="inlineStr">
        <is>
          <t>09:50</t>
        </is>
      </c>
      <c r="I450" t="inlineStr">
        <is>
          <t>AREAS_MULTIPLES</t>
        </is>
      </c>
      <c r="J450" t="inlineStr">
        <is>
          <t>0501</t>
        </is>
      </c>
      <c r="K450" t="inlineStr">
        <is>
          <t>ÁREAS MÚLTIPLES</t>
        </is>
      </c>
      <c r="L450" t="inlineStr"/>
      <c r="M450" t="inlineStr"/>
      <c r="N450" t="inlineStr"/>
      <c r="O450" t="inlineStr">
        <is>
          <t>Maestro de aula: todas las áreas con su grupo</t>
        </is>
      </c>
      <c r="P450" t="inlineStr"/>
      <c r="Q450">
        <f>IF(I450="ENFASIS","ÉNFASIS "&amp;M450,IFERROR(VLOOKUP(J450,Grupos!$A$2:$D$100,4,FALSE),J450))</f>
        <v/>
      </c>
      <c r="R450">
        <f>O450&amp;IF(N450&lt;&gt;"",IF(O450&lt;&gt;""," · ","")&amp;"Con: "&amp;N450,"")</f>
        <v/>
      </c>
      <c r="S450">
        <f>C450&amp;"|"&amp;D450</f>
        <v/>
      </c>
      <c r="T450">
        <f>COUNTIF($S$2:S450,S450)</f>
        <v/>
      </c>
      <c r="U450">
        <f>S450&amp;"|"&amp;T450</f>
        <v/>
      </c>
      <c r="V450">
        <f>IFERROR(VLOOKUP(IF(I450="ENFASIS",LEFT(M450,FIND("+",M450&amp;"+")-1),J450),Direccion_Grupo!$A$2:$G$100,7,FALSE),"")</f>
        <v/>
      </c>
    </row>
    <row r="451">
      <c r="A451" t="n">
        <v>11</v>
      </c>
      <c r="B451" t="inlineStr">
        <is>
          <t>Centeno Zúñiga Claudia Patricia</t>
        </is>
      </c>
      <c r="C451" t="inlineStr">
        <is>
          <t>MARTES</t>
        </is>
      </c>
      <c r="D451" t="n">
        <v>4</v>
      </c>
      <c r="E451" t="n">
        <v>2</v>
      </c>
      <c r="F451" t="n">
        <v>2</v>
      </c>
      <c r="G451" t="inlineStr">
        <is>
          <t>09:05</t>
        </is>
      </c>
      <c r="H451" t="inlineStr">
        <is>
          <t>09:50</t>
        </is>
      </c>
      <c r="I451" t="inlineStr">
        <is>
          <t>AREAS_MULTIPLES</t>
        </is>
      </c>
      <c r="J451" t="inlineStr">
        <is>
          <t>0502</t>
        </is>
      </c>
      <c r="K451" t="inlineStr">
        <is>
          <t>ÁREAS MÚLTIPLES</t>
        </is>
      </c>
      <c r="L451" t="inlineStr"/>
      <c r="M451" t="inlineStr"/>
      <c r="N451" t="inlineStr"/>
      <c r="O451" t="inlineStr">
        <is>
          <t>Maestro de aula: todas las áreas con su grupo</t>
        </is>
      </c>
      <c r="P451" t="inlineStr"/>
      <c r="Q451">
        <f>IF(I451="ENFASIS","ÉNFASIS "&amp;M451,IFERROR(VLOOKUP(J451,Grupos!$A$2:$D$100,4,FALSE),J451))</f>
        <v/>
      </c>
      <c r="R451">
        <f>O451&amp;IF(N451&lt;&gt;"",IF(O451&lt;&gt;""," · ","")&amp;"Con: "&amp;N451,"")</f>
        <v/>
      </c>
      <c r="S451">
        <f>C451&amp;"|"&amp;D451</f>
        <v/>
      </c>
      <c r="T451">
        <f>COUNTIF($S$2:S451,S451)</f>
        <v/>
      </c>
      <c r="U451">
        <f>S451&amp;"|"&amp;T451</f>
        <v/>
      </c>
      <c r="V451">
        <f>IFERROR(VLOOKUP(IF(I451="ENFASIS",LEFT(M451,FIND("+",M451&amp;"+")-1),J451),Direccion_Grupo!$A$2:$G$100,7,FALSE),"")</f>
        <v/>
      </c>
    </row>
    <row r="452">
      <c r="A452" t="n">
        <v>32</v>
      </c>
      <c r="B452" t="inlineStr">
        <is>
          <t>Narváez Sánchez Dora Alejandra</t>
        </is>
      </c>
      <c r="C452" t="inlineStr">
        <is>
          <t>MARTES</t>
        </is>
      </c>
      <c r="D452" t="n">
        <v>4</v>
      </c>
      <c r="E452" t="n">
        <v>2</v>
      </c>
      <c r="F452" t="n">
        <v>2</v>
      </c>
      <c r="G452" t="inlineStr">
        <is>
          <t>09:05</t>
        </is>
      </c>
      <c r="H452" t="inlineStr">
        <is>
          <t>09:50</t>
        </is>
      </c>
      <c r="I452" t="inlineStr">
        <is>
          <t>AREAS_MULTIPLES</t>
        </is>
      </c>
      <c r="J452" t="inlineStr">
        <is>
          <t>0503</t>
        </is>
      </c>
      <c r="K452" t="inlineStr">
        <is>
          <t>ÁREAS MÚLTIPLES</t>
        </is>
      </c>
      <c r="L452" t="inlineStr"/>
      <c r="M452" t="inlineStr"/>
      <c r="N452" t="inlineStr"/>
      <c r="O452" t="inlineStr">
        <is>
          <t>Maestro de aula: todas las áreas con su grupo</t>
        </is>
      </c>
      <c r="P452" t="inlineStr"/>
      <c r="Q452">
        <f>IF(I452="ENFASIS","ÉNFASIS "&amp;M452,IFERROR(VLOOKUP(J452,Grupos!$A$2:$D$100,4,FALSE),J452))</f>
        <v/>
      </c>
      <c r="R452">
        <f>O452&amp;IF(N452&lt;&gt;"",IF(O452&lt;&gt;""," · ","")&amp;"Con: "&amp;N452,"")</f>
        <v/>
      </c>
      <c r="S452">
        <f>C452&amp;"|"&amp;D452</f>
        <v/>
      </c>
      <c r="T452">
        <f>COUNTIF($S$2:S452,S452)</f>
        <v/>
      </c>
      <c r="U452">
        <f>S452&amp;"|"&amp;T452</f>
        <v/>
      </c>
      <c r="V452">
        <f>IFERROR(VLOOKUP(IF(I452="ENFASIS",LEFT(M452,FIND("+",M452&amp;"+")-1),J452),Direccion_Grupo!$A$2:$G$100,7,FALSE),"")</f>
        <v/>
      </c>
    </row>
    <row r="453">
      <c r="A453" t="n">
        <v>17</v>
      </c>
      <c r="B453" t="inlineStr">
        <is>
          <t>Escobar Cortés Liliana</t>
        </is>
      </c>
      <c r="C453" t="inlineStr">
        <is>
          <t>MARTES</t>
        </is>
      </c>
      <c r="D453" t="n">
        <v>4</v>
      </c>
      <c r="E453" t="n">
        <v>2</v>
      </c>
      <c r="F453" t="n">
        <v>2</v>
      </c>
      <c r="G453" t="inlineStr">
        <is>
          <t>09:05</t>
        </is>
      </c>
      <c r="H453" t="inlineStr">
        <is>
          <t>09:50</t>
        </is>
      </c>
      <c r="I453" t="inlineStr">
        <is>
          <t>AREAS_MULTIPLES</t>
        </is>
      </c>
      <c r="J453" t="inlineStr">
        <is>
          <t>0504</t>
        </is>
      </c>
      <c r="K453" t="inlineStr">
        <is>
          <t>ÁREAS MÚLTIPLES</t>
        </is>
      </c>
      <c r="L453" t="inlineStr"/>
      <c r="M453" t="inlineStr"/>
      <c r="N453" t="inlineStr"/>
      <c r="O453" t="inlineStr">
        <is>
          <t>Maestro de aula: todas las áreas con su grupo</t>
        </is>
      </c>
      <c r="P453" t="inlineStr"/>
      <c r="Q453">
        <f>IF(I453="ENFASIS","ÉNFASIS "&amp;M453,IFERROR(VLOOKUP(J453,Grupos!$A$2:$D$100,4,FALSE),J453))</f>
        <v/>
      </c>
      <c r="R453">
        <f>O453&amp;IF(N453&lt;&gt;"",IF(O453&lt;&gt;""," · ","")&amp;"Con: "&amp;N453,"")</f>
        <v/>
      </c>
      <c r="S453">
        <f>C453&amp;"|"&amp;D453</f>
        <v/>
      </c>
      <c r="T453">
        <f>COUNTIF($S$2:S453,S453)</f>
        <v/>
      </c>
      <c r="U453">
        <f>S453&amp;"|"&amp;T453</f>
        <v/>
      </c>
      <c r="V453">
        <f>IFERROR(VLOOKUP(IF(I453="ENFASIS",LEFT(M453,FIND("+",M453&amp;"+")-1),J453),Direccion_Grupo!$A$2:$G$100,7,FALSE),"")</f>
        <v/>
      </c>
    </row>
    <row r="454">
      <c r="A454" t="n">
        <v>37</v>
      </c>
      <c r="B454" t="inlineStr">
        <is>
          <t>Prado Quiñones Genís Maribel</t>
        </is>
      </c>
      <c r="C454" t="inlineStr">
        <is>
          <t>MARTES</t>
        </is>
      </c>
      <c r="D454" t="n">
        <v>4</v>
      </c>
      <c r="E454" t="n">
        <v>2</v>
      </c>
      <c r="F454" t="n">
        <v>2</v>
      </c>
      <c r="G454" t="inlineStr">
        <is>
          <t>09:05</t>
        </is>
      </c>
      <c r="H454" t="inlineStr">
        <is>
          <t>09:50</t>
        </is>
      </c>
      <c r="I454" t="inlineStr">
        <is>
          <t>CLASE</t>
        </is>
      </c>
      <c r="J454" t="inlineStr">
        <is>
          <t>0601</t>
        </is>
      </c>
      <c r="K454" t="inlineStr">
        <is>
          <t>CNA</t>
        </is>
      </c>
      <c r="L454" t="inlineStr"/>
      <c r="M454" t="inlineStr"/>
      <c r="N454" t="inlineStr"/>
      <c r="O454" t="inlineStr"/>
      <c r="P454" t="inlineStr">
        <is>
          <t>0601-CNA</t>
        </is>
      </c>
      <c r="Q454">
        <f>IF(I454="ENFASIS","ÉNFASIS "&amp;M454,IFERROR(VLOOKUP(J454,Grupos!$A$2:$D$100,4,FALSE),J454))</f>
        <v/>
      </c>
      <c r="R454">
        <f>O454&amp;IF(N454&lt;&gt;"",IF(O454&lt;&gt;""," · ","")&amp;"Con: "&amp;N454,"")</f>
        <v/>
      </c>
      <c r="S454">
        <f>C454&amp;"|"&amp;D454</f>
        <v/>
      </c>
      <c r="T454">
        <f>COUNTIF($S$2:S454,S454)</f>
        <v/>
      </c>
      <c r="U454">
        <f>S454&amp;"|"&amp;T454</f>
        <v/>
      </c>
      <c r="V454">
        <f>IFERROR(VLOOKUP(IF(I454="ENFASIS",LEFT(M454,FIND("+",M454&amp;"+")-1),J454),Direccion_Grupo!$A$2:$G$100,7,FALSE),"")</f>
        <v/>
      </c>
    </row>
    <row r="455">
      <c r="A455" t="n">
        <v>16</v>
      </c>
      <c r="B455" t="inlineStr">
        <is>
          <t>Cuero Rincón Hernando Jesús</t>
        </is>
      </c>
      <c r="C455" t="inlineStr">
        <is>
          <t>MARTES</t>
        </is>
      </c>
      <c r="D455" t="n">
        <v>4</v>
      </c>
      <c r="E455" t="n">
        <v>2</v>
      </c>
      <c r="F455" t="n">
        <v>2</v>
      </c>
      <c r="G455" t="inlineStr">
        <is>
          <t>09:05</t>
        </is>
      </c>
      <c r="H455" t="inlineStr">
        <is>
          <t>09:50</t>
        </is>
      </c>
      <c r="I455" t="inlineStr">
        <is>
          <t>CLASE</t>
        </is>
      </c>
      <c r="J455" t="inlineStr">
        <is>
          <t>0602</t>
        </is>
      </c>
      <c r="K455" t="inlineStr">
        <is>
          <t>CAS</t>
        </is>
      </c>
      <c r="L455" t="inlineStr"/>
      <c r="M455" t="inlineStr"/>
      <c r="N455" t="inlineStr"/>
      <c r="O455" t="inlineStr"/>
      <c r="P455" t="inlineStr">
        <is>
          <t>0602-CAS</t>
        </is>
      </c>
      <c r="Q455">
        <f>IF(I455="ENFASIS","ÉNFASIS "&amp;M455,IFERROR(VLOOKUP(J455,Grupos!$A$2:$D$100,4,FALSE),J455))</f>
        <v/>
      </c>
      <c r="R455">
        <f>O455&amp;IF(N455&lt;&gt;"",IF(O455&lt;&gt;""," · ","")&amp;"Con: "&amp;N455,"")</f>
        <v/>
      </c>
      <c r="S455">
        <f>C455&amp;"|"&amp;D455</f>
        <v/>
      </c>
      <c r="T455">
        <f>COUNTIF($S$2:S455,S455)</f>
        <v/>
      </c>
      <c r="U455">
        <f>S455&amp;"|"&amp;T455</f>
        <v/>
      </c>
      <c r="V455">
        <f>IFERROR(VLOOKUP(IF(I455="ENFASIS",LEFT(M455,FIND("+",M455&amp;"+")-1),J455),Direccion_Grupo!$A$2:$G$100,7,FALSE),"")</f>
        <v/>
      </c>
    </row>
    <row r="456">
      <c r="A456" t="n">
        <v>52</v>
      </c>
      <c r="B456" t="inlineStr">
        <is>
          <t>Vásquez Valencia Segundo Leoncio</t>
        </is>
      </c>
      <c r="C456" t="inlineStr">
        <is>
          <t>MARTES</t>
        </is>
      </c>
      <c r="D456" t="n">
        <v>4</v>
      </c>
      <c r="E456" t="n">
        <v>2</v>
      </c>
      <c r="F456" t="n">
        <v>2</v>
      </c>
      <c r="G456" t="inlineStr">
        <is>
          <t>09:05</t>
        </is>
      </c>
      <c r="H456" t="inlineStr">
        <is>
          <t>09:50</t>
        </is>
      </c>
      <c r="I456" t="inlineStr">
        <is>
          <t>CLASE</t>
        </is>
      </c>
      <c r="J456" t="inlineStr">
        <is>
          <t>0701</t>
        </is>
      </c>
      <c r="K456" t="inlineStr">
        <is>
          <t>MAT</t>
        </is>
      </c>
      <c r="L456" t="inlineStr"/>
      <c r="M456" t="inlineStr"/>
      <c r="N456" t="inlineStr"/>
      <c r="O456" t="inlineStr"/>
      <c r="P456" t="inlineStr">
        <is>
          <t>0701-MAT</t>
        </is>
      </c>
      <c r="Q456">
        <f>IF(I456="ENFASIS","ÉNFASIS "&amp;M456,IFERROR(VLOOKUP(J456,Grupos!$A$2:$D$100,4,FALSE),J456))</f>
        <v/>
      </c>
      <c r="R456">
        <f>O456&amp;IF(N456&lt;&gt;"",IF(O456&lt;&gt;""," · ","")&amp;"Con: "&amp;N456,"")</f>
        <v/>
      </c>
      <c r="S456">
        <f>C456&amp;"|"&amp;D456</f>
        <v/>
      </c>
      <c r="T456">
        <f>COUNTIF($S$2:S456,S456)</f>
        <v/>
      </c>
      <c r="U456">
        <f>S456&amp;"|"&amp;T456</f>
        <v/>
      </c>
      <c r="V456">
        <f>IFERROR(VLOOKUP(IF(I456="ENFASIS",LEFT(M456,FIND("+",M456&amp;"+")-1),J456),Direccion_Grupo!$A$2:$G$100,7,FALSE),"")</f>
        <v/>
      </c>
    </row>
    <row r="457">
      <c r="A457" t="n">
        <v>1</v>
      </c>
      <c r="B457" t="inlineStr">
        <is>
          <t>Aguirre Riascos Jorge Andrés</t>
        </is>
      </c>
      <c r="C457" t="inlineStr">
        <is>
          <t>MARTES</t>
        </is>
      </c>
      <c r="D457" t="n">
        <v>4</v>
      </c>
      <c r="E457" t="n">
        <v>2</v>
      </c>
      <c r="F457" t="n">
        <v>2</v>
      </c>
      <c r="G457" t="inlineStr">
        <is>
          <t>09:05</t>
        </is>
      </c>
      <c r="H457" t="inlineStr">
        <is>
          <t>09:50</t>
        </is>
      </c>
      <c r="I457" t="inlineStr">
        <is>
          <t>CLASE</t>
        </is>
      </c>
      <c r="J457" t="inlineStr">
        <is>
          <t>0702</t>
        </is>
      </c>
      <c r="K457" t="inlineStr">
        <is>
          <t>TEI</t>
        </is>
      </c>
      <c r="L457" t="inlineStr"/>
      <c r="M457" t="inlineStr"/>
      <c r="N457" t="inlineStr"/>
      <c r="O457" t="inlineStr"/>
      <c r="P457" t="inlineStr">
        <is>
          <t>0702-TEI</t>
        </is>
      </c>
      <c r="Q457">
        <f>IF(I457="ENFASIS","ÉNFASIS "&amp;M457,IFERROR(VLOOKUP(J457,Grupos!$A$2:$D$100,4,FALSE),J457))</f>
        <v/>
      </c>
      <c r="R457">
        <f>O457&amp;IF(N457&lt;&gt;"",IF(O457&lt;&gt;""," · ","")&amp;"Con: "&amp;N457,"")</f>
        <v/>
      </c>
      <c r="S457">
        <f>C457&amp;"|"&amp;D457</f>
        <v/>
      </c>
      <c r="T457">
        <f>COUNTIF($S$2:S457,S457)</f>
        <v/>
      </c>
      <c r="U457">
        <f>S457&amp;"|"&amp;T457</f>
        <v/>
      </c>
      <c r="V457">
        <f>IFERROR(VLOOKUP(IF(I457="ENFASIS",LEFT(M457,FIND("+",M457&amp;"+")-1),J457),Direccion_Grupo!$A$2:$G$100,7,FALSE),"")</f>
        <v/>
      </c>
    </row>
    <row r="458">
      <c r="A458" t="n">
        <v>39</v>
      </c>
      <c r="B458" t="inlineStr">
        <is>
          <t>Puches Ana Milena</t>
        </is>
      </c>
      <c r="C458" t="inlineStr">
        <is>
          <t>MARTES</t>
        </is>
      </c>
      <c r="D458" t="n">
        <v>4</v>
      </c>
      <c r="E458" t="n">
        <v>2</v>
      </c>
      <c r="F458" t="n">
        <v>2</v>
      </c>
      <c r="G458" t="inlineStr">
        <is>
          <t>09:05</t>
        </is>
      </c>
      <c r="H458" t="inlineStr">
        <is>
          <t>09:50</t>
        </is>
      </c>
      <c r="I458" t="inlineStr">
        <is>
          <t>CLASE</t>
        </is>
      </c>
      <c r="J458" t="inlineStr">
        <is>
          <t>0703</t>
        </is>
      </c>
      <c r="K458" t="inlineStr">
        <is>
          <t>ART</t>
        </is>
      </c>
      <c r="L458" t="inlineStr"/>
      <c r="M458" t="inlineStr"/>
      <c r="N458" t="inlineStr"/>
      <c r="O458" t="inlineStr"/>
      <c r="P458" t="inlineStr">
        <is>
          <t>0703-ART</t>
        </is>
      </c>
      <c r="Q458">
        <f>IF(I458="ENFASIS","ÉNFASIS "&amp;M458,IFERROR(VLOOKUP(J458,Grupos!$A$2:$D$100,4,FALSE),J458))</f>
        <v/>
      </c>
      <c r="R458">
        <f>O458&amp;IF(N458&lt;&gt;"",IF(O458&lt;&gt;""," · ","")&amp;"Con: "&amp;N458,"")</f>
        <v/>
      </c>
      <c r="S458">
        <f>C458&amp;"|"&amp;D458</f>
        <v/>
      </c>
      <c r="T458">
        <f>COUNTIF($S$2:S458,S458)</f>
        <v/>
      </c>
      <c r="U458">
        <f>S458&amp;"|"&amp;T458</f>
        <v/>
      </c>
      <c r="V458">
        <f>IFERROR(VLOOKUP(IF(I458="ENFASIS",LEFT(M458,FIND("+",M458&amp;"+")-1),J458),Direccion_Grupo!$A$2:$G$100,7,FALSE),"")</f>
        <v/>
      </c>
    </row>
    <row r="459">
      <c r="A459" t="n">
        <v>41</v>
      </c>
      <c r="B459" t="inlineStr">
        <is>
          <t>Quintero Ramírez María del Carmen</t>
        </is>
      </c>
      <c r="C459" t="inlineStr">
        <is>
          <t>MARTES</t>
        </is>
      </c>
      <c r="D459" t="n">
        <v>4</v>
      </c>
      <c r="E459" t="n">
        <v>2</v>
      </c>
      <c r="F459" t="n">
        <v>2</v>
      </c>
      <c r="G459" t="inlineStr">
        <is>
          <t>09:05</t>
        </is>
      </c>
      <c r="H459" t="inlineStr">
        <is>
          <t>09:50</t>
        </is>
      </c>
      <c r="I459" t="inlineStr">
        <is>
          <t>CLASE</t>
        </is>
      </c>
      <c r="J459" t="inlineStr">
        <is>
          <t>0704</t>
        </is>
      </c>
      <c r="K459" t="inlineStr">
        <is>
          <t>CSI</t>
        </is>
      </c>
      <c r="L459" t="inlineStr"/>
      <c r="M459" t="inlineStr"/>
      <c r="N459" t="inlineStr"/>
      <c r="O459" t="inlineStr">
        <is>
          <t>Sociales / Inglés (alternan cada semana)</t>
        </is>
      </c>
      <c r="P459" t="inlineStr">
        <is>
          <t>0704-CSI</t>
        </is>
      </c>
      <c r="Q459">
        <f>IF(I459="ENFASIS","ÉNFASIS "&amp;M459,IFERROR(VLOOKUP(J459,Grupos!$A$2:$D$100,4,FALSE),J459))</f>
        <v/>
      </c>
      <c r="R459">
        <f>O459&amp;IF(N459&lt;&gt;"",IF(O459&lt;&gt;""," · ","")&amp;"Con: "&amp;N459,"")</f>
        <v/>
      </c>
      <c r="S459">
        <f>C459&amp;"|"&amp;D459</f>
        <v/>
      </c>
      <c r="T459">
        <f>COUNTIF($S$2:S459,S459)</f>
        <v/>
      </c>
      <c r="U459">
        <f>S459&amp;"|"&amp;T459</f>
        <v/>
      </c>
      <c r="V459">
        <f>IFERROR(VLOOKUP(IF(I459="ENFASIS",LEFT(M459,FIND("+",M459&amp;"+")-1),J459),Direccion_Grupo!$A$2:$G$100,7,FALSE),"")</f>
        <v/>
      </c>
    </row>
    <row r="460">
      <c r="A460" t="n">
        <v>9</v>
      </c>
      <c r="B460" t="inlineStr">
        <is>
          <t>Castillo Angulo Martha Cecilia</t>
        </is>
      </c>
      <c r="C460" t="inlineStr">
        <is>
          <t>MARTES</t>
        </is>
      </c>
      <c r="D460" t="n">
        <v>4</v>
      </c>
      <c r="E460" t="n">
        <v>2</v>
      </c>
      <c r="F460" t="n">
        <v>2</v>
      </c>
      <c r="G460" t="inlineStr">
        <is>
          <t>09:05</t>
        </is>
      </c>
      <c r="H460" t="inlineStr">
        <is>
          <t>09:50</t>
        </is>
      </c>
      <c r="I460" t="inlineStr">
        <is>
          <t>CLASE</t>
        </is>
      </c>
      <c r="J460" t="inlineStr">
        <is>
          <t>0802</t>
        </is>
      </c>
      <c r="K460" t="inlineStr">
        <is>
          <t>ETR</t>
        </is>
      </c>
      <c r="L460" t="inlineStr"/>
      <c r="M460" t="inlineStr"/>
      <c r="N460" t="inlineStr"/>
      <c r="O460" t="inlineStr">
        <is>
          <t>Ética / Religión (alternan cada semana)</t>
        </is>
      </c>
      <c r="P460" t="inlineStr">
        <is>
          <t>0802-ETR</t>
        </is>
      </c>
      <c r="Q460">
        <f>IF(I460="ENFASIS","ÉNFASIS "&amp;M460,IFERROR(VLOOKUP(J460,Grupos!$A$2:$D$100,4,FALSE),J460))</f>
        <v/>
      </c>
      <c r="R460">
        <f>O460&amp;IF(N460&lt;&gt;"",IF(O460&lt;&gt;""," · ","")&amp;"Con: "&amp;N460,"")</f>
        <v/>
      </c>
      <c r="S460">
        <f>C460&amp;"|"&amp;D460</f>
        <v/>
      </c>
      <c r="T460">
        <f>COUNTIF($S$2:S460,S460)</f>
        <v/>
      </c>
      <c r="U460">
        <f>S460&amp;"|"&amp;T460</f>
        <v/>
      </c>
      <c r="V460">
        <f>IFERROR(VLOOKUP(IF(I460="ENFASIS",LEFT(M460,FIND("+",M460&amp;"+")-1),J460),Direccion_Grupo!$A$2:$G$100,7,FALSE),"")</f>
        <v/>
      </c>
    </row>
    <row r="461">
      <c r="A461" t="n">
        <v>18</v>
      </c>
      <c r="B461" t="inlineStr">
        <is>
          <t>Estacio Estupiñán Rosario</t>
        </is>
      </c>
      <c r="C461" t="inlineStr">
        <is>
          <t>MARTES</t>
        </is>
      </c>
      <c r="D461" t="n">
        <v>4</v>
      </c>
      <c r="E461" t="n">
        <v>2</v>
      </c>
      <c r="F461" t="n">
        <v>2</v>
      </c>
      <c r="G461" t="inlineStr">
        <is>
          <t>09:05</t>
        </is>
      </c>
      <c r="H461" t="inlineStr">
        <is>
          <t>09:50</t>
        </is>
      </c>
      <c r="I461" t="inlineStr">
        <is>
          <t>CLASE</t>
        </is>
      </c>
      <c r="J461" t="inlineStr">
        <is>
          <t>0901</t>
        </is>
      </c>
      <c r="K461" t="inlineStr">
        <is>
          <t>ETR</t>
        </is>
      </c>
      <c r="L461" t="inlineStr"/>
      <c r="M461" t="inlineStr"/>
      <c r="N461" t="inlineStr"/>
      <c r="O461" t="inlineStr">
        <is>
          <t>Ética / Religión (alternan cada semana)</t>
        </is>
      </c>
      <c r="P461" t="inlineStr">
        <is>
          <t>0901-ETR</t>
        </is>
      </c>
      <c r="Q461">
        <f>IF(I461="ENFASIS","ÉNFASIS "&amp;M461,IFERROR(VLOOKUP(J461,Grupos!$A$2:$D$100,4,FALSE),J461))</f>
        <v/>
      </c>
      <c r="R461">
        <f>O461&amp;IF(N461&lt;&gt;"",IF(O461&lt;&gt;""," · ","")&amp;"Con: "&amp;N461,"")</f>
        <v/>
      </c>
      <c r="S461">
        <f>C461&amp;"|"&amp;D461</f>
        <v/>
      </c>
      <c r="T461">
        <f>COUNTIF($S$2:S461,S461)</f>
        <v/>
      </c>
      <c r="U461">
        <f>S461&amp;"|"&amp;T461</f>
        <v/>
      </c>
      <c r="V461">
        <f>IFERROR(VLOOKUP(IF(I461="ENFASIS",LEFT(M461,FIND("+",M461&amp;"+")-1),J461),Direccion_Grupo!$A$2:$G$100,7,FALSE),"")</f>
        <v/>
      </c>
    </row>
    <row r="462">
      <c r="A462" t="n">
        <v>5</v>
      </c>
      <c r="B462" t="inlineStr">
        <is>
          <t>Bastidas Valencia Zeneida Judith</t>
        </is>
      </c>
      <c r="C462" t="inlineStr">
        <is>
          <t>MARTES</t>
        </is>
      </c>
      <c r="D462" t="n">
        <v>4</v>
      </c>
      <c r="E462" t="n">
        <v>2</v>
      </c>
      <c r="F462" t="n">
        <v>2</v>
      </c>
      <c r="G462" t="inlineStr">
        <is>
          <t>09:05</t>
        </is>
      </c>
      <c r="H462" t="inlineStr">
        <is>
          <t>09:50</t>
        </is>
      </c>
      <c r="I462" t="inlineStr">
        <is>
          <t>CLASE</t>
        </is>
      </c>
      <c r="J462" t="inlineStr">
        <is>
          <t>0902</t>
        </is>
      </c>
      <c r="K462" t="inlineStr">
        <is>
          <t>MAT</t>
        </is>
      </c>
      <c r="L462" t="inlineStr"/>
      <c r="M462" t="inlineStr"/>
      <c r="N462" t="inlineStr"/>
      <c r="O462" t="inlineStr"/>
      <c r="P462" t="inlineStr">
        <is>
          <t>0902-MAT</t>
        </is>
      </c>
      <c r="Q462">
        <f>IF(I462="ENFASIS","ÉNFASIS "&amp;M462,IFERROR(VLOOKUP(J462,Grupos!$A$2:$D$100,4,FALSE),J462))</f>
        <v/>
      </c>
      <c r="R462">
        <f>O462&amp;IF(N462&lt;&gt;"",IF(O462&lt;&gt;""," · ","")&amp;"Con: "&amp;N462,"")</f>
        <v/>
      </c>
      <c r="S462">
        <f>C462&amp;"|"&amp;D462</f>
        <v/>
      </c>
      <c r="T462">
        <f>COUNTIF($S$2:S462,S462)</f>
        <v/>
      </c>
      <c r="U462">
        <f>S462&amp;"|"&amp;T462</f>
        <v/>
      </c>
      <c r="V462">
        <f>IFERROR(VLOOKUP(IF(I462="ENFASIS",LEFT(M462,FIND("+",M462&amp;"+")-1),J462),Direccion_Grupo!$A$2:$G$100,7,FALSE),"")</f>
        <v/>
      </c>
    </row>
    <row r="463">
      <c r="A463" t="n">
        <v>29</v>
      </c>
      <c r="B463" t="inlineStr">
        <is>
          <t>Mindineros Satizábal John Jáver</t>
        </is>
      </c>
      <c r="C463" t="inlineStr">
        <is>
          <t>MARTES</t>
        </is>
      </c>
      <c r="D463" t="n">
        <v>4</v>
      </c>
      <c r="E463" t="n">
        <v>2</v>
      </c>
      <c r="F463" t="n">
        <v>2</v>
      </c>
      <c r="G463" t="inlineStr">
        <is>
          <t>09:05</t>
        </is>
      </c>
      <c r="H463" t="inlineStr">
        <is>
          <t>09:50</t>
        </is>
      </c>
      <c r="I463" t="inlineStr">
        <is>
          <t>CLASE</t>
        </is>
      </c>
      <c r="J463" t="inlineStr">
        <is>
          <t>1001</t>
        </is>
      </c>
      <c r="K463" t="inlineStr">
        <is>
          <t>TEI</t>
        </is>
      </c>
      <c r="L463" t="inlineStr"/>
      <c r="M463" t="inlineStr"/>
      <c r="N463" t="inlineStr"/>
      <c r="O463" t="inlineStr"/>
      <c r="P463" t="inlineStr">
        <is>
          <t>1001-TEI</t>
        </is>
      </c>
      <c r="Q463">
        <f>IF(I463="ENFASIS","ÉNFASIS "&amp;M463,IFERROR(VLOOKUP(J463,Grupos!$A$2:$D$100,4,FALSE),J463))</f>
        <v/>
      </c>
      <c r="R463">
        <f>O463&amp;IF(N463&lt;&gt;"",IF(O463&lt;&gt;""," · ","")&amp;"Con: "&amp;N463,"")</f>
        <v/>
      </c>
      <c r="S463">
        <f>C463&amp;"|"&amp;D463</f>
        <v/>
      </c>
      <c r="T463">
        <f>COUNTIF($S$2:S463,S463)</f>
        <v/>
      </c>
      <c r="U463">
        <f>S463&amp;"|"&amp;T463</f>
        <v/>
      </c>
      <c r="V463">
        <f>IFERROR(VLOOKUP(IF(I463="ENFASIS",LEFT(M463,FIND("+",M463&amp;"+")-1),J463),Direccion_Grupo!$A$2:$G$100,7,FALSE),"")</f>
        <v/>
      </c>
    </row>
    <row r="464">
      <c r="A464" t="n">
        <v>2</v>
      </c>
      <c r="B464" t="inlineStr">
        <is>
          <t>Angulo Lucero Andrés Mauricio</t>
        </is>
      </c>
      <c r="C464" t="inlineStr">
        <is>
          <t>MARTES</t>
        </is>
      </c>
      <c r="D464" t="n">
        <v>4</v>
      </c>
      <c r="E464" t="n">
        <v>2</v>
      </c>
      <c r="F464" t="n">
        <v>2</v>
      </c>
      <c r="G464" t="inlineStr">
        <is>
          <t>09:05</t>
        </is>
      </c>
      <c r="H464" t="inlineStr">
        <is>
          <t>09:50</t>
        </is>
      </c>
      <c r="I464" t="inlineStr">
        <is>
          <t>CLASE</t>
        </is>
      </c>
      <c r="J464" t="inlineStr">
        <is>
          <t>1002</t>
        </is>
      </c>
      <c r="K464" t="inlineStr">
        <is>
          <t>TEI</t>
        </is>
      </c>
      <c r="L464" t="inlineStr"/>
      <c r="M464" t="inlineStr"/>
      <c r="N464" t="inlineStr"/>
      <c r="O464" t="inlineStr"/>
      <c r="P464" t="inlineStr">
        <is>
          <t>1002-TEI</t>
        </is>
      </c>
      <c r="Q464">
        <f>IF(I464="ENFASIS","ÉNFASIS "&amp;M464,IFERROR(VLOOKUP(J464,Grupos!$A$2:$D$100,4,FALSE),J464))</f>
        <v/>
      </c>
      <c r="R464">
        <f>O464&amp;IF(N464&lt;&gt;"",IF(O464&lt;&gt;""," · ","")&amp;"Con: "&amp;N464,"")</f>
        <v/>
      </c>
      <c r="S464">
        <f>C464&amp;"|"&amp;D464</f>
        <v/>
      </c>
      <c r="T464">
        <f>COUNTIF($S$2:S464,S464)</f>
        <v/>
      </c>
      <c r="U464">
        <f>S464&amp;"|"&amp;T464</f>
        <v/>
      </c>
      <c r="V464">
        <f>IFERROR(VLOOKUP(IF(I464="ENFASIS",LEFT(M464,FIND("+",M464&amp;"+")-1),J464),Direccion_Grupo!$A$2:$G$100,7,FALSE),"")</f>
        <v/>
      </c>
    </row>
    <row r="465">
      <c r="A465" t="n">
        <v>40</v>
      </c>
      <c r="B465" t="inlineStr">
        <is>
          <t>Pulgarín Ortiz César Marino</t>
        </is>
      </c>
      <c r="C465" t="inlineStr">
        <is>
          <t>MARTES</t>
        </is>
      </c>
      <c r="D465" t="n">
        <v>4</v>
      </c>
      <c r="E465" t="n">
        <v>2</v>
      </c>
      <c r="F465" t="n">
        <v>2</v>
      </c>
      <c r="G465" t="inlineStr">
        <is>
          <t>09:05</t>
        </is>
      </c>
      <c r="H465" t="inlineStr">
        <is>
          <t>09:50</t>
        </is>
      </c>
      <c r="I465" t="inlineStr">
        <is>
          <t>CLASE</t>
        </is>
      </c>
      <c r="J465" t="inlineStr">
        <is>
          <t>1102</t>
        </is>
      </c>
      <c r="K465" t="inlineStr">
        <is>
          <t>CSI</t>
        </is>
      </c>
      <c r="L465" t="inlineStr"/>
      <c r="M465" t="inlineStr"/>
      <c r="N465" t="inlineStr"/>
      <c r="O465" t="inlineStr">
        <is>
          <t>Sociales / Inglés (alternan cada semana)</t>
        </is>
      </c>
      <c r="P465" t="inlineStr">
        <is>
          <t>1102-CSI</t>
        </is>
      </c>
      <c r="Q465">
        <f>IF(I465="ENFASIS","ÉNFASIS "&amp;M465,IFERROR(VLOOKUP(J465,Grupos!$A$2:$D$100,4,FALSE),J465))</f>
        <v/>
      </c>
      <c r="R465">
        <f>O465&amp;IF(N465&lt;&gt;"",IF(O465&lt;&gt;""," · ","")&amp;"Con: "&amp;N465,"")</f>
        <v/>
      </c>
      <c r="S465">
        <f>C465&amp;"|"&amp;D465</f>
        <v/>
      </c>
      <c r="T465">
        <f>COUNTIF($S$2:S465,S465)</f>
        <v/>
      </c>
      <c r="U465">
        <f>S465&amp;"|"&amp;T465</f>
        <v/>
      </c>
      <c r="V465">
        <f>IFERROR(VLOOKUP(IF(I465="ENFASIS",LEFT(M465,FIND("+",M465&amp;"+")-1),J465),Direccion_Grupo!$A$2:$G$100,7,FALSE),"")</f>
        <v/>
      </c>
    </row>
    <row r="466">
      <c r="A466" t="n">
        <v>42</v>
      </c>
      <c r="B466" t="inlineStr">
        <is>
          <t>Quiñones Cabezas Marcos Vidal</t>
        </is>
      </c>
      <c r="C466" t="inlineStr">
        <is>
          <t>MARTES</t>
        </is>
      </c>
      <c r="D466" t="n">
        <v>4</v>
      </c>
      <c r="E466" t="n">
        <v>2</v>
      </c>
      <c r="F466" t="n">
        <v>2</v>
      </c>
      <c r="G466" t="inlineStr">
        <is>
          <t>09:05</t>
        </is>
      </c>
      <c r="H466" t="inlineStr">
        <is>
          <t>09:50</t>
        </is>
      </c>
      <c r="I466" t="inlineStr">
        <is>
          <t>CLASE</t>
        </is>
      </c>
      <c r="J466" t="inlineStr">
        <is>
          <t>CS101</t>
        </is>
      </c>
      <c r="K466" t="inlineStr">
        <is>
          <t>MAT</t>
        </is>
      </c>
      <c r="L466" t="inlineStr"/>
      <c r="M466" t="inlineStr"/>
      <c r="N466" t="inlineStr"/>
      <c r="O466" t="inlineStr"/>
      <c r="P466" t="inlineStr">
        <is>
          <t>CS101-MAT</t>
        </is>
      </c>
      <c r="Q466">
        <f>IF(I466="ENFASIS","ÉNFASIS "&amp;M466,IFERROR(VLOOKUP(J466,Grupos!$A$2:$D$100,4,FALSE),J466))</f>
        <v/>
      </c>
      <c r="R466">
        <f>O466&amp;IF(N466&lt;&gt;"",IF(O466&lt;&gt;""," · ","")&amp;"Con: "&amp;N466,"")</f>
        <v/>
      </c>
      <c r="S466">
        <f>C466&amp;"|"&amp;D466</f>
        <v/>
      </c>
      <c r="T466">
        <f>COUNTIF($S$2:S466,S466)</f>
        <v/>
      </c>
      <c r="U466">
        <f>S466&amp;"|"&amp;T466</f>
        <v/>
      </c>
      <c r="V466">
        <f>IFERROR(VLOOKUP(IF(I466="ENFASIS",LEFT(M466,FIND("+",M466&amp;"+")-1),J466),Direccion_Grupo!$A$2:$G$100,7,FALSE),"")</f>
        <v/>
      </c>
    </row>
    <row r="467">
      <c r="A467" t="n">
        <v>26</v>
      </c>
      <c r="B467" t="inlineStr">
        <is>
          <t>Lozano Torres Amanda Inés</t>
        </is>
      </c>
      <c r="C467" t="inlineStr">
        <is>
          <t>MARTES</t>
        </is>
      </c>
      <c r="D467" t="n">
        <v>4</v>
      </c>
      <c r="E467" t="n">
        <v>2</v>
      </c>
      <c r="F467" t="n">
        <v>2</v>
      </c>
      <c r="G467" t="inlineStr">
        <is>
          <t>09:05</t>
        </is>
      </c>
      <c r="H467" t="inlineStr">
        <is>
          <t>09:50</t>
        </is>
      </c>
      <c r="I467" t="inlineStr">
        <is>
          <t>CLASE</t>
        </is>
      </c>
      <c r="J467" t="inlineStr">
        <is>
          <t>CS102</t>
        </is>
      </c>
      <c r="K467" t="inlineStr">
        <is>
          <t>ETR</t>
        </is>
      </c>
      <c r="L467" t="inlineStr"/>
      <c r="M467" t="inlineStr"/>
      <c r="N467" t="inlineStr"/>
      <c r="O467" t="inlineStr">
        <is>
          <t>Ética / Religión (alternan cada semana)</t>
        </is>
      </c>
      <c r="P467" t="inlineStr">
        <is>
          <t>CS102-ETR</t>
        </is>
      </c>
      <c r="Q467">
        <f>IF(I467="ENFASIS","ÉNFASIS "&amp;M467,IFERROR(VLOOKUP(J467,Grupos!$A$2:$D$100,4,FALSE),J467))</f>
        <v/>
      </c>
      <c r="R467">
        <f>O467&amp;IF(N467&lt;&gt;"",IF(O467&lt;&gt;""," · ","")&amp;"Con: "&amp;N467,"")</f>
        <v/>
      </c>
      <c r="S467">
        <f>C467&amp;"|"&amp;D467</f>
        <v/>
      </c>
      <c r="T467">
        <f>COUNTIF($S$2:S467,S467)</f>
        <v/>
      </c>
      <c r="U467">
        <f>S467&amp;"|"&amp;T467</f>
        <v/>
      </c>
      <c r="V467">
        <f>IFERROR(VLOOKUP(IF(I467="ENFASIS",LEFT(M467,FIND("+",M467&amp;"+")-1),J467),Direccion_Grupo!$A$2:$G$100,7,FALSE),"")</f>
        <v/>
      </c>
    </row>
    <row r="468">
      <c r="A468" t="n">
        <v>35</v>
      </c>
      <c r="B468" t="inlineStr">
        <is>
          <t>Ortiz Araujo Adiela Carlota</t>
        </is>
      </c>
      <c r="C468" t="inlineStr">
        <is>
          <t>MARTES</t>
        </is>
      </c>
      <c r="D468" t="n">
        <v>4</v>
      </c>
      <c r="E468" t="n">
        <v>2</v>
      </c>
      <c r="F468" t="n">
        <v>2</v>
      </c>
      <c r="G468" t="inlineStr">
        <is>
          <t>09:05</t>
        </is>
      </c>
      <c r="H468" t="inlineStr">
        <is>
          <t>09:50</t>
        </is>
      </c>
      <c r="I468" t="inlineStr">
        <is>
          <t>CLASE</t>
        </is>
      </c>
      <c r="J468" t="inlineStr">
        <is>
          <t>CS202</t>
        </is>
      </c>
      <c r="K468" t="inlineStr">
        <is>
          <t>CSI</t>
        </is>
      </c>
      <c r="L468" t="inlineStr"/>
      <c r="M468" t="inlineStr"/>
      <c r="N468" t="inlineStr"/>
      <c r="O468" t="inlineStr">
        <is>
          <t>Sociales / Inglés (alternan cada semana)</t>
        </is>
      </c>
      <c r="P468" t="inlineStr">
        <is>
          <t>CS202-CSI</t>
        </is>
      </c>
      <c r="Q468">
        <f>IF(I468="ENFASIS","ÉNFASIS "&amp;M468,IFERROR(VLOOKUP(J468,Grupos!$A$2:$D$100,4,FALSE),J468))</f>
        <v/>
      </c>
      <c r="R468">
        <f>O468&amp;IF(N468&lt;&gt;"",IF(O468&lt;&gt;""," · ","")&amp;"Con: "&amp;N468,"")</f>
        <v/>
      </c>
      <c r="S468">
        <f>C468&amp;"|"&amp;D468</f>
        <v/>
      </c>
      <c r="T468">
        <f>COUNTIF($S$2:S468,S468)</f>
        <v/>
      </c>
      <c r="U468">
        <f>S468&amp;"|"&amp;T468</f>
        <v/>
      </c>
      <c r="V468">
        <f>IFERROR(VLOOKUP(IF(I468="ENFASIS",LEFT(M468,FIND("+",M468&amp;"+")-1),J468),Direccion_Grupo!$A$2:$G$100,7,FALSE),"")</f>
        <v/>
      </c>
    </row>
    <row r="469">
      <c r="A469" t="n">
        <v>7</v>
      </c>
      <c r="B469" t="inlineStr">
        <is>
          <t>Casanova Casanova Johana Andrea</t>
        </is>
      </c>
      <c r="C469" t="inlineStr">
        <is>
          <t>MARTES</t>
        </is>
      </c>
      <c r="D469" t="n">
        <v>4</v>
      </c>
      <c r="E469" t="n">
        <v>2</v>
      </c>
      <c r="F469" t="n">
        <v>2</v>
      </c>
      <c r="G469" t="inlineStr">
        <is>
          <t>09:05</t>
        </is>
      </c>
      <c r="H469" t="inlineStr">
        <is>
          <t>09:50</t>
        </is>
      </c>
      <c r="I469" t="inlineStr">
        <is>
          <t>ORIENTACION</t>
        </is>
      </c>
      <c r="J469" t="inlineStr">
        <is>
          <t>ORIENT</t>
        </is>
      </c>
      <c r="K469" t="inlineStr">
        <is>
          <t>ORIENTACIÓN ESCOLAR</t>
        </is>
      </c>
      <c r="L469" t="inlineStr"/>
      <c r="M469" t="inlineStr"/>
      <c r="N469" t="inlineStr"/>
      <c r="O469" t="inlineStr">
        <is>
          <t>Jornada 07:30 a 14:30</t>
        </is>
      </c>
      <c r="P469" t="inlineStr"/>
      <c r="Q469">
        <f>IF(I469="ENFASIS","ÉNFASIS "&amp;M469,IFERROR(VLOOKUP(J469,Grupos!$A$2:$D$100,4,FALSE),J469))</f>
        <v/>
      </c>
      <c r="R469">
        <f>O469&amp;IF(N469&lt;&gt;"",IF(O469&lt;&gt;""," · ","")&amp;"Con: "&amp;N469,"")</f>
        <v/>
      </c>
      <c r="S469">
        <f>C469&amp;"|"&amp;D469</f>
        <v/>
      </c>
      <c r="T469">
        <f>COUNTIF($S$2:S469,S469)</f>
        <v/>
      </c>
      <c r="U469">
        <f>S469&amp;"|"&amp;T469</f>
        <v/>
      </c>
      <c r="V469">
        <f>IFERROR(VLOOKUP(IF(I469="ENFASIS",LEFT(M469,FIND("+",M469&amp;"+")-1),J469),Direccion_Grupo!$A$2:$G$100,7,FALSE),"")</f>
        <v/>
      </c>
    </row>
    <row r="470">
      <c r="A470" t="n">
        <v>36</v>
      </c>
      <c r="B470" t="inlineStr">
        <is>
          <t>Ponce Moncayo Ángela Paola</t>
        </is>
      </c>
      <c r="C470" t="inlineStr">
        <is>
          <t>MARTES</t>
        </is>
      </c>
      <c r="D470" t="n">
        <v>4</v>
      </c>
      <c r="E470" t="n">
        <v>2</v>
      </c>
      <c r="F470" t="n">
        <v>2</v>
      </c>
      <c r="G470" t="inlineStr">
        <is>
          <t>09:05</t>
        </is>
      </c>
      <c r="H470" t="inlineStr">
        <is>
          <t>09:50</t>
        </is>
      </c>
      <c r="I470" t="inlineStr">
        <is>
          <t>ORIENTACION</t>
        </is>
      </c>
      <c r="J470" t="inlineStr">
        <is>
          <t>ORIENT</t>
        </is>
      </c>
      <c r="K470" t="inlineStr">
        <is>
          <t>ORIENTACIÓN ESCOLAR</t>
        </is>
      </c>
      <c r="L470" t="inlineStr"/>
      <c r="M470" t="inlineStr"/>
      <c r="N470" t="inlineStr"/>
      <c r="O470" t="inlineStr">
        <is>
          <t>Jornada 08:30 a 13:30</t>
        </is>
      </c>
      <c r="P470" t="inlineStr"/>
      <c r="Q470">
        <f>IF(I470="ENFASIS","ÉNFASIS "&amp;M470,IFERROR(VLOOKUP(J470,Grupos!$A$2:$D$100,4,FALSE),J470))</f>
        <v/>
      </c>
      <c r="R470">
        <f>O470&amp;IF(N470&lt;&gt;"",IF(O470&lt;&gt;""," · ","")&amp;"Con: "&amp;N470,"")</f>
        <v/>
      </c>
      <c r="S470">
        <f>C470&amp;"|"&amp;D470</f>
        <v/>
      </c>
      <c r="T470">
        <f>COUNTIF($S$2:S470,S470)</f>
        <v/>
      </c>
      <c r="U470">
        <f>S470&amp;"|"&amp;T470</f>
        <v/>
      </c>
      <c r="V470">
        <f>IFERROR(VLOOKUP(IF(I470="ENFASIS",LEFT(M470,FIND("+",M470&amp;"+")-1),J470),Direccion_Grupo!$A$2:$G$100,7,FALSE),"")</f>
        <v/>
      </c>
    </row>
    <row r="471">
      <c r="A471" t="n">
        <v>56</v>
      </c>
      <c r="B471" t="inlineStr">
        <is>
          <t>Ortiz Estacio Martha Cecilia</t>
        </is>
      </c>
      <c r="C471" t="inlineStr">
        <is>
          <t>MARTES</t>
        </is>
      </c>
      <c r="D471" t="n">
        <v>4</v>
      </c>
      <c r="E471" t="n">
        <v>2</v>
      </c>
      <c r="F471" t="n">
        <v>2</v>
      </c>
      <c r="G471" t="inlineStr">
        <is>
          <t>09:05</t>
        </is>
      </c>
      <c r="H471" t="inlineStr">
        <is>
          <t>09:50</t>
        </is>
      </c>
      <c r="I471" t="inlineStr">
        <is>
          <t>TUTORIA</t>
        </is>
      </c>
      <c r="J471" t="inlineStr">
        <is>
          <t>PTAFI</t>
        </is>
      </c>
      <c r="K471" t="inlineStr">
        <is>
          <t>TUTORÍA PTAFI</t>
        </is>
      </c>
      <c r="L471" t="inlineStr"/>
      <c r="M471" t="inlineStr"/>
      <c r="N471" t="inlineStr"/>
      <c r="O471" t="inlineStr">
        <is>
          <t>Jornada 06:30 a 12:00</t>
        </is>
      </c>
      <c r="P471" t="inlineStr"/>
      <c r="Q471">
        <f>IF(I471="ENFASIS","ÉNFASIS "&amp;M471,IFERROR(VLOOKUP(J471,Grupos!$A$2:$D$100,4,FALSE),J471))</f>
        <v/>
      </c>
      <c r="R471">
        <f>O471&amp;IF(N471&lt;&gt;"",IF(O471&lt;&gt;""," · ","")&amp;"Con: "&amp;N471,"")</f>
        <v/>
      </c>
      <c r="S471">
        <f>C471&amp;"|"&amp;D471</f>
        <v/>
      </c>
      <c r="T471">
        <f>COUNTIF($S$2:S471,S471)</f>
        <v/>
      </c>
      <c r="U471">
        <f>S471&amp;"|"&amp;T471</f>
        <v/>
      </c>
      <c r="V471">
        <f>IFERROR(VLOOKUP(IF(I471="ENFASIS",LEFT(M471,FIND("+",M471&amp;"+")-1),J471),Direccion_Grupo!$A$2:$G$100,7,FALSE),"")</f>
        <v/>
      </c>
    </row>
    <row r="472">
      <c r="A472" t="n">
        <v>12</v>
      </c>
      <c r="B472" t="inlineStr">
        <is>
          <t>Chillambo Quiñones María Rocío</t>
        </is>
      </c>
      <c r="C472" t="inlineStr">
        <is>
          <t>MARTES</t>
        </is>
      </c>
      <c r="D472" t="n">
        <v>4</v>
      </c>
      <c r="E472" t="n">
        <v>2</v>
      </c>
      <c r="F472" t="n">
        <v>2</v>
      </c>
      <c r="G472" t="inlineStr">
        <is>
          <t>09:05</t>
        </is>
      </c>
      <c r="H472" t="inlineStr">
        <is>
          <t>09:50</t>
        </is>
      </c>
      <c r="I472" t="inlineStr">
        <is>
          <t>ENFASIS</t>
        </is>
      </c>
      <c r="J472" t="inlineStr"/>
      <c r="K472" t="inlineStr">
        <is>
          <t>CNA</t>
        </is>
      </c>
      <c r="L472" t="inlineStr">
        <is>
          <t>0801</t>
        </is>
      </c>
      <c r="M472" t="inlineStr">
        <is>
          <t>0801</t>
        </is>
      </c>
      <c r="N472" t="inlineStr">
        <is>
          <t>Samaniego Angulo Flor Mireya (ART); Valverde Montaño María Teresa (CAS); Cuero Bamba Berte Levi (ERD)</t>
        </is>
      </c>
      <c r="O472" t="inlineStr">
        <is>
          <t>EQUIPO DE 4: cada docente atiende un grupo de estudiantes en su área</t>
        </is>
      </c>
      <c r="P472" t="inlineStr">
        <is>
          <t>ENFASIS-0801</t>
        </is>
      </c>
      <c r="Q472">
        <f>IF(I472="ENFASIS","ÉNFASIS "&amp;M472,IFERROR(VLOOKUP(J472,Grupos!$A$2:$D$100,4,FALSE),J472))</f>
        <v/>
      </c>
      <c r="R472">
        <f>O472&amp;IF(N472&lt;&gt;"",IF(O472&lt;&gt;""," · ","")&amp;"Con: "&amp;N472,"")</f>
        <v/>
      </c>
      <c r="S472">
        <f>C472&amp;"|"&amp;D472</f>
        <v/>
      </c>
      <c r="T472">
        <f>COUNTIF($S$2:S472,S472)</f>
        <v/>
      </c>
      <c r="U472">
        <f>S472&amp;"|"&amp;T472</f>
        <v/>
      </c>
      <c r="V472">
        <f>IFERROR(VLOOKUP(IF(I472="ENFASIS",LEFT(M472,FIND("+",M472&amp;"+")-1),J472),Direccion_Grupo!$A$2:$G$100,7,FALSE),"")</f>
        <v/>
      </c>
    </row>
    <row r="473">
      <c r="A473" t="n">
        <v>15</v>
      </c>
      <c r="B473" t="inlineStr">
        <is>
          <t>Cuero Bamba Berte Levi</t>
        </is>
      </c>
      <c r="C473" t="inlineStr">
        <is>
          <t>MARTES</t>
        </is>
      </c>
      <c r="D473" t="n">
        <v>4</v>
      </c>
      <c r="E473" t="n">
        <v>2</v>
      </c>
      <c r="F473" t="n">
        <v>2</v>
      </c>
      <c r="G473" t="inlineStr">
        <is>
          <t>09:05</t>
        </is>
      </c>
      <c r="H473" t="inlineStr">
        <is>
          <t>09:50</t>
        </is>
      </c>
      <c r="I473" t="inlineStr">
        <is>
          <t>ENFASIS</t>
        </is>
      </c>
      <c r="J473" t="inlineStr"/>
      <c r="K473" t="inlineStr">
        <is>
          <t>ERD</t>
        </is>
      </c>
      <c r="L473" t="inlineStr">
        <is>
          <t>0801</t>
        </is>
      </c>
      <c r="M473" t="inlineStr">
        <is>
          <t>0801</t>
        </is>
      </c>
      <c r="N473" t="inlineStr">
        <is>
          <t>Samaniego Angulo Flor Mireya (ART); Valverde Montaño María Teresa (CAS); Chillambo Quiñones María Rocío (CNA)</t>
        </is>
      </c>
      <c r="O473" t="inlineStr">
        <is>
          <t>EQUIPO DE 4: cada docente atiende un grupo de estudiantes en su área</t>
        </is>
      </c>
      <c r="P473" t="inlineStr">
        <is>
          <t>ENFASIS-0801</t>
        </is>
      </c>
      <c r="Q473">
        <f>IF(I473="ENFASIS","ÉNFASIS "&amp;M473,IFERROR(VLOOKUP(J473,Grupos!$A$2:$D$100,4,FALSE),J473))</f>
        <v/>
      </c>
      <c r="R473">
        <f>O473&amp;IF(N473&lt;&gt;"",IF(O473&lt;&gt;""," · ","")&amp;"Con: "&amp;N473,"")</f>
        <v/>
      </c>
      <c r="S473">
        <f>C473&amp;"|"&amp;D473</f>
        <v/>
      </c>
      <c r="T473">
        <f>COUNTIF($S$2:S473,S473)</f>
        <v/>
      </c>
      <c r="U473">
        <f>S473&amp;"|"&amp;T473</f>
        <v/>
      </c>
      <c r="V473">
        <f>IFERROR(VLOOKUP(IF(I473="ENFASIS",LEFT(M473,FIND("+",M473&amp;"+")-1),J473),Direccion_Grupo!$A$2:$G$100,7,FALSE),"")</f>
        <v/>
      </c>
    </row>
    <row r="474">
      <c r="A474" t="n">
        <v>44</v>
      </c>
      <c r="B474" t="inlineStr">
        <is>
          <t>Samaniego Angulo Flor Mireya</t>
        </is>
      </c>
      <c r="C474" t="inlineStr">
        <is>
          <t>MARTES</t>
        </is>
      </c>
      <c r="D474" t="n">
        <v>4</v>
      </c>
      <c r="E474" t="n">
        <v>2</v>
      </c>
      <c r="F474" t="n">
        <v>2</v>
      </c>
      <c r="G474" t="inlineStr">
        <is>
          <t>09:05</t>
        </is>
      </c>
      <c r="H474" t="inlineStr">
        <is>
          <t>09:50</t>
        </is>
      </c>
      <c r="I474" t="inlineStr">
        <is>
          <t>ENFASIS</t>
        </is>
      </c>
      <c r="J474" t="inlineStr"/>
      <c r="K474" t="inlineStr">
        <is>
          <t>ART</t>
        </is>
      </c>
      <c r="L474" t="inlineStr">
        <is>
          <t>0801</t>
        </is>
      </c>
      <c r="M474" t="inlineStr">
        <is>
          <t>0801</t>
        </is>
      </c>
      <c r="N474" t="inlineStr">
        <is>
          <t>Valverde Montaño María Teresa (CAS); Cuero Bamba Berte Levi (ERD); Chillambo Quiñones María Rocío (CNA)</t>
        </is>
      </c>
      <c r="O474" t="inlineStr">
        <is>
          <t>EQUIPO DE 4: cada docente atiende un grupo de estudiantes en su área</t>
        </is>
      </c>
      <c r="P474" t="inlineStr">
        <is>
          <t>ENFASIS-0801</t>
        </is>
      </c>
      <c r="Q474">
        <f>IF(I474="ENFASIS","ÉNFASIS "&amp;M474,IFERROR(VLOOKUP(J474,Grupos!$A$2:$D$100,4,FALSE),J474))</f>
        <v/>
      </c>
      <c r="R474">
        <f>O474&amp;IF(N474&lt;&gt;"",IF(O474&lt;&gt;""," · ","")&amp;"Con: "&amp;N474,"")</f>
        <v/>
      </c>
      <c r="S474">
        <f>C474&amp;"|"&amp;D474</f>
        <v/>
      </c>
      <c r="T474">
        <f>COUNTIF($S$2:S474,S474)</f>
        <v/>
      </c>
      <c r="U474">
        <f>S474&amp;"|"&amp;T474</f>
        <v/>
      </c>
      <c r="V474">
        <f>IFERROR(VLOOKUP(IF(I474="ENFASIS",LEFT(M474,FIND("+",M474&amp;"+")-1),J474),Direccion_Grupo!$A$2:$G$100,7,FALSE),"")</f>
        <v/>
      </c>
    </row>
    <row r="475">
      <c r="A475" t="n">
        <v>51</v>
      </c>
      <c r="B475" t="inlineStr">
        <is>
          <t>Valverde Montaño María Teresa</t>
        </is>
      </c>
      <c r="C475" t="inlineStr">
        <is>
          <t>MARTES</t>
        </is>
      </c>
      <c r="D475" t="n">
        <v>4</v>
      </c>
      <c r="E475" t="n">
        <v>2</v>
      </c>
      <c r="F475" t="n">
        <v>2</v>
      </c>
      <c r="G475" t="inlineStr">
        <is>
          <t>09:05</t>
        </is>
      </c>
      <c r="H475" t="inlineStr">
        <is>
          <t>09:50</t>
        </is>
      </c>
      <c r="I475" t="inlineStr">
        <is>
          <t>ENFASIS</t>
        </is>
      </c>
      <c r="J475" t="inlineStr"/>
      <c r="K475" t="inlineStr">
        <is>
          <t>CAS</t>
        </is>
      </c>
      <c r="L475" t="inlineStr">
        <is>
          <t>0801</t>
        </is>
      </c>
      <c r="M475" t="inlineStr">
        <is>
          <t>0801</t>
        </is>
      </c>
      <c r="N475" t="inlineStr">
        <is>
          <t>Samaniego Angulo Flor Mireya (ART); Cuero Bamba Berte Levi (ERD); Chillambo Quiñones María Rocío (CNA)</t>
        </is>
      </c>
      <c r="O475" t="inlineStr">
        <is>
          <t>EQUIPO DE 4: cada docente atiende un grupo de estudiantes en su área</t>
        </is>
      </c>
      <c r="P475" t="inlineStr">
        <is>
          <t>ENFASIS-0801</t>
        </is>
      </c>
      <c r="Q475">
        <f>IF(I475="ENFASIS","ÉNFASIS "&amp;M475,IFERROR(VLOOKUP(J475,Grupos!$A$2:$D$100,4,FALSE),J475))</f>
        <v/>
      </c>
      <c r="R475">
        <f>O475&amp;IF(N475&lt;&gt;"",IF(O475&lt;&gt;""," · ","")&amp;"Con: "&amp;N475,"")</f>
        <v/>
      </c>
      <c r="S475">
        <f>C475&amp;"|"&amp;D475</f>
        <v/>
      </c>
      <c r="T475">
        <f>COUNTIF($S$2:S475,S475)</f>
        <v/>
      </c>
      <c r="U475">
        <f>S475&amp;"|"&amp;T475</f>
        <v/>
      </c>
      <c r="V475">
        <f>IFERROR(VLOOKUP(IF(I475="ENFASIS",LEFT(M475,FIND("+",M475&amp;"+")-1),J475),Direccion_Grupo!$A$2:$G$100,7,FALSE),"")</f>
        <v/>
      </c>
    </row>
    <row r="476">
      <c r="A476" t="n">
        <v>3</v>
      </c>
      <c r="B476" t="inlineStr">
        <is>
          <t>Arboleda Ortiz Luz América</t>
        </is>
      </c>
      <c r="C476" t="inlineStr">
        <is>
          <t>MARTES</t>
        </is>
      </c>
      <c r="D476" t="n">
        <v>4</v>
      </c>
      <c r="E476" t="n">
        <v>2</v>
      </c>
      <c r="F476" t="n">
        <v>2</v>
      </c>
      <c r="G476" t="inlineStr">
        <is>
          <t>09:05</t>
        </is>
      </c>
      <c r="H476" t="inlineStr">
        <is>
          <t>09:50</t>
        </is>
      </c>
      <c r="I476" t="inlineStr">
        <is>
          <t>ENFASIS</t>
        </is>
      </c>
      <c r="J476" t="inlineStr"/>
      <c r="K476" t="inlineStr">
        <is>
          <t>ART</t>
        </is>
      </c>
      <c r="L476" t="inlineStr">
        <is>
          <t>D5-11°</t>
        </is>
      </c>
      <c r="M476" t="inlineStr">
        <is>
          <t>1101</t>
        </is>
      </c>
      <c r="N476" t="inlineStr">
        <is>
          <t>Montaño Anchico Favio Héctor (CAS); Ramírez Guerra Jimmy Eduardo (ERD); Villota Rubio Héctor Hugo (CNA)</t>
        </is>
      </c>
      <c r="O476" t="inlineStr">
        <is>
          <t>EQUIPO DE 4: cada docente atiende un grupo de estudiantes en su área</t>
        </is>
      </c>
      <c r="P476" t="inlineStr">
        <is>
          <t>ENFASIS-D5-11°</t>
        </is>
      </c>
      <c r="Q476">
        <f>IF(I476="ENFASIS","ÉNFASIS "&amp;M476,IFERROR(VLOOKUP(J476,Grupos!$A$2:$D$100,4,FALSE),J476))</f>
        <v/>
      </c>
      <c r="R476">
        <f>O476&amp;IF(N476&lt;&gt;"",IF(O476&lt;&gt;""," · ","")&amp;"Con: "&amp;N476,"")</f>
        <v/>
      </c>
      <c r="S476">
        <f>C476&amp;"|"&amp;D476</f>
        <v/>
      </c>
      <c r="T476">
        <f>COUNTIF($S$2:S476,S476)</f>
        <v/>
      </c>
      <c r="U476">
        <f>S476&amp;"|"&amp;T476</f>
        <v/>
      </c>
      <c r="V476">
        <f>IFERROR(VLOOKUP(IF(I476="ENFASIS",LEFT(M476,FIND("+",M476&amp;"+")-1),J476),Direccion_Grupo!$A$2:$G$100,7,FALSE),"")</f>
        <v/>
      </c>
    </row>
    <row r="477">
      <c r="A477" t="n">
        <v>30</v>
      </c>
      <c r="B477" t="inlineStr">
        <is>
          <t>Montaño Anchico Favio Héctor</t>
        </is>
      </c>
      <c r="C477" t="inlineStr">
        <is>
          <t>MARTES</t>
        </is>
      </c>
      <c r="D477" t="n">
        <v>4</v>
      </c>
      <c r="E477" t="n">
        <v>2</v>
      </c>
      <c r="F477" t="n">
        <v>2</v>
      </c>
      <c r="G477" t="inlineStr">
        <is>
          <t>09:05</t>
        </is>
      </c>
      <c r="H477" t="inlineStr">
        <is>
          <t>09:50</t>
        </is>
      </c>
      <c r="I477" t="inlineStr">
        <is>
          <t>ENFASIS</t>
        </is>
      </c>
      <c r="J477" t="inlineStr"/>
      <c r="K477" t="inlineStr">
        <is>
          <t>CAS</t>
        </is>
      </c>
      <c r="L477" t="inlineStr">
        <is>
          <t>D5-11°</t>
        </is>
      </c>
      <c r="M477" t="inlineStr">
        <is>
          <t>1101</t>
        </is>
      </c>
      <c r="N477" t="inlineStr">
        <is>
          <t>Arboleda Ortiz Luz América (ART); Ramírez Guerra Jimmy Eduardo (ERD); Villota Rubio Héctor Hugo (CNA)</t>
        </is>
      </c>
      <c r="O477" t="inlineStr">
        <is>
          <t>EQUIPO DE 4: cada docente atiende un grupo de estudiantes en su área</t>
        </is>
      </c>
      <c r="P477" t="inlineStr">
        <is>
          <t>ENFASIS-D5-11°</t>
        </is>
      </c>
      <c r="Q477">
        <f>IF(I477="ENFASIS","ÉNFASIS "&amp;M477,IFERROR(VLOOKUP(J477,Grupos!$A$2:$D$100,4,FALSE),J477))</f>
        <v/>
      </c>
      <c r="R477">
        <f>O477&amp;IF(N477&lt;&gt;"",IF(O477&lt;&gt;""," · ","")&amp;"Con: "&amp;N477,"")</f>
        <v/>
      </c>
      <c r="S477">
        <f>C477&amp;"|"&amp;D477</f>
        <v/>
      </c>
      <c r="T477">
        <f>COUNTIF($S$2:S477,S477)</f>
        <v/>
      </c>
      <c r="U477">
        <f>S477&amp;"|"&amp;T477</f>
        <v/>
      </c>
      <c r="V477">
        <f>IFERROR(VLOOKUP(IF(I477="ENFASIS",LEFT(M477,FIND("+",M477&amp;"+")-1),J477),Direccion_Grupo!$A$2:$G$100,7,FALSE),"")</f>
        <v/>
      </c>
    </row>
    <row r="478">
      <c r="A478" t="n">
        <v>43</v>
      </c>
      <c r="B478" t="inlineStr">
        <is>
          <t>Ramírez Guerra Jimmy Eduardo</t>
        </is>
      </c>
      <c r="C478" t="inlineStr">
        <is>
          <t>MARTES</t>
        </is>
      </c>
      <c r="D478" t="n">
        <v>4</v>
      </c>
      <c r="E478" t="n">
        <v>2</v>
      </c>
      <c r="F478" t="n">
        <v>2</v>
      </c>
      <c r="G478" t="inlineStr">
        <is>
          <t>09:05</t>
        </is>
      </c>
      <c r="H478" t="inlineStr">
        <is>
          <t>09:50</t>
        </is>
      </c>
      <c r="I478" t="inlineStr">
        <is>
          <t>ENFASIS</t>
        </is>
      </c>
      <c r="J478" t="inlineStr"/>
      <c r="K478" t="inlineStr">
        <is>
          <t>ERD</t>
        </is>
      </c>
      <c r="L478" t="inlineStr">
        <is>
          <t>D5-11°</t>
        </is>
      </c>
      <c r="M478" t="inlineStr">
        <is>
          <t>1101</t>
        </is>
      </c>
      <c r="N478" t="inlineStr">
        <is>
          <t>Arboleda Ortiz Luz América (ART); Montaño Anchico Favio Héctor (CAS); Villota Rubio Héctor Hugo (CNA)</t>
        </is>
      </c>
      <c r="O478" t="inlineStr">
        <is>
          <t>EQUIPO DE 4: cada docente atiende un grupo de estudiantes en su área</t>
        </is>
      </c>
      <c r="P478" t="inlineStr">
        <is>
          <t>ENFASIS-D5-11°</t>
        </is>
      </c>
      <c r="Q478">
        <f>IF(I478="ENFASIS","ÉNFASIS "&amp;M478,IFERROR(VLOOKUP(J478,Grupos!$A$2:$D$100,4,FALSE),J478))</f>
        <v/>
      </c>
      <c r="R478">
        <f>O478&amp;IF(N478&lt;&gt;"",IF(O478&lt;&gt;""," · ","")&amp;"Con: "&amp;N478,"")</f>
        <v/>
      </c>
      <c r="S478">
        <f>C478&amp;"|"&amp;D478</f>
        <v/>
      </c>
      <c r="T478">
        <f>COUNTIF($S$2:S478,S478)</f>
        <v/>
      </c>
      <c r="U478">
        <f>S478&amp;"|"&amp;T478</f>
        <v/>
      </c>
      <c r="V478">
        <f>IFERROR(VLOOKUP(IF(I478="ENFASIS",LEFT(M478,FIND("+",M478&amp;"+")-1),J478),Direccion_Grupo!$A$2:$G$100,7,FALSE),"")</f>
        <v/>
      </c>
    </row>
    <row r="479">
      <c r="A479" t="n">
        <v>53</v>
      </c>
      <c r="B479" t="inlineStr">
        <is>
          <t>Villota Rubio Héctor Hugo</t>
        </is>
      </c>
      <c r="C479" t="inlineStr">
        <is>
          <t>MARTES</t>
        </is>
      </c>
      <c r="D479" t="n">
        <v>4</v>
      </c>
      <c r="E479" t="n">
        <v>2</v>
      </c>
      <c r="F479" t="n">
        <v>2</v>
      </c>
      <c r="G479" t="inlineStr">
        <is>
          <t>09:05</t>
        </is>
      </c>
      <c r="H479" t="inlineStr">
        <is>
          <t>09:50</t>
        </is>
      </c>
      <c r="I479" t="inlineStr">
        <is>
          <t>ENFASIS</t>
        </is>
      </c>
      <c r="J479" t="inlineStr"/>
      <c r="K479" t="inlineStr">
        <is>
          <t>CNA</t>
        </is>
      </c>
      <c r="L479" t="inlineStr">
        <is>
          <t>D5-11°</t>
        </is>
      </c>
      <c r="M479" t="inlineStr">
        <is>
          <t>1101</t>
        </is>
      </c>
      <c r="N479" t="inlineStr">
        <is>
          <t>Arboleda Ortiz Luz América (ART); Montaño Anchico Favio Héctor (CAS); Ramírez Guerra Jimmy Eduardo (ERD)</t>
        </is>
      </c>
      <c r="O479" t="inlineStr">
        <is>
          <t>EQUIPO DE 4: cada docente atiende un grupo de estudiantes en su área</t>
        </is>
      </c>
      <c r="P479" t="inlineStr">
        <is>
          <t>ENFASIS-D5-11°</t>
        </is>
      </c>
      <c r="Q479">
        <f>IF(I479="ENFASIS","ÉNFASIS "&amp;M479,IFERROR(VLOOKUP(J479,Grupos!$A$2:$D$100,4,FALSE),J479))</f>
        <v/>
      </c>
      <c r="R479">
        <f>O479&amp;IF(N479&lt;&gt;"",IF(O479&lt;&gt;""," · ","")&amp;"Con: "&amp;N479,"")</f>
        <v/>
      </c>
      <c r="S479">
        <f>C479&amp;"|"&amp;D479</f>
        <v/>
      </c>
      <c r="T479">
        <f>COUNTIF($S$2:S479,S479)</f>
        <v/>
      </c>
      <c r="U479">
        <f>S479&amp;"|"&amp;T479</f>
        <v/>
      </c>
      <c r="V479">
        <f>IFERROR(VLOOKUP(IF(I479="ENFASIS",LEFT(M479,FIND("+",M479&amp;"+")-1),J479),Direccion_Grupo!$A$2:$G$100,7,FALSE),"")</f>
        <v/>
      </c>
    </row>
    <row r="480">
      <c r="A480" t="n">
        <v>22</v>
      </c>
      <c r="B480" t="inlineStr">
        <is>
          <t>González Castillo Jólmer Jimy</t>
        </is>
      </c>
      <c r="C480" t="inlineStr">
        <is>
          <t>MARTES</t>
        </is>
      </c>
      <c r="D480" t="n">
        <v>4</v>
      </c>
      <c r="E480" t="n">
        <v>2</v>
      </c>
      <c r="F480" t="n">
        <v>2</v>
      </c>
      <c r="G480" t="inlineStr">
        <is>
          <t>09:05</t>
        </is>
      </c>
      <c r="H480" t="inlineStr">
        <is>
          <t>09:50</t>
        </is>
      </c>
      <c r="I480" t="inlineStr">
        <is>
          <t>ENFASIS</t>
        </is>
      </c>
      <c r="J480" t="inlineStr"/>
      <c r="K480" t="inlineStr">
        <is>
          <t>ERD</t>
        </is>
      </c>
      <c r="L480" t="inlineStr">
        <is>
          <t>CS201</t>
        </is>
      </c>
      <c r="M480" t="inlineStr">
        <is>
          <t>CS201</t>
        </is>
      </c>
      <c r="N480" t="inlineStr">
        <is>
          <t>Valencia Marínez Saidy Eufemia (ART); Meza Banguera Gladys Alicia (CAS); Lemos Guancha Miriam (CNA)</t>
        </is>
      </c>
      <c r="O480" t="inlineStr">
        <is>
          <t>EQUIPO DE 4: cada docente atiende un grupo de estudiantes en su área</t>
        </is>
      </c>
      <c r="P480" t="inlineStr">
        <is>
          <t>ENFASIS-CS201</t>
        </is>
      </c>
      <c r="Q480">
        <f>IF(I480="ENFASIS","ÉNFASIS "&amp;M480,IFERROR(VLOOKUP(J480,Grupos!$A$2:$D$100,4,FALSE),J480))</f>
        <v/>
      </c>
      <c r="R480">
        <f>O480&amp;IF(N480&lt;&gt;"",IF(O480&lt;&gt;""," · ","")&amp;"Con: "&amp;N480,"")</f>
        <v/>
      </c>
      <c r="S480">
        <f>C480&amp;"|"&amp;D480</f>
        <v/>
      </c>
      <c r="T480">
        <f>COUNTIF($S$2:S480,S480)</f>
        <v/>
      </c>
      <c r="U480">
        <f>S480&amp;"|"&amp;T480</f>
        <v/>
      </c>
      <c r="V480">
        <f>IFERROR(VLOOKUP(IF(I480="ENFASIS",LEFT(M480,FIND("+",M480&amp;"+")-1),J480),Direccion_Grupo!$A$2:$G$100,7,FALSE),"")</f>
        <v/>
      </c>
    </row>
    <row r="481">
      <c r="A481" t="n">
        <v>25</v>
      </c>
      <c r="B481" t="inlineStr">
        <is>
          <t>Lemos Guancha Miriam</t>
        </is>
      </c>
      <c r="C481" t="inlineStr">
        <is>
          <t>MARTES</t>
        </is>
      </c>
      <c r="D481" t="n">
        <v>4</v>
      </c>
      <c r="E481" t="n">
        <v>2</v>
      </c>
      <c r="F481" t="n">
        <v>2</v>
      </c>
      <c r="G481" t="inlineStr">
        <is>
          <t>09:05</t>
        </is>
      </c>
      <c r="H481" t="inlineStr">
        <is>
          <t>09:50</t>
        </is>
      </c>
      <c r="I481" t="inlineStr">
        <is>
          <t>ENFASIS</t>
        </is>
      </c>
      <c r="J481" t="inlineStr"/>
      <c r="K481" t="inlineStr">
        <is>
          <t>CNA</t>
        </is>
      </c>
      <c r="L481" t="inlineStr">
        <is>
          <t>CS201</t>
        </is>
      </c>
      <c r="M481" t="inlineStr">
        <is>
          <t>CS201</t>
        </is>
      </c>
      <c r="N481" t="inlineStr">
        <is>
          <t>Valencia Marínez Saidy Eufemia (ART); Meza Banguera Gladys Alicia (CAS); González Castillo Jólmer Jimy (ERD)</t>
        </is>
      </c>
      <c r="O481" t="inlineStr">
        <is>
          <t>EQUIPO DE 4: cada docente atiende un grupo de estudiantes en su área</t>
        </is>
      </c>
      <c r="P481" t="inlineStr">
        <is>
          <t>ENFASIS-CS201</t>
        </is>
      </c>
      <c r="Q481">
        <f>IF(I481="ENFASIS","ÉNFASIS "&amp;M481,IFERROR(VLOOKUP(J481,Grupos!$A$2:$D$100,4,FALSE),J481))</f>
        <v/>
      </c>
      <c r="R481">
        <f>O481&amp;IF(N481&lt;&gt;"",IF(O481&lt;&gt;""," · ","")&amp;"Con: "&amp;N481,"")</f>
        <v/>
      </c>
      <c r="S481">
        <f>C481&amp;"|"&amp;D481</f>
        <v/>
      </c>
      <c r="T481">
        <f>COUNTIF($S$2:S481,S481)</f>
        <v/>
      </c>
      <c r="U481">
        <f>S481&amp;"|"&amp;T481</f>
        <v/>
      </c>
      <c r="V481">
        <f>IFERROR(VLOOKUP(IF(I481="ENFASIS",LEFT(M481,FIND("+",M481&amp;"+")-1),J481),Direccion_Grupo!$A$2:$G$100,7,FALSE),"")</f>
        <v/>
      </c>
    </row>
    <row r="482">
      <c r="A482" t="n">
        <v>28</v>
      </c>
      <c r="B482" t="inlineStr">
        <is>
          <t>Meza Banguera Gladys Alicia</t>
        </is>
      </c>
      <c r="C482" t="inlineStr">
        <is>
          <t>MARTES</t>
        </is>
      </c>
      <c r="D482" t="n">
        <v>4</v>
      </c>
      <c r="E482" t="n">
        <v>2</v>
      </c>
      <c r="F482" t="n">
        <v>2</v>
      </c>
      <c r="G482" t="inlineStr">
        <is>
          <t>09:05</t>
        </is>
      </c>
      <c r="H482" t="inlineStr">
        <is>
          <t>09:50</t>
        </is>
      </c>
      <c r="I482" t="inlineStr">
        <is>
          <t>ENFASIS</t>
        </is>
      </c>
      <c r="J482" t="inlineStr"/>
      <c r="K482" t="inlineStr">
        <is>
          <t>CAS</t>
        </is>
      </c>
      <c r="L482" t="inlineStr">
        <is>
          <t>CS201</t>
        </is>
      </c>
      <c r="M482" t="inlineStr">
        <is>
          <t>CS201</t>
        </is>
      </c>
      <c r="N482" t="inlineStr">
        <is>
          <t>Valencia Marínez Saidy Eufemia (ART); González Castillo Jólmer Jimy (ERD); Lemos Guancha Miriam (CNA)</t>
        </is>
      </c>
      <c r="O482" t="inlineStr">
        <is>
          <t>EQUIPO DE 4: cada docente atiende un grupo de estudiantes en su área</t>
        </is>
      </c>
      <c r="P482" t="inlineStr">
        <is>
          <t>ENFASIS-CS201</t>
        </is>
      </c>
      <c r="Q482">
        <f>IF(I482="ENFASIS","ÉNFASIS "&amp;M482,IFERROR(VLOOKUP(J482,Grupos!$A$2:$D$100,4,FALSE),J482))</f>
        <v/>
      </c>
      <c r="R482">
        <f>O482&amp;IF(N482&lt;&gt;"",IF(O482&lt;&gt;""," · ","")&amp;"Con: "&amp;N482,"")</f>
        <v/>
      </c>
      <c r="S482">
        <f>C482&amp;"|"&amp;D482</f>
        <v/>
      </c>
      <c r="T482">
        <f>COUNTIF($S$2:S482,S482)</f>
        <v/>
      </c>
      <c r="U482">
        <f>S482&amp;"|"&amp;T482</f>
        <v/>
      </c>
      <c r="V482">
        <f>IFERROR(VLOOKUP(IF(I482="ENFASIS",LEFT(M482,FIND("+",M482&amp;"+")-1),J482),Direccion_Grupo!$A$2:$G$100,7,FALSE),"")</f>
        <v/>
      </c>
    </row>
    <row r="483">
      <c r="A483" t="n">
        <v>49</v>
      </c>
      <c r="B483" t="inlineStr">
        <is>
          <t>Valencia Marínez Saidy Eufemia</t>
        </is>
      </c>
      <c r="C483" t="inlineStr">
        <is>
          <t>MARTES</t>
        </is>
      </c>
      <c r="D483" t="n">
        <v>4</v>
      </c>
      <c r="E483" t="n">
        <v>2</v>
      </c>
      <c r="F483" t="n">
        <v>2</v>
      </c>
      <c r="G483" t="inlineStr">
        <is>
          <t>09:05</t>
        </is>
      </c>
      <c r="H483" t="inlineStr">
        <is>
          <t>09:50</t>
        </is>
      </c>
      <c r="I483" t="inlineStr">
        <is>
          <t>ENFASIS</t>
        </is>
      </c>
      <c r="J483" t="inlineStr"/>
      <c r="K483" t="inlineStr">
        <is>
          <t>ART</t>
        </is>
      </c>
      <c r="L483" t="inlineStr">
        <is>
          <t>CS201</t>
        </is>
      </c>
      <c r="M483" t="inlineStr">
        <is>
          <t>CS201</t>
        </is>
      </c>
      <c r="N483" t="inlineStr">
        <is>
          <t>Meza Banguera Gladys Alicia (CAS); González Castillo Jólmer Jimy (ERD); Lemos Guancha Miriam (CNA)</t>
        </is>
      </c>
      <c r="O483" t="inlineStr">
        <is>
          <t>EQUIPO DE 4: cada docente atiende un grupo de estudiantes en su área</t>
        </is>
      </c>
      <c r="P483" t="inlineStr">
        <is>
          <t>ENFASIS-CS201</t>
        </is>
      </c>
      <c r="Q483">
        <f>IF(I483="ENFASIS","ÉNFASIS "&amp;M483,IFERROR(VLOOKUP(J483,Grupos!$A$2:$D$100,4,FALSE),J483))</f>
        <v/>
      </c>
      <c r="R483">
        <f>O483&amp;IF(N483&lt;&gt;"",IF(O483&lt;&gt;""," · ","")&amp;"Con: "&amp;N483,"")</f>
        <v/>
      </c>
      <c r="S483">
        <f>C483&amp;"|"&amp;D483</f>
        <v/>
      </c>
      <c r="T483">
        <f>COUNTIF($S$2:S483,S483)</f>
        <v/>
      </c>
      <c r="U483">
        <f>S483&amp;"|"&amp;T483</f>
        <v/>
      </c>
      <c r="V483">
        <f>IFERROR(VLOOKUP(IF(I483="ENFASIS",LEFT(M483,FIND("+",M483&amp;"+")-1),J483),Direccion_Grupo!$A$2:$G$100,7,FALSE),"")</f>
        <v/>
      </c>
    </row>
    <row r="484">
      <c r="A484" t="n">
        <v>50</v>
      </c>
      <c r="B484" t="inlineStr">
        <is>
          <t>Valencia Solís Gloria Alexa</t>
        </is>
      </c>
      <c r="C484" t="inlineStr">
        <is>
          <t>MARTES</t>
        </is>
      </c>
      <c r="D484" t="n">
        <v>5</v>
      </c>
      <c r="E484" t="n">
        <v>3</v>
      </c>
      <c r="F484" t="n">
        <v>1</v>
      </c>
      <c r="G484" t="inlineStr">
        <is>
          <t>09:30</t>
        </is>
      </c>
      <c r="H484" t="inlineStr">
        <is>
          <t>10:30</t>
        </is>
      </c>
      <c r="I484" t="inlineStr">
        <is>
          <t>AREAS_MULTIPLES</t>
        </is>
      </c>
      <c r="J484" t="inlineStr">
        <is>
          <t>0001</t>
        </is>
      </c>
      <c r="K484" t="inlineStr">
        <is>
          <t>ÁREAS MÚLTIPLES</t>
        </is>
      </c>
      <c r="L484" t="inlineStr"/>
      <c r="M484" t="inlineStr"/>
      <c r="N484" t="inlineStr"/>
      <c r="O484" t="inlineStr">
        <is>
          <t>Maestro de aula: todas las áreas con su grupo</t>
        </is>
      </c>
      <c r="P484" t="inlineStr"/>
      <c r="Q484">
        <f>IF(I484="ENFASIS","ÉNFASIS "&amp;M484,IFERROR(VLOOKUP(J484,Grupos!$A$2:$D$100,4,FALSE),J484))</f>
        <v/>
      </c>
      <c r="R484">
        <f>O484&amp;IF(N484&lt;&gt;"",IF(O484&lt;&gt;""," · ","")&amp;"Con: "&amp;N484,"")</f>
        <v/>
      </c>
      <c r="S484">
        <f>C484&amp;"|"&amp;D484</f>
        <v/>
      </c>
      <c r="T484">
        <f>COUNTIF($S$2:S484,S484)</f>
        <v/>
      </c>
      <c r="U484">
        <f>S484&amp;"|"&amp;T484</f>
        <v/>
      </c>
      <c r="V484">
        <f>IFERROR(VLOOKUP(IF(I484="ENFASIS",LEFT(M484,FIND("+",M484&amp;"+")-1),J484),Direccion_Grupo!$A$2:$G$100,7,FALSE),"")</f>
        <v/>
      </c>
    </row>
    <row r="485">
      <c r="A485" t="n">
        <v>27</v>
      </c>
      <c r="B485" t="inlineStr">
        <is>
          <t>Martínez Álvarez Andrea Ascención</t>
        </is>
      </c>
      <c r="C485" t="inlineStr">
        <is>
          <t>MARTES</t>
        </is>
      </c>
      <c r="D485" t="n">
        <v>5</v>
      </c>
      <c r="E485" t="n">
        <v>3</v>
      </c>
      <c r="F485" t="n">
        <v>1</v>
      </c>
      <c r="G485" t="inlineStr">
        <is>
          <t>09:30</t>
        </is>
      </c>
      <c r="H485" t="inlineStr">
        <is>
          <t>10:30</t>
        </is>
      </c>
      <c r="I485" t="inlineStr">
        <is>
          <t>AREAS_MULTIPLES</t>
        </is>
      </c>
      <c r="J485" t="inlineStr">
        <is>
          <t>0002</t>
        </is>
      </c>
      <c r="K485" t="inlineStr">
        <is>
          <t>ÁREAS MÚLTIPLES</t>
        </is>
      </c>
      <c r="L485" t="inlineStr"/>
      <c r="M485" t="inlineStr"/>
      <c r="N485" t="inlineStr"/>
      <c r="O485" t="inlineStr">
        <is>
          <t>Maestro de aula: todas las áreas con su grupo</t>
        </is>
      </c>
      <c r="P485" t="inlineStr"/>
      <c r="Q485">
        <f>IF(I485="ENFASIS","ÉNFASIS "&amp;M485,IFERROR(VLOOKUP(J485,Grupos!$A$2:$D$100,4,FALSE),J485))</f>
        <v/>
      </c>
      <c r="R485">
        <f>O485&amp;IF(N485&lt;&gt;"",IF(O485&lt;&gt;""," · ","")&amp;"Con: "&amp;N485,"")</f>
        <v/>
      </c>
      <c r="S485">
        <f>C485&amp;"|"&amp;D485</f>
        <v/>
      </c>
      <c r="T485">
        <f>COUNTIF($S$2:S485,S485)</f>
        <v/>
      </c>
      <c r="U485">
        <f>S485&amp;"|"&amp;T485</f>
        <v/>
      </c>
      <c r="V485">
        <f>IFERROR(VLOOKUP(IF(I485="ENFASIS",LEFT(M485,FIND("+",M485&amp;"+")-1),J485),Direccion_Grupo!$A$2:$G$100,7,FALSE),"")</f>
        <v/>
      </c>
    </row>
    <row r="486">
      <c r="A486" t="n">
        <v>23</v>
      </c>
      <c r="B486" t="inlineStr">
        <is>
          <t>Landázuri Quiñones María Elia</t>
        </is>
      </c>
      <c r="C486" t="inlineStr">
        <is>
          <t>MARTES</t>
        </is>
      </c>
      <c r="D486" t="n">
        <v>5</v>
      </c>
      <c r="E486" t="n">
        <v>3</v>
      </c>
      <c r="F486" t="n">
        <v>1</v>
      </c>
      <c r="G486" t="inlineStr">
        <is>
          <t>10:10</t>
        </is>
      </c>
      <c r="H486" t="inlineStr">
        <is>
          <t>10:55</t>
        </is>
      </c>
      <c r="I486" t="inlineStr">
        <is>
          <t>AREAS_MULTIPLES</t>
        </is>
      </c>
      <c r="J486" t="inlineStr">
        <is>
          <t>0101</t>
        </is>
      </c>
      <c r="K486" t="inlineStr">
        <is>
          <t>ÁREAS MÚLTIPLES</t>
        </is>
      </c>
      <c r="L486" t="inlineStr"/>
      <c r="M486" t="inlineStr"/>
      <c r="N486" t="inlineStr"/>
      <c r="O486" t="inlineStr">
        <is>
          <t>Maestro de aula: todas las áreas con su grupo</t>
        </is>
      </c>
      <c r="P486" t="inlineStr"/>
      <c r="Q486">
        <f>IF(I486="ENFASIS","ÉNFASIS "&amp;M486,IFERROR(VLOOKUP(J486,Grupos!$A$2:$D$100,4,FALSE),J486))</f>
        <v/>
      </c>
      <c r="R486">
        <f>O486&amp;IF(N486&lt;&gt;"",IF(O486&lt;&gt;""," · ","")&amp;"Con: "&amp;N486,"")</f>
        <v/>
      </c>
      <c r="S486">
        <f>C486&amp;"|"&amp;D486</f>
        <v/>
      </c>
      <c r="T486">
        <f>COUNTIF($S$2:S486,S486)</f>
        <v/>
      </c>
      <c r="U486">
        <f>S486&amp;"|"&amp;T486</f>
        <v/>
      </c>
      <c r="V486">
        <f>IFERROR(VLOOKUP(IF(I486="ENFASIS",LEFT(M486,FIND("+",M486&amp;"+")-1),J486),Direccion_Grupo!$A$2:$G$100,7,FALSE),"")</f>
        <v/>
      </c>
    </row>
    <row r="487">
      <c r="A487" t="n">
        <v>45</v>
      </c>
      <c r="B487" t="inlineStr">
        <is>
          <t>Sinisterra Ana Lucía</t>
        </is>
      </c>
      <c r="C487" t="inlineStr">
        <is>
          <t>MARTES</t>
        </is>
      </c>
      <c r="D487" t="n">
        <v>5</v>
      </c>
      <c r="E487" t="n">
        <v>3</v>
      </c>
      <c r="F487" t="n">
        <v>1</v>
      </c>
      <c r="G487" t="inlineStr">
        <is>
          <t>10:10</t>
        </is>
      </c>
      <c r="H487" t="inlineStr">
        <is>
          <t>10:55</t>
        </is>
      </c>
      <c r="I487" t="inlineStr">
        <is>
          <t>AREAS_MULTIPLES</t>
        </is>
      </c>
      <c r="J487" t="inlineStr">
        <is>
          <t>0102</t>
        </is>
      </c>
      <c r="K487" t="inlineStr">
        <is>
          <t>ÁREAS MÚLTIPLES</t>
        </is>
      </c>
      <c r="L487" t="inlineStr"/>
      <c r="M487" t="inlineStr"/>
      <c r="N487" t="inlineStr"/>
      <c r="O487" t="inlineStr">
        <is>
          <t>Maestro de aula: todas las áreas con su grupo</t>
        </is>
      </c>
      <c r="P487" t="inlineStr"/>
      <c r="Q487">
        <f>IF(I487="ENFASIS","ÉNFASIS "&amp;M487,IFERROR(VLOOKUP(J487,Grupos!$A$2:$D$100,4,FALSE),J487))</f>
        <v/>
      </c>
      <c r="R487">
        <f>O487&amp;IF(N487&lt;&gt;"",IF(O487&lt;&gt;""," · ","")&amp;"Con: "&amp;N487,"")</f>
        <v/>
      </c>
      <c r="S487">
        <f>C487&amp;"|"&amp;D487</f>
        <v/>
      </c>
      <c r="T487">
        <f>COUNTIF($S$2:S487,S487)</f>
        <v/>
      </c>
      <c r="U487">
        <f>S487&amp;"|"&amp;T487</f>
        <v/>
      </c>
      <c r="V487">
        <f>IFERROR(VLOOKUP(IF(I487="ENFASIS",LEFT(M487,FIND("+",M487&amp;"+")-1),J487),Direccion_Grupo!$A$2:$G$100,7,FALSE),"")</f>
        <v/>
      </c>
    </row>
    <row r="488">
      <c r="A488" t="n">
        <v>13</v>
      </c>
      <c r="B488" t="inlineStr">
        <is>
          <t>Cortés Salazar María Ebelice</t>
        </is>
      </c>
      <c r="C488" t="inlineStr">
        <is>
          <t>MARTES</t>
        </is>
      </c>
      <c r="D488" t="n">
        <v>5</v>
      </c>
      <c r="E488" t="n">
        <v>3</v>
      </c>
      <c r="F488" t="n">
        <v>1</v>
      </c>
      <c r="G488" t="inlineStr">
        <is>
          <t>10:10</t>
        </is>
      </c>
      <c r="H488" t="inlineStr">
        <is>
          <t>10:55</t>
        </is>
      </c>
      <c r="I488" t="inlineStr">
        <is>
          <t>AREAS_MULTIPLES</t>
        </is>
      </c>
      <c r="J488" t="inlineStr">
        <is>
          <t>0201</t>
        </is>
      </c>
      <c r="K488" t="inlineStr">
        <is>
          <t>ÁREAS MÚLTIPLES</t>
        </is>
      </c>
      <c r="L488" t="inlineStr"/>
      <c r="M488" t="inlineStr"/>
      <c r="N488" t="inlineStr"/>
      <c r="O488" t="inlineStr">
        <is>
          <t>Maestro de aula: todas las áreas con su grupo</t>
        </is>
      </c>
      <c r="P488" t="inlineStr"/>
      <c r="Q488">
        <f>IF(I488="ENFASIS","ÉNFASIS "&amp;M488,IFERROR(VLOOKUP(J488,Grupos!$A$2:$D$100,4,FALSE),J488))</f>
        <v/>
      </c>
      <c r="R488">
        <f>O488&amp;IF(N488&lt;&gt;"",IF(O488&lt;&gt;""," · ","")&amp;"Con: "&amp;N488,"")</f>
        <v/>
      </c>
      <c r="S488">
        <f>C488&amp;"|"&amp;D488</f>
        <v/>
      </c>
      <c r="T488">
        <f>COUNTIF($S$2:S488,S488)</f>
        <v/>
      </c>
      <c r="U488">
        <f>S488&amp;"|"&amp;T488</f>
        <v/>
      </c>
      <c r="V488">
        <f>IFERROR(VLOOKUP(IF(I488="ENFASIS",LEFT(M488,FIND("+",M488&amp;"+")-1),J488),Direccion_Grupo!$A$2:$G$100,7,FALSE),"")</f>
        <v/>
      </c>
    </row>
    <row r="489">
      <c r="A489" t="n">
        <v>21</v>
      </c>
      <c r="B489" t="inlineStr">
        <is>
          <t>Garzón Quiñones Sixta Janina</t>
        </is>
      </c>
      <c r="C489" t="inlineStr">
        <is>
          <t>MARTES</t>
        </is>
      </c>
      <c r="D489" t="n">
        <v>5</v>
      </c>
      <c r="E489" t="n">
        <v>3</v>
      </c>
      <c r="F489" t="n">
        <v>1</v>
      </c>
      <c r="G489" t="inlineStr">
        <is>
          <t>10:10</t>
        </is>
      </c>
      <c r="H489" t="inlineStr">
        <is>
          <t>10:55</t>
        </is>
      </c>
      <c r="I489" t="inlineStr">
        <is>
          <t>AREAS_MULTIPLES</t>
        </is>
      </c>
      <c r="J489" t="inlineStr">
        <is>
          <t>0202</t>
        </is>
      </c>
      <c r="K489" t="inlineStr">
        <is>
          <t>ÁREAS MÚLTIPLES</t>
        </is>
      </c>
      <c r="L489" t="inlineStr"/>
      <c r="M489" t="inlineStr"/>
      <c r="N489" t="inlineStr"/>
      <c r="O489" t="inlineStr">
        <is>
          <t>Maestro de aula: todas las áreas con su grupo</t>
        </is>
      </c>
      <c r="P489" t="inlineStr"/>
      <c r="Q489">
        <f>IF(I489="ENFASIS","ÉNFASIS "&amp;M489,IFERROR(VLOOKUP(J489,Grupos!$A$2:$D$100,4,FALSE),J489))</f>
        <v/>
      </c>
      <c r="R489">
        <f>O489&amp;IF(N489&lt;&gt;"",IF(O489&lt;&gt;""," · ","")&amp;"Con: "&amp;N489,"")</f>
        <v/>
      </c>
      <c r="S489">
        <f>C489&amp;"|"&amp;D489</f>
        <v/>
      </c>
      <c r="T489">
        <f>COUNTIF($S$2:S489,S489)</f>
        <v/>
      </c>
      <c r="U489">
        <f>S489&amp;"|"&amp;T489</f>
        <v/>
      </c>
      <c r="V489">
        <f>IFERROR(VLOOKUP(IF(I489="ENFASIS",LEFT(M489,FIND("+",M489&amp;"+")-1),J489),Direccion_Grupo!$A$2:$G$100,7,FALSE),"")</f>
        <v/>
      </c>
    </row>
    <row r="490">
      <c r="A490" t="n">
        <v>46</v>
      </c>
      <c r="B490" t="inlineStr">
        <is>
          <t>Tenorio Cuero Lucy Bivian</t>
        </is>
      </c>
      <c r="C490" t="inlineStr">
        <is>
          <t>MARTES</t>
        </is>
      </c>
      <c r="D490" t="n">
        <v>5</v>
      </c>
      <c r="E490" t="n">
        <v>3</v>
      </c>
      <c r="F490" t="n">
        <v>1</v>
      </c>
      <c r="G490" t="inlineStr">
        <is>
          <t>10:10</t>
        </is>
      </c>
      <c r="H490" t="inlineStr">
        <is>
          <t>10:55</t>
        </is>
      </c>
      <c r="I490" t="inlineStr">
        <is>
          <t>AREAS_MULTIPLES</t>
        </is>
      </c>
      <c r="J490" t="inlineStr">
        <is>
          <t>0203</t>
        </is>
      </c>
      <c r="K490" t="inlineStr">
        <is>
          <t>ÁREAS MÚLTIPLES</t>
        </is>
      </c>
      <c r="L490" t="inlineStr"/>
      <c r="M490" t="inlineStr"/>
      <c r="N490" t="inlineStr"/>
      <c r="O490" t="inlineStr">
        <is>
          <t>Maestro de aula: todas las áreas con su grupo</t>
        </is>
      </c>
      <c r="P490" t="inlineStr"/>
      <c r="Q490">
        <f>IF(I490="ENFASIS","ÉNFASIS "&amp;M490,IFERROR(VLOOKUP(J490,Grupos!$A$2:$D$100,4,FALSE),J490))</f>
        <v/>
      </c>
      <c r="R490">
        <f>O490&amp;IF(N490&lt;&gt;"",IF(O490&lt;&gt;""," · ","")&amp;"Con: "&amp;N490,"")</f>
        <v/>
      </c>
      <c r="S490">
        <f>C490&amp;"|"&amp;D490</f>
        <v/>
      </c>
      <c r="T490">
        <f>COUNTIF($S$2:S490,S490)</f>
        <v/>
      </c>
      <c r="U490">
        <f>S490&amp;"|"&amp;T490</f>
        <v/>
      </c>
      <c r="V490">
        <f>IFERROR(VLOOKUP(IF(I490="ENFASIS",LEFT(M490,FIND("+",M490&amp;"+")-1),J490),Direccion_Grupo!$A$2:$G$100,7,FALSE),"")</f>
        <v/>
      </c>
    </row>
    <row r="491">
      <c r="A491" t="n">
        <v>48</v>
      </c>
      <c r="B491" t="inlineStr">
        <is>
          <t>Torres Segura Encarnación</t>
        </is>
      </c>
      <c r="C491" t="inlineStr">
        <is>
          <t>MARTES</t>
        </is>
      </c>
      <c r="D491" t="n">
        <v>5</v>
      </c>
      <c r="E491" t="n">
        <v>3</v>
      </c>
      <c r="F491" t="n">
        <v>1</v>
      </c>
      <c r="G491" t="inlineStr">
        <is>
          <t>10:10</t>
        </is>
      </c>
      <c r="H491" t="inlineStr">
        <is>
          <t>10:55</t>
        </is>
      </c>
      <c r="I491" t="inlineStr">
        <is>
          <t>AREAS_MULTIPLES</t>
        </is>
      </c>
      <c r="J491" t="inlineStr">
        <is>
          <t>0301</t>
        </is>
      </c>
      <c r="K491" t="inlineStr">
        <is>
          <t>ÁREAS MÚLTIPLES</t>
        </is>
      </c>
      <c r="L491" t="inlineStr"/>
      <c r="M491" t="inlineStr"/>
      <c r="N491" t="inlineStr"/>
      <c r="O491" t="inlineStr">
        <is>
          <t>Maestro de aula: todas las áreas con su grupo</t>
        </is>
      </c>
      <c r="P491" t="inlineStr"/>
      <c r="Q491">
        <f>IF(I491="ENFASIS","ÉNFASIS "&amp;M491,IFERROR(VLOOKUP(J491,Grupos!$A$2:$D$100,4,FALSE),J491))</f>
        <v/>
      </c>
      <c r="R491">
        <f>O491&amp;IF(N491&lt;&gt;"",IF(O491&lt;&gt;""," · ","")&amp;"Con: "&amp;N491,"")</f>
        <v/>
      </c>
      <c r="S491">
        <f>C491&amp;"|"&amp;D491</f>
        <v/>
      </c>
      <c r="T491">
        <f>COUNTIF($S$2:S491,S491)</f>
        <v/>
      </c>
      <c r="U491">
        <f>S491&amp;"|"&amp;T491</f>
        <v/>
      </c>
      <c r="V491">
        <f>IFERROR(VLOOKUP(IF(I491="ENFASIS",LEFT(M491,FIND("+",M491&amp;"+")-1),J491),Direccion_Grupo!$A$2:$G$100,7,FALSE),"")</f>
        <v/>
      </c>
    </row>
    <row r="492">
      <c r="A492" t="n">
        <v>24</v>
      </c>
      <c r="B492" t="inlineStr">
        <is>
          <t>Landázuri Gallón Teresa</t>
        </is>
      </c>
      <c r="C492" t="inlineStr">
        <is>
          <t>MARTES</t>
        </is>
      </c>
      <c r="D492" t="n">
        <v>5</v>
      </c>
      <c r="E492" t="n">
        <v>3</v>
      </c>
      <c r="F492" t="n">
        <v>1</v>
      </c>
      <c r="G492" t="inlineStr">
        <is>
          <t>10:10</t>
        </is>
      </c>
      <c r="H492" t="inlineStr">
        <is>
          <t>10:55</t>
        </is>
      </c>
      <c r="I492" t="inlineStr">
        <is>
          <t>AREAS_MULTIPLES</t>
        </is>
      </c>
      <c r="J492" t="inlineStr">
        <is>
          <t>0302</t>
        </is>
      </c>
      <c r="K492" t="inlineStr">
        <is>
          <t>ÁREAS MÚLTIPLES</t>
        </is>
      </c>
      <c r="L492" t="inlineStr"/>
      <c r="M492" t="inlineStr"/>
      <c r="N492" t="inlineStr"/>
      <c r="O492" t="inlineStr">
        <is>
          <t>Maestro de aula: todas las áreas con su grupo</t>
        </is>
      </c>
      <c r="P492" t="inlineStr"/>
      <c r="Q492">
        <f>IF(I492="ENFASIS","ÉNFASIS "&amp;M492,IFERROR(VLOOKUP(J492,Grupos!$A$2:$D$100,4,FALSE),J492))</f>
        <v/>
      </c>
      <c r="R492">
        <f>O492&amp;IF(N492&lt;&gt;"",IF(O492&lt;&gt;""," · ","")&amp;"Con: "&amp;N492,"")</f>
        <v/>
      </c>
      <c r="S492">
        <f>C492&amp;"|"&amp;D492</f>
        <v/>
      </c>
      <c r="T492">
        <f>COUNTIF($S$2:S492,S492)</f>
        <v/>
      </c>
      <c r="U492">
        <f>S492&amp;"|"&amp;T492</f>
        <v/>
      </c>
      <c r="V492">
        <f>IFERROR(VLOOKUP(IF(I492="ENFASIS",LEFT(M492,FIND("+",M492&amp;"+")-1),J492),Direccion_Grupo!$A$2:$G$100,7,FALSE),"")</f>
        <v/>
      </c>
    </row>
    <row r="493">
      <c r="A493" t="n">
        <v>55</v>
      </c>
      <c r="B493" t="inlineStr">
        <is>
          <t>Zamora Ordóñez Celia Pastora</t>
        </is>
      </c>
      <c r="C493" t="inlineStr">
        <is>
          <t>MARTES</t>
        </is>
      </c>
      <c r="D493" t="n">
        <v>5</v>
      </c>
      <c r="E493" t="n">
        <v>3</v>
      </c>
      <c r="F493" t="n">
        <v>1</v>
      </c>
      <c r="G493" t="inlineStr">
        <is>
          <t>10:10</t>
        </is>
      </c>
      <c r="H493" t="inlineStr">
        <is>
          <t>10:55</t>
        </is>
      </c>
      <c r="I493" t="inlineStr">
        <is>
          <t>AREAS_MULTIPLES</t>
        </is>
      </c>
      <c r="J493" t="inlineStr">
        <is>
          <t>0401</t>
        </is>
      </c>
      <c r="K493" t="inlineStr">
        <is>
          <t>ÁREAS MÚLTIPLES</t>
        </is>
      </c>
      <c r="L493" t="inlineStr"/>
      <c r="M493" t="inlineStr"/>
      <c r="N493" t="inlineStr"/>
      <c r="O493" t="inlineStr">
        <is>
          <t>Maestro de aula: todas las áreas con su grupo</t>
        </is>
      </c>
      <c r="P493" t="inlineStr"/>
      <c r="Q493">
        <f>IF(I493="ENFASIS","ÉNFASIS "&amp;M493,IFERROR(VLOOKUP(J493,Grupos!$A$2:$D$100,4,FALSE),J493))</f>
        <v/>
      </c>
      <c r="R493">
        <f>O493&amp;IF(N493&lt;&gt;"",IF(O493&lt;&gt;""," · ","")&amp;"Con: "&amp;N493,"")</f>
        <v/>
      </c>
      <c r="S493">
        <f>C493&amp;"|"&amp;D493</f>
        <v/>
      </c>
      <c r="T493">
        <f>COUNTIF($S$2:S493,S493)</f>
        <v/>
      </c>
      <c r="U493">
        <f>S493&amp;"|"&amp;T493</f>
        <v/>
      </c>
      <c r="V493">
        <f>IFERROR(VLOOKUP(IF(I493="ENFASIS",LEFT(M493,FIND("+",M493&amp;"+")-1),J493),Direccion_Grupo!$A$2:$G$100,7,FALSE),"")</f>
        <v/>
      </c>
    </row>
    <row r="494">
      <c r="A494" t="n">
        <v>33</v>
      </c>
      <c r="B494" t="inlineStr">
        <is>
          <t>Núñez Perlaza Elcy</t>
        </is>
      </c>
      <c r="C494" t="inlineStr">
        <is>
          <t>MARTES</t>
        </is>
      </c>
      <c r="D494" t="n">
        <v>5</v>
      </c>
      <c r="E494" t="n">
        <v>3</v>
      </c>
      <c r="F494" t="n">
        <v>1</v>
      </c>
      <c r="G494" t="inlineStr">
        <is>
          <t>10:10</t>
        </is>
      </c>
      <c r="H494" t="inlineStr">
        <is>
          <t>10:55</t>
        </is>
      </c>
      <c r="I494" t="inlineStr">
        <is>
          <t>AREAS_MULTIPLES</t>
        </is>
      </c>
      <c r="J494" t="inlineStr">
        <is>
          <t>0402</t>
        </is>
      </c>
      <c r="K494" t="inlineStr">
        <is>
          <t>ÁREAS MÚLTIPLES</t>
        </is>
      </c>
      <c r="L494" t="inlineStr"/>
      <c r="M494" t="inlineStr"/>
      <c r="N494" t="inlineStr"/>
      <c r="O494" t="inlineStr">
        <is>
          <t>Maestro de aula: todas las áreas con su grupo</t>
        </is>
      </c>
      <c r="P494" t="inlineStr"/>
      <c r="Q494">
        <f>IF(I494="ENFASIS","ÉNFASIS "&amp;M494,IFERROR(VLOOKUP(J494,Grupos!$A$2:$D$100,4,FALSE),J494))</f>
        <v/>
      </c>
      <c r="R494">
        <f>O494&amp;IF(N494&lt;&gt;"",IF(O494&lt;&gt;""," · ","")&amp;"Con: "&amp;N494,"")</f>
        <v/>
      </c>
      <c r="S494">
        <f>C494&amp;"|"&amp;D494</f>
        <v/>
      </c>
      <c r="T494">
        <f>COUNTIF($S$2:S494,S494)</f>
        <v/>
      </c>
      <c r="U494">
        <f>S494&amp;"|"&amp;T494</f>
        <v/>
      </c>
      <c r="V494">
        <f>IFERROR(VLOOKUP(IF(I494="ENFASIS",LEFT(M494,FIND("+",M494&amp;"+")-1),J494),Direccion_Grupo!$A$2:$G$100,7,FALSE),"")</f>
        <v/>
      </c>
    </row>
    <row r="495">
      <c r="A495" t="n">
        <v>14</v>
      </c>
      <c r="B495" t="inlineStr">
        <is>
          <t>Cuéllar Gallo Nemesia</t>
        </is>
      </c>
      <c r="C495" t="inlineStr">
        <is>
          <t>MARTES</t>
        </is>
      </c>
      <c r="D495" t="n">
        <v>5</v>
      </c>
      <c r="E495" t="n">
        <v>3</v>
      </c>
      <c r="F495" t="n">
        <v>1</v>
      </c>
      <c r="G495" t="inlineStr">
        <is>
          <t>10:10</t>
        </is>
      </c>
      <c r="H495" t="inlineStr">
        <is>
          <t>10:55</t>
        </is>
      </c>
      <c r="I495" t="inlineStr">
        <is>
          <t>AREAS_MULTIPLES</t>
        </is>
      </c>
      <c r="J495" t="inlineStr">
        <is>
          <t>0501</t>
        </is>
      </c>
      <c r="K495" t="inlineStr">
        <is>
          <t>ÁREAS MÚLTIPLES</t>
        </is>
      </c>
      <c r="L495" t="inlineStr"/>
      <c r="M495" t="inlineStr"/>
      <c r="N495" t="inlineStr"/>
      <c r="O495" t="inlineStr">
        <is>
          <t>Maestro de aula: todas las áreas con su grupo</t>
        </is>
      </c>
      <c r="P495" t="inlineStr"/>
      <c r="Q495">
        <f>IF(I495="ENFASIS","ÉNFASIS "&amp;M495,IFERROR(VLOOKUP(J495,Grupos!$A$2:$D$100,4,FALSE),J495))</f>
        <v/>
      </c>
      <c r="R495">
        <f>O495&amp;IF(N495&lt;&gt;"",IF(O495&lt;&gt;""," · ","")&amp;"Con: "&amp;N495,"")</f>
        <v/>
      </c>
      <c r="S495">
        <f>C495&amp;"|"&amp;D495</f>
        <v/>
      </c>
      <c r="T495">
        <f>COUNTIF($S$2:S495,S495)</f>
        <v/>
      </c>
      <c r="U495">
        <f>S495&amp;"|"&amp;T495</f>
        <v/>
      </c>
      <c r="V495">
        <f>IFERROR(VLOOKUP(IF(I495="ENFASIS",LEFT(M495,FIND("+",M495&amp;"+")-1),J495),Direccion_Grupo!$A$2:$G$100,7,FALSE),"")</f>
        <v/>
      </c>
    </row>
    <row r="496">
      <c r="A496" t="n">
        <v>11</v>
      </c>
      <c r="B496" t="inlineStr">
        <is>
          <t>Centeno Zúñiga Claudia Patricia</t>
        </is>
      </c>
      <c r="C496" t="inlineStr">
        <is>
          <t>MARTES</t>
        </is>
      </c>
      <c r="D496" t="n">
        <v>5</v>
      </c>
      <c r="E496" t="n">
        <v>3</v>
      </c>
      <c r="F496" t="n">
        <v>1</v>
      </c>
      <c r="G496" t="inlineStr">
        <is>
          <t>10:10</t>
        </is>
      </c>
      <c r="H496" t="inlineStr">
        <is>
          <t>10:55</t>
        </is>
      </c>
      <c r="I496" t="inlineStr">
        <is>
          <t>AREAS_MULTIPLES</t>
        </is>
      </c>
      <c r="J496" t="inlineStr">
        <is>
          <t>0502</t>
        </is>
      </c>
      <c r="K496" t="inlineStr">
        <is>
          <t>ÁREAS MÚLTIPLES</t>
        </is>
      </c>
      <c r="L496" t="inlineStr"/>
      <c r="M496" t="inlineStr"/>
      <c r="N496" t="inlineStr"/>
      <c r="O496" t="inlineStr">
        <is>
          <t>Maestro de aula: todas las áreas con su grupo</t>
        </is>
      </c>
      <c r="P496" t="inlineStr"/>
      <c r="Q496">
        <f>IF(I496="ENFASIS","ÉNFASIS "&amp;M496,IFERROR(VLOOKUP(J496,Grupos!$A$2:$D$100,4,FALSE),J496))</f>
        <v/>
      </c>
      <c r="R496">
        <f>O496&amp;IF(N496&lt;&gt;"",IF(O496&lt;&gt;""," · ","")&amp;"Con: "&amp;N496,"")</f>
        <v/>
      </c>
      <c r="S496">
        <f>C496&amp;"|"&amp;D496</f>
        <v/>
      </c>
      <c r="T496">
        <f>COUNTIF($S$2:S496,S496)</f>
        <v/>
      </c>
      <c r="U496">
        <f>S496&amp;"|"&amp;T496</f>
        <v/>
      </c>
      <c r="V496">
        <f>IFERROR(VLOOKUP(IF(I496="ENFASIS",LEFT(M496,FIND("+",M496&amp;"+")-1),J496),Direccion_Grupo!$A$2:$G$100,7,FALSE),"")</f>
        <v/>
      </c>
    </row>
    <row r="497">
      <c r="A497" t="n">
        <v>32</v>
      </c>
      <c r="B497" t="inlineStr">
        <is>
          <t>Narváez Sánchez Dora Alejandra</t>
        </is>
      </c>
      <c r="C497" t="inlineStr">
        <is>
          <t>MARTES</t>
        </is>
      </c>
      <c r="D497" t="n">
        <v>5</v>
      </c>
      <c r="E497" t="n">
        <v>3</v>
      </c>
      <c r="F497" t="n">
        <v>1</v>
      </c>
      <c r="G497" t="inlineStr">
        <is>
          <t>10:10</t>
        </is>
      </c>
      <c r="H497" t="inlineStr">
        <is>
          <t>10:55</t>
        </is>
      </c>
      <c r="I497" t="inlineStr">
        <is>
          <t>AREAS_MULTIPLES</t>
        </is>
      </c>
      <c r="J497" t="inlineStr">
        <is>
          <t>0503</t>
        </is>
      </c>
      <c r="K497" t="inlineStr">
        <is>
          <t>ÁREAS MÚLTIPLES</t>
        </is>
      </c>
      <c r="L497" t="inlineStr"/>
      <c r="M497" t="inlineStr"/>
      <c r="N497" t="inlineStr"/>
      <c r="O497" t="inlineStr">
        <is>
          <t>Maestro de aula: todas las áreas con su grupo</t>
        </is>
      </c>
      <c r="P497" t="inlineStr"/>
      <c r="Q497">
        <f>IF(I497="ENFASIS","ÉNFASIS "&amp;M497,IFERROR(VLOOKUP(J497,Grupos!$A$2:$D$100,4,FALSE),J497))</f>
        <v/>
      </c>
      <c r="R497">
        <f>O497&amp;IF(N497&lt;&gt;"",IF(O497&lt;&gt;""," · ","")&amp;"Con: "&amp;N497,"")</f>
        <v/>
      </c>
      <c r="S497">
        <f>C497&amp;"|"&amp;D497</f>
        <v/>
      </c>
      <c r="T497">
        <f>COUNTIF($S$2:S497,S497)</f>
        <v/>
      </c>
      <c r="U497">
        <f>S497&amp;"|"&amp;T497</f>
        <v/>
      </c>
      <c r="V497">
        <f>IFERROR(VLOOKUP(IF(I497="ENFASIS",LEFT(M497,FIND("+",M497&amp;"+")-1),J497),Direccion_Grupo!$A$2:$G$100,7,FALSE),"")</f>
        <v/>
      </c>
    </row>
    <row r="498">
      <c r="A498" t="n">
        <v>17</v>
      </c>
      <c r="B498" t="inlineStr">
        <is>
          <t>Escobar Cortés Liliana</t>
        </is>
      </c>
      <c r="C498" t="inlineStr">
        <is>
          <t>MARTES</t>
        </is>
      </c>
      <c r="D498" t="n">
        <v>5</v>
      </c>
      <c r="E498" t="n">
        <v>3</v>
      </c>
      <c r="F498" t="n">
        <v>1</v>
      </c>
      <c r="G498" t="inlineStr">
        <is>
          <t>10:10</t>
        </is>
      </c>
      <c r="H498" t="inlineStr">
        <is>
          <t>10:55</t>
        </is>
      </c>
      <c r="I498" t="inlineStr">
        <is>
          <t>AREAS_MULTIPLES</t>
        </is>
      </c>
      <c r="J498" t="inlineStr">
        <is>
          <t>0504</t>
        </is>
      </c>
      <c r="K498" t="inlineStr">
        <is>
          <t>ÁREAS MÚLTIPLES</t>
        </is>
      </c>
      <c r="L498" t="inlineStr"/>
      <c r="M498" t="inlineStr"/>
      <c r="N498" t="inlineStr"/>
      <c r="O498" t="inlineStr">
        <is>
          <t>Maestro de aula: todas las áreas con su grupo</t>
        </is>
      </c>
      <c r="P498" t="inlineStr"/>
      <c r="Q498">
        <f>IF(I498="ENFASIS","ÉNFASIS "&amp;M498,IFERROR(VLOOKUP(J498,Grupos!$A$2:$D$100,4,FALSE),J498))</f>
        <v/>
      </c>
      <c r="R498">
        <f>O498&amp;IF(N498&lt;&gt;"",IF(O498&lt;&gt;""," · ","")&amp;"Con: "&amp;N498,"")</f>
        <v/>
      </c>
      <c r="S498">
        <f>C498&amp;"|"&amp;D498</f>
        <v/>
      </c>
      <c r="T498">
        <f>COUNTIF($S$2:S498,S498)</f>
        <v/>
      </c>
      <c r="U498">
        <f>S498&amp;"|"&amp;T498</f>
        <v/>
      </c>
      <c r="V498">
        <f>IFERROR(VLOOKUP(IF(I498="ENFASIS",LEFT(M498,FIND("+",M498&amp;"+")-1),J498),Direccion_Grupo!$A$2:$G$100,7,FALSE),"")</f>
        <v/>
      </c>
    </row>
    <row r="499">
      <c r="A499" t="n">
        <v>16</v>
      </c>
      <c r="B499" t="inlineStr">
        <is>
          <t>Cuero Rincón Hernando Jesús</t>
        </is>
      </c>
      <c r="C499" t="inlineStr">
        <is>
          <t>MARTES</t>
        </is>
      </c>
      <c r="D499" t="n">
        <v>5</v>
      </c>
      <c r="E499" t="n">
        <v>3</v>
      </c>
      <c r="F499" t="n">
        <v>1</v>
      </c>
      <c r="G499" t="inlineStr">
        <is>
          <t>10:10</t>
        </is>
      </c>
      <c r="H499" t="inlineStr">
        <is>
          <t>10:55</t>
        </is>
      </c>
      <c r="I499" t="inlineStr">
        <is>
          <t>CLASE</t>
        </is>
      </c>
      <c r="J499" t="inlineStr">
        <is>
          <t>0601</t>
        </is>
      </c>
      <c r="K499" t="inlineStr">
        <is>
          <t>TEI</t>
        </is>
      </c>
      <c r="L499" t="inlineStr"/>
      <c r="M499" t="inlineStr"/>
      <c r="N499" t="inlineStr"/>
      <c r="O499" t="inlineStr"/>
      <c r="P499" t="inlineStr">
        <is>
          <t>0601-TEI</t>
        </is>
      </c>
      <c r="Q499">
        <f>IF(I499="ENFASIS","ÉNFASIS "&amp;M499,IFERROR(VLOOKUP(J499,Grupos!$A$2:$D$100,4,FALSE),J499))</f>
        <v/>
      </c>
      <c r="R499">
        <f>O499&amp;IF(N499&lt;&gt;"",IF(O499&lt;&gt;""," · ","")&amp;"Con: "&amp;N499,"")</f>
        <v/>
      </c>
      <c r="S499">
        <f>C499&amp;"|"&amp;D499</f>
        <v/>
      </c>
      <c r="T499">
        <f>COUNTIF($S$2:S499,S499)</f>
        <v/>
      </c>
      <c r="U499">
        <f>S499&amp;"|"&amp;T499</f>
        <v/>
      </c>
      <c r="V499">
        <f>IFERROR(VLOOKUP(IF(I499="ENFASIS",LEFT(M499,FIND("+",M499&amp;"+")-1),J499),Direccion_Grupo!$A$2:$G$100,7,FALSE),"")</f>
        <v/>
      </c>
    </row>
    <row r="500">
      <c r="A500" t="n">
        <v>37</v>
      </c>
      <c r="B500" t="inlineStr">
        <is>
          <t>Prado Quiñones Genís Maribel</t>
        </is>
      </c>
      <c r="C500" t="inlineStr">
        <is>
          <t>MARTES</t>
        </is>
      </c>
      <c r="D500" t="n">
        <v>5</v>
      </c>
      <c r="E500" t="n">
        <v>3</v>
      </c>
      <c r="F500" t="n">
        <v>1</v>
      </c>
      <c r="G500" t="inlineStr">
        <is>
          <t>10:10</t>
        </is>
      </c>
      <c r="H500" t="inlineStr">
        <is>
          <t>10:55</t>
        </is>
      </c>
      <c r="I500" t="inlineStr">
        <is>
          <t>CLASE</t>
        </is>
      </c>
      <c r="J500" t="inlineStr">
        <is>
          <t>0602</t>
        </is>
      </c>
      <c r="K500" t="inlineStr">
        <is>
          <t>CNA</t>
        </is>
      </c>
      <c r="L500" t="inlineStr"/>
      <c r="M500" t="inlineStr"/>
      <c r="N500" t="inlineStr"/>
      <c r="O500" t="inlineStr"/>
      <c r="P500" t="inlineStr">
        <is>
          <t>0602-CNA</t>
        </is>
      </c>
      <c r="Q500">
        <f>IF(I500="ENFASIS","ÉNFASIS "&amp;M500,IFERROR(VLOOKUP(J500,Grupos!$A$2:$D$100,4,FALSE),J500))</f>
        <v/>
      </c>
      <c r="R500">
        <f>O500&amp;IF(N500&lt;&gt;"",IF(O500&lt;&gt;""," · ","")&amp;"Con: "&amp;N500,"")</f>
        <v/>
      </c>
      <c r="S500">
        <f>C500&amp;"|"&amp;D500</f>
        <v/>
      </c>
      <c r="T500">
        <f>COUNTIF($S$2:S500,S500)</f>
        <v/>
      </c>
      <c r="U500">
        <f>S500&amp;"|"&amp;T500</f>
        <v/>
      </c>
      <c r="V500">
        <f>IFERROR(VLOOKUP(IF(I500="ENFASIS",LEFT(M500,FIND("+",M500&amp;"+")-1),J500),Direccion_Grupo!$A$2:$G$100,7,FALSE),"")</f>
        <v/>
      </c>
    </row>
    <row r="501">
      <c r="A501" t="n">
        <v>39</v>
      </c>
      <c r="B501" t="inlineStr">
        <is>
          <t>Puches Ana Milena</t>
        </is>
      </c>
      <c r="C501" t="inlineStr">
        <is>
          <t>MARTES</t>
        </is>
      </c>
      <c r="D501" t="n">
        <v>5</v>
      </c>
      <c r="E501" t="n">
        <v>3</v>
      </c>
      <c r="F501" t="n">
        <v>1</v>
      </c>
      <c r="G501" t="inlineStr">
        <is>
          <t>10:10</t>
        </is>
      </c>
      <c r="H501" t="inlineStr">
        <is>
          <t>10:55</t>
        </is>
      </c>
      <c r="I501" t="inlineStr">
        <is>
          <t>CLASE</t>
        </is>
      </c>
      <c r="J501" t="inlineStr">
        <is>
          <t>0701</t>
        </is>
      </c>
      <c r="K501" t="inlineStr">
        <is>
          <t>ART</t>
        </is>
      </c>
      <c r="L501" t="inlineStr"/>
      <c r="M501" t="inlineStr"/>
      <c r="N501" t="inlineStr"/>
      <c r="O501" t="inlineStr"/>
      <c r="P501" t="inlineStr">
        <is>
          <t>0701-ART</t>
        </is>
      </c>
      <c r="Q501">
        <f>IF(I501="ENFASIS","ÉNFASIS "&amp;M501,IFERROR(VLOOKUP(J501,Grupos!$A$2:$D$100,4,FALSE),J501))</f>
        <v/>
      </c>
      <c r="R501">
        <f>O501&amp;IF(N501&lt;&gt;"",IF(O501&lt;&gt;""," · ","")&amp;"Con: "&amp;N501,"")</f>
        <v/>
      </c>
      <c r="S501">
        <f>C501&amp;"|"&amp;D501</f>
        <v/>
      </c>
      <c r="T501">
        <f>COUNTIF($S$2:S501,S501)</f>
        <v/>
      </c>
      <c r="U501">
        <f>S501&amp;"|"&amp;T501</f>
        <v/>
      </c>
      <c r="V501">
        <f>IFERROR(VLOOKUP(IF(I501="ENFASIS",LEFT(M501,FIND("+",M501&amp;"+")-1),J501),Direccion_Grupo!$A$2:$G$100,7,FALSE),"")</f>
        <v/>
      </c>
    </row>
    <row r="502">
      <c r="A502" t="n">
        <v>10</v>
      </c>
      <c r="B502" t="inlineStr">
        <is>
          <t>Castillo Cuero Daira Eneida</t>
        </is>
      </c>
      <c r="C502" t="inlineStr">
        <is>
          <t>MARTES</t>
        </is>
      </c>
      <c r="D502" t="n">
        <v>5</v>
      </c>
      <c r="E502" t="n">
        <v>3</v>
      </c>
      <c r="F502" t="n">
        <v>1</v>
      </c>
      <c r="G502" t="inlineStr">
        <is>
          <t>10:10</t>
        </is>
      </c>
      <c r="H502" t="inlineStr">
        <is>
          <t>10:55</t>
        </is>
      </c>
      <c r="I502" t="inlineStr">
        <is>
          <t>CLASE</t>
        </is>
      </c>
      <c r="J502" t="inlineStr">
        <is>
          <t>0702</t>
        </is>
      </c>
      <c r="K502" t="inlineStr">
        <is>
          <t>CAS</t>
        </is>
      </c>
      <c r="L502" t="inlineStr"/>
      <c r="M502" t="inlineStr"/>
      <c r="N502" t="inlineStr"/>
      <c r="O502" t="inlineStr"/>
      <c r="P502" t="inlineStr">
        <is>
          <t>0702-CAS</t>
        </is>
      </c>
      <c r="Q502">
        <f>IF(I502="ENFASIS","ÉNFASIS "&amp;M502,IFERROR(VLOOKUP(J502,Grupos!$A$2:$D$100,4,FALSE),J502))</f>
        <v/>
      </c>
      <c r="R502">
        <f>O502&amp;IF(N502&lt;&gt;"",IF(O502&lt;&gt;""," · ","")&amp;"Con: "&amp;N502,"")</f>
        <v/>
      </c>
      <c r="S502">
        <f>C502&amp;"|"&amp;D502</f>
        <v/>
      </c>
      <c r="T502">
        <f>COUNTIF($S$2:S502,S502)</f>
        <v/>
      </c>
      <c r="U502">
        <f>S502&amp;"|"&amp;T502</f>
        <v/>
      </c>
      <c r="V502">
        <f>IFERROR(VLOOKUP(IF(I502="ENFASIS",LEFT(M502,FIND("+",M502&amp;"+")-1),J502),Direccion_Grupo!$A$2:$G$100,7,FALSE),"")</f>
        <v/>
      </c>
    </row>
    <row r="503">
      <c r="A503" t="n">
        <v>41</v>
      </c>
      <c r="B503" t="inlineStr">
        <is>
          <t>Quintero Ramírez María del Carmen</t>
        </is>
      </c>
      <c r="C503" t="inlineStr">
        <is>
          <t>MARTES</t>
        </is>
      </c>
      <c r="D503" t="n">
        <v>5</v>
      </c>
      <c r="E503" t="n">
        <v>3</v>
      </c>
      <c r="F503" t="n">
        <v>1</v>
      </c>
      <c r="G503" t="inlineStr">
        <is>
          <t>10:10</t>
        </is>
      </c>
      <c r="H503" t="inlineStr">
        <is>
          <t>10:55</t>
        </is>
      </c>
      <c r="I503" t="inlineStr">
        <is>
          <t>CLASE</t>
        </is>
      </c>
      <c r="J503" t="inlineStr">
        <is>
          <t>0703</t>
        </is>
      </c>
      <c r="K503" t="inlineStr">
        <is>
          <t>CSI</t>
        </is>
      </c>
      <c r="L503" t="inlineStr"/>
      <c r="M503" t="inlineStr"/>
      <c r="N503" t="inlineStr"/>
      <c r="O503" t="inlineStr">
        <is>
          <t>Sociales / Inglés (alternan cada semana)</t>
        </is>
      </c>
      <c r="P503" t="inlineStr">
        <is>
          <t>0703-CSI</t>
        </is>
      </c>
      <c r="Q503">
        <f>IF(I503="ENFASIS","ÉNFASIS "&amp;M503,IFERROR(VLOOKUP(J503,Grupos!$A$2:$D$100,4,FALSE),J503))</f>
        <v/>
      </c>
      <c r="R503">
        <f>O503&amp;IF(N503&lt;&gt;"",IF(O503&lt;&gt;""," · ","")&amp;"Con: "&amp;N503,"")</f>
        <v/>
      </c>
      <c r="S503">
        <f>C503&amp;"|"&amp;D503</f>
        <v/>
      </c>
      <c r="T503">
        <f>COUNTIF($S$2:S503,S503)</f>
        <v/>
      </c>
      <c r="U503">
        <f>S503&amp;"|"&amp;T503</f>
        <v/>
      </c>
      <c r="V503">
        <f>IFERROR(VLOOKUP(IF(I503="ENFASIS",LEFT(M503,FIND("+",M503&amp;"+")-1),J503),Direccion_Grupo!$A$2:$G$100,7,FALSE),"")</f>
        <v/>
      </c>
    </row>
    <row r="504">
      <c r="A504" t="n">
        <v>9</v>
      </c>
      <c r="B504" t="inlineStr">
        <is>
          <t>Castillo Angulo Martha Cecilia</t>
        </is>
      </c>
      <c r="C504" t="inlineStr">
        <is>
          <t>MARTES</t>
        </is>
      </c>
      <c r="D504" t="n">
        <v>5</v>
      </c>
      <c r="E504" t="n">
        <v>3</v>
      </c>
      <c r="F504" t="n">
        <v>1</v>
      </c>
      <c r="G504" t="inlineStr">
        <is>
          <t>10:10</t>
        </is>
      </c>
      <c r="H504" t="inlineStr">
        <is>
          <t>10:55</t>
        </is>
      </c>
      <c r="I504" t="inlineStr">
        <is>
          <t>CLASE</t>
        </is>
      </c>
      <c r="J504" t="inlineStr">
        <is>
          <t>0801</t>
        </is>
      </c>
      <c r="K504" t="inlineStr">
        <is>
          <t>ETR</t>
        </is>
      </c>
      <c r="L504" t="inlineStr"/>
      <c r="M504" t="inlineStr"/>
      <c r="N504" t="inlineStr"/>
      <c r="O504" t="inlineStr">
        <is>
          <t>Ética / Religión (alternan cada semana)</t>
        </is>
      </c>
      <c r="P504" t="inlineStr">
        <is>
          <t>0801-ETR</t>
        </is>
      </c>
      <c r="Q504">
        <f>IF(I504="ENFASIS","ÉNFASIS "&amp;M504,IFERROR(VLOOKUP(J504,Grupos!$A$2:$D$100,4,FALSE),J504))</f>
        <v/>
      </c>
      <c r="R504">
        <f>O504&amp;IF(N504&lt;&gt;"",IF(O504&lt;&gt;""," · ","")&amp;"Con: "&amp;N504,"")</f>
        <v/>
      </c>
      <c r="S504">
        <f>C504&amp;"|"&amp;D504</f>
        <v/>
      </c>
      <c r="T504">
        <f>COUNTIF($S$2:S504,S504)</f>
        <v/>
      </c>
      <c r="U504">
        <f>S504&amp;"|"&amp;T504</f>
        <v/>
      </c>
      <c r="V504">
        <f>IFERROR(VLOOKUP(IF(I504="ENFASIS",LEFT(M504,FIND("+",M504&amp;"+")-1),J504),Direccion_Grupo!$A$2:$G$100,7,FALSE),"")</f>
        <v/>
      </c>
    </row>
    <row r="505">
      <c r="A505" t="n">
        <v>44</v>
      </c>
      <c r="B505" t="inlineStr">
        <is>
          <t>Samaniego Angulo Flor Mireya</t>
        </is>
      </c>
      <c r="C505" t="inlineStr">
        <is>
          <t>MARTES</t>
        </is>
      </c>
      <c r="D505" t="n">
        <v>5</v>
      </c>
      <c r="E505" t="n">
        <v>3</v>
      </c>
      <c r="F505" t="n">
        <v>1</v>
      </c>
      <c r="G505" t="inlineStr">
        <is>
          <t>10:10</t>
        </is>
      </c>
      <c r="H505" t="inlineStr">
        <is>
          <t>10:55</t>
        </is>
      </c>
      <c r="I505" t="inlineStr">
        <is>
          <t>CLASE</t>
        </is>
      </c>
      <c r="J505" t="inlineStr">
        <is>
          <t>0802</t>
        </is>
      </c>
      <c r="K505" t="inlineStr">
        <is>
          <t>ART</t>
        </is>
      </c>
      <c r="L505" t="inlineStr"/>
      <c r="M505" t="inlineStr"/>
      <c r="N505" t="inlineStr"/>
      <c r="O505" t="inlineStr"/>
      <c r="P505" t="inlineStr">
        <is>
          <t>0802-ART</t>
        </is>
      </c>
      <c r="Q505">
        <f>IF(I505="ENFASIS","ÉNFASIS "&amp;M505,IFERROR(VLOOKUP(J505,Grupos!$A$2:$D$100,4,FALSE),J505))</f>
        <v/>
      </c>
      <c r="R505">
        <f>O505&amp;IF(N505&lt;&gt;"",IF(O505&lt;&gt;""," · ","")&amp;"Con: "&amp;N505,"")</f>
        <v/>
      </c>
      <c r="S505">
        <f>C505&amp;"|"&amp;D505</f>
        <v/>
      </c>
      <c r="T505">
        <f>COUNTIF($S$2:S505,S505)</f>
        <v/>
      </c>
      <c r="U505">
        <f>S505&amp;"|"&amp;T505</f>
        <v/>
      </c>
      <c r="V505">
        <f>IFERROR(VLOOKUP(IF(I505="ENFASIS",LEFT(M505,FIND("+",M505&amp;"+")-1),J505),Direccion_Grupo!$A$2:$G$100,7,FALSE),"")</f>
        <v/>
      </c>
    </row>
    <row r="506">
      <c r="A506" t="n">
        <v>28</v>
      </c>
      <c r="B506" t="inlineStr">
        <is>
          <t>Meza Banguera Gladys Alicia</t>
        </is>
      </c>
      <c r="C506" t="inlineStr">
        <is>
          <t>MARTES</t>
        </is>
      </c>
      <c r="D506" t="n">
        <v>5</v>
      </c>
      <c r="E506" t="n">
        <v>3</v>
      </c>
      <c r="F506" t="n">
        <v>1</v>
      </c>
      <c r="G506" t="inlineStr">
        <is>
          <t>10:10</t>
        </is>
      </c>
      <c r="H506" t="inlineStr">
        <is>
          <t>10:55</t>
        </is>
      </c>
      <c r="I506" t="inlineStr">
        <is>
          <t>CLASE</t>
        </is>
      </c>
      <c r="J506" t="inlineStr">
        <is>
          <t>0901</t>
        </is>
      </c>
      <c r="K506" t="inlineStr">
        <is>
          <t>CAS</t>
        </is>
      </c>
      <c r="L506" t="inlineStr"/>
      <c r="M506" t="inlineStr"/>
      <c r="N506" t="inlineStr"/>
      <c r="O506" t="inlineStr"/>
      <c r="P506" t="inlineStr">
        <is>
          <t>0901-CAS</t>
        </is>
      </c>
      <c r="Q506">
        <f>IF(I506="ENFASIS","ÉNFASIS "&amp;M506,IFERROR(VLOOKUP(J506,Grupos!$A$2:$D$100,4,FALSE),J506))</f>
        <v/>
      </c>
      <c r="R506">
        <f>O506&amp;IF(N506&lt;&gt;"",IF(O506&lt;&gt;""," · ","")&amp;"Con: "&amp;N506,"")</f>
        <v/>
      </c>
      <c r="S506">
        <f>C506&amp;"|"&amp;D506</f>
        <v/>
      </c>
      <c r="T506">
        <f>COUNTIF($S$2:S506,S506)</f>
        <v/>
      </c>
      <c r="U506">
        <f>S506&amp;"|"&amp;T506</f>
        <v/>
      </c>
      <c r="V506">
        <f>IFERROR(VLOOKUP(IF(I506="ENFASIS",LEFT(M506,FIND("+",M506&amp;"+")-1),J506),Direccion_Grupo!$A$2:$G$100,7,FALSE),"")</f>
        <v/>
      </c>
    </row>
    <row r="507">
      <c r="A507" t="n">
        <v>25</v>
      </c>
      <c r="B507" t="inlineStr">
        <is>
          <t>Lemos Guancha Miriam</t>
        </is>
      </c>
      <c r="C507" t="inlineStr">
        <is>
          <t>MARTES</t>
        </is>
      </c>
      <c r="D507" t="n">
        <v>5</v>
      </c>
      <c r="E507" t="n">
        <v>3</v>
      </c>
      <c r="F507" t="n">
        <v>1</v>
      </c>
      <c r="G507" t="inlineStr">
        <is>
          <t>10:10</t>
        </is>
      </c>
      <c r="H507" t="inlineStr">
        <is>
          <t>10:55</t>
        </is>
      </c>
      <c r="I507" t="inlineStr">
        <is>
          <t>CLASE</t>
        </is>
      </c>
      <c r="J507" t="inlineStr">
        <is>
          <t>0902</t>
        </is>
      </c>
      <c r="K507" t="inlineStr">
        <is>
          <t>CNA</t>
        </is>
      </c>
      <c r="L507" t="inlineStr"/>
      <c r="M507" t="inlineStr"/>
      <c r="N507" t="inlineStr"/>
      <c r="O507" t="inlineStr"/>
      <c r="P507" t="inlineStr">
        <is>
          <t>0902-CNA</t>
        </is>
      </c>
      <c r="Q507">
        <f>IF(I507="ENFASIS","ÉNFASIS "&amp;M507,IFERROR(VLOOKUP(J507,Grupos!$A$2:$D$100,4,FALSE),J507))</f>
        <v/>
      </c>
      <c r="R507">
        <f>O507&amp;IF(N507&lt;&gt;"",IF(O507&lt;&gt;""," · ","")&amp;"Con: "&amp;N507,"")</f>
        <v/>
      </c>
      <c r="S507">
        <f>C507&amp;"|"&amp;D507</f>
        <v/>
      </c>
      <c r="T507">
        <f>COUNTIF($S$2:S507,S507)</f>
        <v/>
      </c>
      <c r="U507">
        <f>S507&amp;"|"&amp;T507</f>
        <v/>
      </c>
      <c r="V507">
        <f>IFERROR(VLOOKUP(IF(I507="ENFASIS",LEFT(M507,FIND("+",M507&amp;"+")-1),J507),Direccion_Grupo!$A$2:$G$100,7,FALSE),"")</f>
        <v/>
      </c>
    </row>
    <row r="508">
      <c r="A508" t="n">
        <v>22</v>
      </c>
      <c r="B508" t="inlineStr">
        <is>
          <t>González Castillo Jólmer Jimy</t>
        </is>
      </c>
      <c r="C508" t="inlineStr">
        <is>
          <t>MARTES</t>
        </is>
      </c>
      <c r="D508" t="n">
        <v>5</v>
      </c>
      <c r="E508" t="n">
        <v>3</v>
      </c>
      <c r="F508" t="n">
        <v>1</v>
      </c>
      <c r="G508" t="inlineStr">
        <is>
          <t>10:10</t>
        </is>
      </c>
      <c r="H508" t="inlineStr">
        <is>
          <t>10:55</t>
        </is>
      </c>
      <c r="I508" t="inlineStr">
        <is>
          <t>CLASE</t>
        </is>
      </c>
      <c r="J508" t="inlineStr">
        <is>
          <t>1001</t>
        </is>
      </c>
      <c r="K508" t="inlineStr">
        <is>
          <t>ERD</t>
        </is>
      </c>
      <c r="L508" t="inlineStr"/>
      <c r="M508" t="inlineStr"/>
      <c r="N508" t="inlineStr"/>
      <c r="O508" t="inlineStr"/>
      <c r="P508" t="inlineStr">
        <is>
          <t>1001-ERD</t>
        </is>
      </c>
      <c r="Q508">
        <f>IF(I508="ENFASIS","ÉNFASIS "&amp;M508,IFERROR(VLOOKUP(J508,Grupos!$A$2:$D$100,4,FALSE),J508))</f>
        <v/>
      </c>
      <c r="R508">
        <f>O508&amp;IF(N508&lt;&gt;"",IF(O508&lt;&gt;""," · ","")&amp;"Con: "&amp;N508,"")</f>
        <v/>
      </c>
      <c r="S508">
        <f>C508&amp;"|"&amp;D508</f>
        <v/>
      </c>
      <c r="T508">
        <f>COUNTIF($S$2:S508,S508)</f>
        <v/>
      </c>
      <c r="U508">
        <f>S508&amp;"|"&amp;T508</f>
        <v/>
      </c>
      <c r="V508">
        <f>IFERROR(VLOOKUP(IF(I508="ENFASIS",LEFT(M508,FIND("+",M508&amp;"+")-1),J508),Direccion_Grupo!$A$2:$G$100,7,FALSE),"")</f>
        <v/>
      </c>
    </row>
    <row r="509">
      <c r="A509" t="n">
        <v>3</v>
      </c>
      <c r="B509" t="inlineStr">
        <is>
          <t>Arboleda Ortiz Luz América</t>
        </is>
      </c>
      <c r="C509" t="inlineStr">
        <is>
          <t>MARTES</t>
        </is>
      </c>
      <c r="D509" t="n">
        <v>5</v>
      </c>
      <c r="E509" t="n">
        <v>3</v>
      </c>
      <c r="F509" t="n">
        <v>1</v>
      </c>
      <c r="G509" t="inlineStr">
        <is>
          <t>10:10</t>
        </is>
      </c>
      <c r="H509" t="inlineStr">
        <is>
          <t>10:55</t>
        </is>
      </c>
      <c r="I509" t="inlineStr">
        <is>
          <t>CLASE</t>
        </is>
      </c>
      <c r="J509" t="inlineStr">
        <is>
          <t>1101</t>
        </is>
      </c>
      <c r="K509" t="inlineStr">
        <is>
          <t>ART</t>
        </is>
      </c>
      <c r="L509" t="inlineStr"/>
      <c r="M509" t="inlineStr"/>
      <c r="N509" t="inlineStr"/>
      <c r="O509" t="inlineStr"/>
      <c r="P509" t="inlineStr">
        <is>
          <t>1101-ART</t>
        </is>
      </c>
      <c r="Q509">
        <f>IF(I509="ENFASIS","ÉNFASIS "&amp;M509,IFERROR(VLOOKUP(J509,Grupos!$A$2:$D$100,4,FALSE),J509))</f>
        <v/>
      </c>
      <c r="R509">
        <f>O509&amp;IF(N509&lt;&gt;"",IF(O509&lt;&gt;""," · ","")&amp;"Con: "&amp;N509,"")</f>
        <v/>
      </c>
      <c r="S509">
        <f>C509&amp;"|"&amp;D509</f>
        <v/>
      </c>
      <c r="T509">
        <f>COUNTIF($S$2:S509,S509)</f>
        <v/>
      </c>
      <c r="U509">
        <f>S509&amp;"|"&amp;T509</f>
        <v/>
      </c>
      <c r="V509">
        <f>IFERROR(VLOOKUP(IF(I509="ENFASIS",LEFT(M509,FIND("+",M509&amp;"+")-1),J509),Direccion_Grupo!$A$2:$G$100,7,FALSE),"")</f>
        <v/>
      </c>
    </row>
    <row r="510">
      <c r="A510" t="n">
        <v>53</v>
      </c>
      <c r="B510" t="inlineStr">
        <is>
          <t>Villota Rubio Héctor Hugo</t>
        </is>
      </c>
      <c r="C510" t="inlineStr">
        <is>
          <t>MARTES</t>
        </is>
      </c>
      <c r="D510" t="n">
        <v>5</v>
      </c>
      <c r="E510" t="n">
        <v>3</v>
      </c>
      <c r="F510" t="n">
        <v>1</v>
      </c>
      <c r="G510" t="inlineStr">
        <is>
          <t>10:10</t>
        </is>
      </c>
      <c r="H510" t="inlineStr">
        <is>
          <t>10:55</t>
        </is>
      </c>
      <c r="I510" t="inlineStr">
        <is>
          <t>CLASE</t>
        </is>
      </c>
      <c r="J510" t="inlineStr">
        <is>
          <t>1102</t>
        </is>
      </c>
      <c r="K510" t="inlineStr">
        <is>
          <t>CNA</t>
        </is>
      </c>
      <c r="L510" t="inlineStr"/>
      <c r="M510" t="inlineStr"/>
      <c r="N510" t="inlineStr"/>
      <c r="O510" t="inlineStr"/>
      <c r="P510" t="inlineStr">
        <is>
          <t>1102-CNA</t>
        </is>
      </c>
      <c r="Q510">
        <f>IF(I510="ENFASIS","ÉNFASIS "&amp;M510,IFERROR(VLOOKUP(J510,Grupos!$A$2:$D$100,4,FALSE),J510))</f>
        <v/>
      </c>
      <c r="R510">
        <f>O510&amp;IF(N510&lt;&gt;"",IF(O510&lt;&gt;""," · ","")&amp;"Con: "&amp;N510,"")</f>
        <v/>
      </c>
      <c r="S510">
        <f>C510&amp;"|"&amp;D510</f>
        <v/>
      </c>
      <c r="T510">
        <f>COUNTIF($S$2:S510,S510)</f>
        <v/>
      </c>
      <c r="U510">
        <f>S510&amp;"|"&amp;T510</f>
        <v/>
      </c>
      <c r="V510">
        <f>IFERROR(VLOOKUP(IF(I510="ENFASIS",LEFT(M510,FIND("+",M510&amp;"+")-1),J510),Direccion_Grupo!$A$2:$G$100,7,FALSE),"")</f>
        <v/>
      </c>
    </row>
    <row r="511">
      <c r="A511" t="n">
        <v>20</v>
      </c>
      <c r="B511" t="inlineStr">
        <is>
          <t>García Gobea Saydi Magali</t>
        </is>
      </c>
      <c r="C511" t="inlineStr">
        <is>
          <t>MARTES</t>
        </is>
      </c>
      <c r="D511" t="n">
        <v>5</v>
      </c>
      <c r="E511" t="n">
        <v>3</v>
      </c>
      <c r="F511" t="n">
        <v>1</v>
      </c>
      <c r="G511" t="inlineStr">
        <is>
          <t>10:10</t>
        </is>
      </c>
      <c r="H511" t="inlineStr">
        <is>
          <t>10:55</t>
        </is>
      </c>
      <c r="I511" t="inlineStr">
        <is>
          <t>CLASE</t>
        </is>
      </c>
      <c r="J511" t="inlineStr">
        <is>
          <t>CS101</t>
        </is>
      </c>
      <c r="K511" t="inlineStr">
        <is>
          <t>CSI</t>
        </is>
      </c>
      <c r="L511" t="inlineStr"/>
      <c r="M511" t="inlineStr"/>
      <c r="N511" t="inlineStr"/>
      <c r="O511" t="inlineStr">
        <is>
          <t>Sociales / Inglés (alternan cada semana)</t>
        </is>
      </c>
      <c r="P511" t="inlineStr">
        <is>
          <t>CS101-CSI</t>
        </is>
      </c>
      <c r="Q511">
        <f>IF(I511="ENFASIS","ÉNFASIS "&amp;M511,IFERROR(VLOOKUP(J511,Grupos!$A$2:$D$100,4,FALSE),J511))</f>
        <v/>
      </c>
      <c r="R511">
        <f>O511&amp;IF(N511&lt;&gt;"",IF(O511&lt;&gt;""," · ","")&amp;"Con: "&amp;N511,"")</f>
        <v/>
      </c>
      <c r="S511">
        <f>C511&amp;"|"&amp;D511</f>
        <v/>
      </c>
      <c r="T511">
        <f>COUNTIF($S$2:S511,S511)</f>
        <v/>
      </c>
      <c r="U511">
        <f>S511&amp;"|"&amp;T511</f>
        <v/>
      </c>
      <c r="V511">
        <f>IFERROR(VLOOKUP(IF(I511="ENFASIS",LEFT(M511,FIND("+",M511&amp;"+")-1),J511),Direccion_Grupo!$A$2:$G$100,7,FALSE),"")</f>
        <v/>
      </c>
    </row>
    <row r="512">
      <c r="A512" t="n">
        <v>57</v>
      </c>
      <c r="B512" t="inlineStr">
        <is>
          <t>Armero Dájome Jesús</t>
        </is>
      </c>
      <c r="C512" t="inlineStr">
        <is>
          <t>MARTES</t>
        </is>
      </c>
      <c r="D512" t="n">
        <v>5</v>
      </c>
      <c r="E512" t="n">
        <v>3</v>
      </c>
      <c r="F512" t="n">
        <v>1</v>
      </c>
      <c r="G512" t="inlineStr">
        <is>
          <t>10:10</t>
        </is>
      </c>
      <c r="H512" t="inlineStr">
        <is>
          <t>10:55</t>
        </is>
      </c>
      <c r="I512" t="inlineStr">
        <is>
          <t>CLASE</t>
        </is>
      </c>
      <c r="J512" t="inlineStr">
        <is>
          <t>CS102</t>
        </is>
      </c>
      <c r="K512" t="inlineStr">
        <is>
          <t>ERD</t>
        </is>
      </c>
      <c r="L512" t="inlineStr"/>
      <c r="M512" t="inlineStr"/>
      <c r="N512" t="inlineStr"/>
      <c r="O512" t="inlineStr"/>
      <c r="P512" t="inlineStr">
        <is>
          <t>CS102-ERD</t>
        </is>
      </c>
      <c r="Q512">
        <f>IF(I512="ENFASIS","ÉNFASIS "&amp;M512,IFERROR(VLOOKUP(J512,Grupos!$A$2:$D$100,4,FALSE),J512))</f>
        <v/>
      </c>
      <c r="R512">
        <f>O512&amp;IF(N512&lt;&gt;"",IF(O512&lt;&gt;""," · ","")&amp;"Con: "&amp;N512,"")</f>
        <v/>
      </c>
      <c r="S512">
        <f>C512&amp;"|"&amp;D512</f>
        <v/>
      </c>
      <c r="T512">
        <f>COUNTIF($S$2:S512,S512)</f>
        <v/>
      </c>
      <c r="U512">
        <f>S512&amp;"|"&amp;T512</f>
        <v/>
      </c>
      <c r="V512">
        <f>IFERROR(VLOOKUP(IF(I512="ENFASIS",LEFT(M512,FIND("+",M512&amp;"+")-1),J512),Direccion_Grupo!$A$2:$G$100,7,FALSE),"")</f>
        <v/>
      </c>
    </row>
    <row r="513">
      <c r="A513" t="n">
        <v>51</v>
      </c>
      <c r="B513" t="inlineStr">
        <is>
          <t>Valverde Montaño María Teresa</t>
        </is>
      </c>
      <c r="C513" t="inlineStr">
        <is>
          <t>MARTES</t>
        </is>
      </c>
      <c r="D513" t="n">
        <v>5</v>
      </c>
      <c r="E513" t="n">
        <v>3</v>
      </c>
      <c r="F513" t="n">
        <v>1</v>
      </c>
      <c r="G513" t="inlineStr">
        <is>
          <t>10:10</t>
        </is>
      </c>
      <c r="H513" t="inlineStr">
        <is>
          <t>10:55</t>
        </is>
      </c>
      <c r="I513" t="inlineStr">
        <is>
          <t>CLASE</t>
        </is>
      </c>
      <c r="J513" t="inlineStr">
        <is>
          <t>CS201</t>
        </is>
      </c>
      <c r="K513" t="inlineStr">
        <is>
          <t>CAS</t>
        </is>
      </c>
      <c r="L513" t="inlineStr"/>
      <c r="M513" t="inlineStr"/>
      <c r="N513" t="inlineStr"/>
      <c r="O513" t="inlineStr"/>
      <c r="P513" t="inlineStr">
        <is>
          <t>CS201-CAS</t>
        </is>
      </c>
      <c r="Q513">
        <f>IF(I513="ENFASIS","ÉNFASIS "&amp;M513,IFERROR(VLOOKUP(J513,Grupos!$A$2:$D$100,4,FALSE),J513))</f>
        <v/>
      </c>
      <c r="R513">
        <f>O513&amp;IF(N513&lt;&gt;"",IF(O513&lt;&gt;""," · ","")&amp;"Con: "&amp;N513,"")</f>
        <v/>
      </c>
      <c r="S513">
        <f>C513&amp;"|"&amp;D513</f>
        <v/>
      </c>
      <c r="T513">
        <f>COUNTIF($S$2:S513,S513)</f>
        <v/>
      </c>
      <c r="U513">
        <f>S513&amp;"|"&amp;T513</f>
        <v/>
      </c>
      <c r="V513">
        <f>IFERROR(VLOOKUP(IF(I513="ENFASIS",LEFT(M513,FIND("+",M513&amp;"+")-1),J513),Direccion_Grupo!$A$2:$G$100,7,FALSE),"")</f>
        <v/>
      </c>
    </row>
    <row r="514">
      <c r="A514" t="n">
        <v>7</v>
      </c>
      <c r="B514" t="inlineStr">
        <is>
          <t>Casanova Casanova Johana Andrea</t>
        </is>
      </c>
      <c r="C514" t="inlineStr">
        <is>
          <t>MARTES</t>
        </is>
      </c>
      <c r="D514" t="n">
        <v>5</v>
      </c>
      <c r="E514" t="n">
        <v>3</v>
      </c>
      <c r="F514" t="n">
        <v>1</v>
      </c>
      <c r="G514" t="inlineStr">
        <is>
          <t>10:10</t>
        </is>
      </c>
      <c r="H514" t="inlineStr">
        <is>
          <t>10:55</t>
        </is>
      </c>
      <c r="I514" t="inlineStr">
        <is>
          <t>ORIENTACION</t>
        </is>
      </c>
      <c r="J514" t="inlineStr">
        <is>
          <t>ORIENT</t>
        </is>
      </c>
      <c r="K514" t="inlineStr">
        <is>
          <t>ORIENTACIÓN ESCOLAR</t>
        </is>
      </c>
      <c r="L514" t="inlineStr"/>
      <c r="M514" t="inlineStr"/>
      <c r="N514" t="inlineStr"/>
      <c r="O514" t="inlineStr">
        <is>
          <t>Jornada 07:30 a 14:30</t>
        </is>
      </c>
      <c r="P514" t="inlineStr"/>
      <c r="Q514">
        <f>IF(I514="ENFASIS","ÉNFASIS "&amp;M514,IFERROR(VLOOKUP(J514,Grupos!$A$2:$D$100,4,FALSE),J514))</f>
        <v/>
      </c>
      <c r="R514">
        <f>O514&amp;IF(N514&lt;&gt;"",IF(O514&lt;&gt;""," · ","")&amp;"Con: "&amp;N514,"")</f>
        <v/>
      </c>
      <c r="S514">
        <f>C514&amp;"|"&amp;D514</f>
        <v/>
      </c>
      <c r="T514">
        <f>COUNTIF($S$2:S514,S514)</f>
        <v/>
      </c>
      <c r="U514">
        <f>S514&amp;"|"&amp;T514</f>
        <v/>
      </c>
      <c r="V514">
        <f>IFERROR(VLOOKUP(IF(I514="ENFASIS",LEFT(M514,FIND("+",M514&amp;"+")-1),J514),Direccion_Grupo!$A$2:$G$100,7,FALSE),"")</f>
        <v/>
      </c>
    </row>
    <row r="515">
      <c r="A515" t="n">
        <v>36</v>
      </c>
      <c r="B515" t="inlineStr">
        <is>
          <t>Ponce Moncayo Ángela Paola</t>
        </is>
      </c>
      <c r="C515" t="inlineStr">
        <is>
          <t>MARTES</t>
        </is>
      </c>
      <c r="D515" t="n">
        <v>5</v>
      </c>
      <c r="E515" t="n">
        <v>3</v>
      </c>
      <c r="F515" t="n">
        <v>1</v>
      </c>
      <c r="G515" t="inlineStr">
        <is>
          <t>10:10</t>
        </is>
      </c>
      <c r="H515" t="inlineStr">
        <is>
          <t>10:55</t>
        </is>
      </c>
      <c r="I515" t="inlineStr">
        <is>
          <t>ORIENTACION</t>
        </is>
      </c>
      <c r="J515" t="inlineStr">
        <is>
          <t>ORIENT</t>
        </is>
      </c>
      <c r="K515" t="inlineStr">
        <is>
          <t>ORIENTACIÓN ESCOLAR</t>
        </is>
      </c>
      <c r="L515" t="inlineStr"/>
      <c r="M515" t="inlineStr"/>
      <c r="N515" t="inlineStr"/>
      <c r="O515" t="inlineStr">
        <is>
          <t>Jornada 08:30 a 13:30</t>
        </is>
      </c>
      <c r="P515" t="inlineStr"/>
      <c r="Q515">
        <f>IF(I515="ENFASIS","ÉNFASIS "&amp;M515,IFERROR(VLOOKUP(J515,Grupos!$A$2:$D$100,4,FALSE),J515))</f>
        <v/>
      </c>
      <c r="R515">
        <f>O515&amp;IF(N515&lt;&gt;"",IF(O515&lt;&gt;""," · ","")&amp;"Con: "&amp;N515,"")</f>
        <v/>
      </c>
      <c r="S515">
        <f>C515&amp;"|"&amp;D515</f>
        <v/>
      </c>
      <c r="T515">
        <f>COUNTIF($S$2:S515,S515)</f>
        <v/>
      </c>
      <c r="U515">
        <f>S515&amp;"|"&amp;T515</f>
        <v/>
      </c>
      <c r="V515">
        <f>IFERROR(VLOOKUP(IF(I515="ENFASIS",LEFT(M515,FIND("+",M515&amp;"+")-1),J515),Direccion_Grupo!$A$2:$G$100,7,FALSE),"")</f>
        <v/>
      </c>
    </row>
    <row r="516">
      <c r="A516" t="n">
        <v>56</v>
      </c>
      <c r="B516" t="inlineStr">
        <is>
          <t>Ortiz Estacio Martha Cecilia</t>
        </is>
      </c>
      <c r="C516" t="inlineStr">
        <is>
          <t>MARTES</t>
        </is>
      </c>
      <c r="D516" t="n">
        <v>5</v>
      </c>
      <c r="E516" t="n">
        <v>3</v>
      </c>
      <c r="F516" t="n">
        <v>1</v>
      </c>
      <c r="G516" t="inlineStr">
        <is>
          <t>10:10</t>
        </is>
      </c>
      <c r="H516" t="inlineStr">
        <is>
          <t>10:55</t>
        </is>
      </c>
      <c r="I516" t="inlineStr">
        <is>
          <t>TUTORIA</t>
        </is>
      </c>
      <c r="J516" t="inlineStr">
        <is>
          <t>PTAFI</t>
        </is>
      </c>
      <c r="K516" t="inlineStr">
        <is>
          <t>TUTORÍA PTAFI</t>
        </is>
      </c>
      <c r="L516" t="inlineStr"/>
      <c r="M516" t="inlineStr"/>
      <c r="N516" t="inlineStr"/>
      <c r="O516" t="inlineStr">
        <is>
          <t>Jornada 06:30 a 12:00</t>
        </is>
      </c>
      <c r="P516" t="inlineStr"/>
      <c r="Q516">
        <f>IF(I516="ENFASIS","ÉNFASIS "&amp;M516,IFERROR(VLOOKUP(J516,Grupos!$A$2:$D$100,4,FALSE),J516))</f>
        <v/>
      </c>
      <c r="R516">
        <f>O516&amp;IF(N516&lt;&gt;"",IF(O516&lt;&gt;""," · ","")&amp;"Con: "&amp;N516,"")</f>
        <v/>
      </c>
      <c r="S516">
        <f>C516&amp;"|"&amp;D516</f>
        <v/>
      </c>
      <c r="T516">
        <f>COUNTIF($S$2:S516,S516)</f>
        <v/>
      </c>
      <c r="U516">
        <f>S516&amp;"|"&amp;T516</f>
        <v/>
      </c>
      <c r="V516">
        <f>IFERROR(VLOOKUP(IF(I516="ENFASIS",LEFT(M516,FIND("+",M516&amp;"+")-1),J516),Direccion_Grupo!$A$2:$G$100,7,FALSE),"")</f>
        <v/>
      </c>
    </row>
    <row r="517">
      <c r="A517" t="n">
        <v>19</v>
      </c>
      <c r="B517" t="inlineStr">
        <is>
          <t>Fernández Vélez Alfredo Enrique</t>
        </is>
      </c>
      <c r="C517" t="inlineStr">
        <is>
          <t>MARTES</t>
        </is>
      </c>
      <c r="D517" t="n">
        <v>5</v>
      </c>
      <c r="E517" t="n">
        <v>3</v>
      </c>
      <c r="F517" t="n">
        <v>1</v>
      </c>
      <c r="G517" t="inlineStr">
        <is>
          <t>10:10</t>
        </is>
      </c>
      <c r="H517" t="inlineStr">
        <is>
          <t>10:55</t>
        </is>
      </c>
      <c r="I517" t="inlineStr">
        <is>
          <t>ENFASIS</t>
        </is>
      </c>
      <c r="J517" t="inlineStr"/>
      <c r="K517" t="inlineStr">
        <is>
          <t>TEI</t>
        </is>
      </c>
      <c r="L517" t="inlineStr">
        <is>
          <t>0704</t>
        </is>
      </c>
      <c r="M517" t="inlineStr">
        <is>
          <t>0704</t>
        </is>
      </c>
      <c r="N517" t="inlineStr">
        <is>
          <t>Preciado Torres Oleisa (MAT)</t>
        </is>
      </c>
      <c r="O517" t="inlineStr">
        <is>
          <t>PAREJA: comparten el énfasis y alternan por semana</t>
        </is>
      </c>
      <c r="P517" t="inlineStr">
        <is>
          <t>ENFASIS-0704</t>
        </is>
      </c>
      <c r="Q517">
        <f>IF(I517="ENFASIS","ÉNFASIS "&amp;M517,IFERROR(VLOOKUP(J517,Grupos!$A$2:$D$100,4,FALSE),J517))</f>
        <v/>
      </c>
      <c r="R517">
        <f>O517&amp;IF(N517&lt;&gt;"",IF(O517&lt;&gt;""," · ","")&amp;"Con: "&amp;N517,"")</f>
        <v/>
      </c>
      <c r="S517">
        <f>C517&amp;"|"&amp;D517</f>
        <v/>
      </c>
      <c r="T517">
        <f>COUNTIF($S$2:S517,S517)</f>
        <v/>
      </c>
      <c r="U517">
        <f>S517&amp;"|"&amp;T517</f>
        <v/>
      </c>
      <c r="V517">
        <f>IFERROR(VLOOKUP(IF(I517="ENFASIS",LEFT(M517,FIND("+",M517&amp;"+")-1),J517),Direccion_Grupo!$A$2:$G$100,7,FALSE),"")</f>
        <v/>
      </c>
    </row>
    <row r="518">
      <c r="A518" t="n">
        <v>38</v>
      </c>
      <c r="B518" t="inlineStr">
        <is>
          <t>Preciado Torres Oleisa</t>
        </is>
      </c>
      <c r="C518" t="inlineStr">
        <is>
          <t>MARTES</t>
        </is>
      </c>
      <c r="D518" t="n">
        <v>5</v>
      </c>
      <c r="E518" t="n">
        <v>3</v>
      </c>
      <c r="F518" t="n">
        <v>1</v>
      </c>
      <c r="G518" t="inlineStr">
        <is>
          <t>10:10</t>
        </is>
      </c>
      <c r="H518" t="inlineStr">
        <is>
          <t>10:55</t>
        </is>
      </c>
      <c r="I518" t="inlineStr">
        <is>
          <t>ENFASIS</t>
        </is>
      </c>
      <c r="J518" t="inlineStr"/>
      <c r="K518" t="inlineStr">
        <is>
          <t>MAT</t>
        </is>
      </c>
      <c r="L518" t="inlineStr">
        <is>
          <t>0704</t>
        </is>
      </c>
      <c r="M518" t="inlineStr">
        <is>
          <t>0704</t>
        </is>
      </c>
      <c r="N518" t="inlineStr">
        <is>
          <t>Fernández Vélez Alfredo Enrique (TEI)</t>
        </is>
      </c>
      <c r="O518" t="inlineStr">
        <is>
          <t>PAREJA: comparten el énfasis y alternan por semana</t>
        </is>
      </c>
      <c r="P518" t="inlineStr">
        <is>
          <t>ENFASIS-0704</t>
        </is>
      </c>
      <c r="Q518">
        <f>IF(I518="ENFASIS","ÉNFASIS "&amp;M518,IFERROR(VLOOKUP(J518,Grupos!$A$2:$D$100,4,FALSE),J518))</f>
        <v/>
      </c>
      <c r="R518">
        <f>O518&amp;IF(N518&lt;&gt;"",IF(O518&lt;&gt;""," · ","")&amp;"Con: "&amp;N518,"")</f>
        <v/>
      </c>
      <c r="S518">
        <f>C518&amp;"|"&amp;D518</f>
        <v/>
      </c>
      <c r="T518">
        <f>COUNTIF($S$2:S518,S518)</f>
        <v/>
      </c>
      <c r="U518">
        <f>S518&amp;"|"&amp;T518</f>
        <v/>
      </c>
      <c r="V518">
        <f>IFERROR(VLOOKUP(IF(I518="ENFASIS",LEFT(M518,FIND("+",M518&amp;"+")-1),J518),Direccion_Grupo!$A$2:$G$100,7,FALSE),"")</f>
        <v/>
      </c>
    </row>
    <row r="519">
      <c r="A519" t="n">
        <v>2</v>
      </c>
      <c r="B519" t="inlineStr">
        <is>
          <t>Angulo Lucero Andrés Mauricio</t>
        </is>
      </c>
      <c r="C519" t="inlineStr">
        <is>
          <t>MARTES</t>
        </is>
      </c>
      <c r="D519" t="n">
        <v>5</v>
      </c>
      <c r="E519" t="n">
        <v>3</v>
      </c>
      <c r="F519" t="n">
        <v>1</v>
      </c>
      <c r="G519" t="inlineStr">
        <is>
          <t>10:10</t>
        </is>
      </c>
      <c r="H519" t="inlineStr">
        <is>
          <t>10:55</t>
        </is>
      </c>
      <c r="I519" t="inlineStr">
        <is>
          <t>ENFASIS</t>
        </is>
      </c>
      <c r="J519" t="inlineStr"/>
      <c r="K519" t="inlineStr">
        <is>
          <t>TEI</t>
        </is>
      </c>
      <c r="L519" t="inlineStr">
        <is>
          <t>D5-10°</t>
        </is>
      </c>
      <c r="M519" t="inlineStr">
        <is>
          <t>1002</t>
        </is>
      </c>
      <c r="N519" t="inlineStr">
        <is>
          <t>Pulgarín Ortiz César Marino (CSI); Montaño Arizala Leidis Claudina (ETR); Villota Rubio Janeth del Carmen (MAT)</t>
        </is>
      </c>
      <c r="O519" t="inlineStr">
        <is>
          <t>EQUIPO DE 4: cada docente atiende un grupo de estudiantes en su área</t>
        </is>
      </c>
      <c r="P519" t="inlineStr">
        <is>
          <t>ENFASIS-D5-10°</t>
        </is>
      </c>
      <c r="Q519">
        <f>IF(I519="ENFASIS","ÉNFASIS "&amp;M519,IFERROR(VLOOKUP(J519,Grupos!$A$2:$D$100,4,FALSE),J519))</f>
        <v/>
      </c>
      <c r="R519">
        <f>O519&amp;IF(N519&lt;&gt;"",IF(O519&lt;&gt;""," · ","")&amp;"Con: "&amp;N519,"")</f>
        <v/>
      </c>
      <c r="S519">
        <f>C519&amp;"|"&amp;D519</f>
        <v/>
      </c>
      <c r="T519">
        <f>COUNTIF($S$2:S519,S519)</f>
        <v/>
      </c>
      <c r="U519">
        <f>S519&amp;"|"&amp;T519</f>
        <v/>
      </c>
      <c r="V519">
        <f>IFERROR(VLOOKUP(IF(I519="ENFASIS",LEFT(M519,FIND("+",M519&amp;"+")-1),J519),Direccion_Grupo!$A$2:$G$100,7,FALSE),"")</f>
        <v/>
      </c>
    </row>
    <row r="520">
      <c r="A520" t="n">
        <v>31</v>
      </c>
      <c r="B520" t="inlineStr">
        <is>
          <t>Montaño Arizala Leidis Claudina</t>
        </is>
      </c>
      <c r="C520" t="inlineStr">
        <is>
          <t>MARTES</t>
        </is>
      </c>
      <c r="D520" t="n">
        <v>5</v>
      </c>
      <c r="E520" t="n">
        <v>3</v>
      </c>
      <c r="F520" t="n">
        <v>1</v>
      </c>
      <c r="G520" t="inlineStr">
        <is>
          <t>10:10</t>
        </is>
      </c>
      <c r="H520" t="inlineStr">
        <is>
          <t>10:55</t>
        </is>
      </c>
      <c r="I520" t="inlineStr">
        <is>
          <t>ENFASIS</t>
        </is>
      </c>
      <c r="J520" t="inlineStr"/>
      <c r="K520" t="inlineStr">
        <is>
          <t>ETR</t>
        </is>
      </c>
      <c r="L520" t="inlineStr">
        <is>
          <t>D5-10°</t>
        </is>
      </c>
      <c r="M520" t="inlineStr">
        <is>
          <t>1002</t>
        </is>
      </c>
      <c r="N520" t="inlineStr">
        <is>
          <t>Pulgarín Ortiz César Marino (CSI); Villota Rubio Janeth del Carmen (MAT); Angulo Lucero Andrés Mauricio (TEI)</t>
        </is>
      </c>
      <c r="O520" t="inlineStr">
        <is>
          <t>EQUIPO DE 4: cada docente atiende un grupo de estudiantes en su área</t>
        </is>
      </c>
      <c r="P520" t="inlineStr">
        <is>
          <t>ENFASIS-D5-10°</t>
        </is>
      </c>
      <c r="Q520">
        <f>IF(I520="ENFASIS","ÉNFASIS "&amp;M520,IFERROR(VLOOKUP(J520,Grupos!$A$2:$D$100,4,FALSE),J520))</f>
        <v/>
      </c>
      <c r="R520">
        <f>O520&amp;IF(N520&lt;&gt;"",IF(O520&lt;&gt;""," · ","")&amp;"Con: "&amp;N520,"")</f>
        <v/>
      </c>
      <c r="S520">
        <f>C520&amp;"|"&amp;D520</f>
        <v/>
      </c>
      <c r="T520">
        <f>COUNTIF($S$2:S520,S520)</f>
        <v/>
      </c>
      <c r="U520">
        <f>S520&amp;"|"&amp;T520</f>
        <v/>
      </c>
      <c r="V520">
        <f>IFERROR(VLOOKUP(IF(I520="ENFASIS",LEFT(M520,FIND("+",M520&amp;"+")-1),J520),Direccion_Grupo!$A$2:$G$100,7,FALSE),"")</f>
        <v/>
      </c>
    </row>
    <row r="521">
      <c r="A521" t="n">
        <v>40</v>
      </c>
      <c r="B521" t="inlineStr">
        <is>
          <t>Pulgarín Ortiz César Marino</t>
        </is>
      </c>
      <c r="C521" t="inlineStr">
        <is>
          <t>MARTES</t>
        </is>
      </c>
      <c r="D521" t="n">
        <v>5</v>
      </c>
      <c r="E521" t="n">
        <v>3</v>
      </c>
      <c r="F521" t="n">
        <v>1</v>
      </c>
      <c r="G521" t="inlineStr">
        <is>
          <t>10:10</t>
        </is>
      </c>
      <c r="H521" t="inlineStr">
        <is>
          <t>10:55</t>
        </is>
      </c>
      <c r="I521" t="inlineStr">
        <is>
          <t>ENFASIS</t>
        </is>
      </c>
      <c r="J521" t="inlineStr"/>
      <c r="K521" t="inlineStr">
        <is>
          <t>CSI</t>
        </is>
      </c>
      <c r="L521" t="inlineStr">
        <is>
          <t>D5-10°</t>
        </is>
      </c>
      <c r="M521" t="inlineStr">
        <is>
          <t>1002</t>
        </is>
      </c>
      <c r="N521" t="inlineStr">
        <is>
          <t>Montaño Arizala Leidis Claudina (ETR); Villota Rubio Janeth del Carmen (MAT); Angulo Lucero Andrés Mauricio (TEI)</t>
        </is>
      </c>
      <c r="O521" t="inlineStr">
        <is>
          <t>EQUIPO DE 4: cada docente atiende un grupo de estudiantes en su área</t>
        </is>
      </c>
      <c r="P521" t="inlineStr">
        <is>
          <t>ENFASIS-D5-10°</t>
        </is>
      </c>
      <c r="Q521">
        <f>IF(I521="ENFASIS","ÉNFASIS "&amp;M521,IFERROR(VLOOKUP(J521,Grupos!$A$2:$D$100,4,FALSE),J521))</f>
        <v/>
      </c>
      <c r="R521">
        <f>O521&amp;IF(N521&lt;&gt;"",IF(O521&lt;&gt;""," · ","")&amp;"Con: "&amp;N521,"")</f>
        <v/>
      </c>
      <c r="S521">
        <f>C521&amp;"|"&amp;D521</f>
        <v/>
      </c>
      <c r="T521">
        <f>COUNTIF($S$2:S521,S521)</f>
        <v/>
      </c>
      <c r="U521">
        <f>S521&amp;"|"&amp;T521</f>
        <v/>
      </c>
      <c r="V521">
        <f>IFERROR(VLOOKUP(IF(I521="ENFASIS",LEFT(M521,FIND("+",M521&amp;"+")-1),J521),Direccion_Grupo!$A$2:$G$100,7,FALSE),"")</f>
        <v/>
      </c>
    </row>
    <row r="522">
      <c r="A522" t="n">
        <v>54</v>
      </c>
      <c r="B522" t="inlineStr">
        <is>
          <t>Villota Rubio Janeth del Carmen</t>
        </is>
      </c>
      <c r="C522" t="inlineStr">
        <is>
          <t>MARTES</t>
        </is>
      </c>
      <c r="D522" t="n">
        <v>5</v>
      </c>
      <c r="E522" t="n">
        <v>3</v>
      </c>
      <c r="F522" t="n">
        <v>1</v>
      </c>
      <c r="G522" t="inlineStr">
        <is>
          <t>10:10</t>
        </is>
      </c>
      <c r="H522" t="inlineStr">
        <is>
          <t>10:55</t>
        </is>
      </c>
      <c r="I522" t="inlineStr">
        <is>
          <t>ENFASIS</t>
        </is>
      </c>
      <c r="J522" t="inlineStr"/>
      <c r="K522" t="inlineStr">
        <is>
          <t>MAT</t>
        </is>
      </c>
      <c r="L522" t="inlineStr">
        <is>
          <t>D5-10°</t>
        </is>
      </c>
      <c r="M522" t="inlineStr">
        <is>
          <t>1002</t>
        </is>
      </c>
      <c r="N522" t="inlineStr">
        <is>
          <t>Pulgarín Ortiz César Marino (CSI); Montaño Arizala Leidis Claudina (ETR); Angulo Lucero Andrés Mauricio (TEI)</t>
        </is>
      </c>
      <c r="O522" t="inlineStr">
        <is>
          <t>EQUIPO DE 4: cada docente atiende un grupo de estudiantes en su área</t>
        </is>
      </c>
      <c r="P522" t="inlineStr">
        <is>
          <t>ENFASIS-D5-10°</t>
        </is>
      </c>
      <c r="Q522">
        <f>IF(I522="ENFASIS","ÉNFASIS "&amp;M522,IFERROR(VLOOKUP(J522,Grupos!$A$2:$D$100,4,FALSE),J522))</f>
        <v/>
      </c>
      <c r="R522">
        <f>O522&amp;IF(N522&lt;&gt;"",IF(O522&lt;&gt;""," · ","")&amp;"Con: "&amp;N522,"")</f>
        <v/>
      </c>
      <c r="S522">
        <f>C522&amp;"|"&amp;D522</f>
        <v/>
      </c>
      <c r="T522">
        <f>COUNTIF($S$2:S522,S522)</f>
        <v/>
      </c>
      <c r="U522">
        <f>S522&amp;"|"&amp;T522</f>
        <v/>
      </c>
      <c r="V522">
        <f>IFERROR(VLOOKUP(IF(I522="ENFASIS",LEFT(M522,FIND("+",M522&amp;"+")-1),J522),Direccion_Grupo!$A$2:$G$100,7,FALSE),"")</f>
        <v/>
      </c>
    </row>
    <row r="523">
      <c r="A523" t="n">
        <v>5</v>
      </c>
      <c r="B523" t="inlineStr">
        <is>
          <t>Bastidas Valencia Zeneida Judith</t>
        </is>
      </c>
      <c r="C523" t="inlineStr">
        <is>
          <t>MARTES</t>
        </is>
      </c>
      <c r="D523" t="n">
        <v>5</v>
      </c>
      <c r="E523" t="n">
        <v>3</v>
      </c>
      <c r="F523" t="n">
        <v>1</v>
      </c>
      <c r="G523" t="inlineStr">
        <is>
          <t>10:10</t>
        </is>
      </c>
      <c r="H523" t="inlineStr">
        <is>
          <t>10:55</t>
        </is>
      </c>
      <c r="I523" t="inlineStr">
        <is>
          <t>ENFASIS</t>
        </is>
      </c>
      <c r="J523" t="inlineStr"/>
      <c r="K523" t="inlineStr">
        <is>
          <t>MAT</t>
        </is>
      </c>
      <c r="L523" t="inlineStr">
        <is>
          <t>CS202</t>
        </is>
      </c>
      <c r="M523" t="inlineStr">
        <is>
          <t>CS202</t>
        </is>
      </c>
      <c r="N523" t="inlineStr">
        <is>
          <t>Betancourth Ocampo Yohana Patricia (CSI); Estacio Estupiñán Rosario (ETR); Mindineros Satizábal John Jáver (TEI)</t>
        </is>
      </c>
      <c r="O523" t="inlineStr">
        <is>
          <t>EQUIPO DE 4: cada docente atiende un grupo de estudiantes en su área</t>
        </is>
      </c>
      <c r="P523" t="inlineStr">
        <is>
          <t>ENFASIS-CS202</t>
        </is>
      </c>
      <c r="Q523">
        <f>IF(I523="ENFASIS","ÉNFASIS "&amp;M523,IFERROR(VLOOKUP(J523,Grupos!$A$2:$D$100,4,FALSE),J523))</f>
        <v/>
      </c>
      <c r="R523">
        <f>O523&amp;IF(N523&lt;&gt;"",IF(O523&lt;&gt;""," · ","")&amp;"Con: "&amp;N523,"")</f>
        <v/>
      </c>
      <c r="S523">
        <f>C523&amp;"|"&amp;D523</f>
        <v/>
      </c>
      <c r="T523">
        <f>COUNTIF($S$2:S523,S523)</f>
        <v/>
      </c>
      <c r="U523">
        <f>S523&amp;"|"&amp;T523</f>
        <v/>
      </c>
      <c r="V523">
        <f>IFERROR(VLOOKUP(IF(I523="ENFASIS",LEFT(M523,FIND("+",M523&amp;"+")-1),J523),Direccion_Grupo!$A$2:$G$100,7,FALSE),"")</f>
        <v/>
      </c>
    </row>
    <row r="524">
      <c r="A524" t="n">
        <v>6</v>
      </c>
      <c r="B524" t="inlineStr">
        <is>
          <t>Betancourth Ocampo Yohana Patricia</t>
        </is>
      </c>
      <c r="C524" t="inlineStr">
        <is>
          <t>MARTES</t>
        </is>
      </c>
      <c r="D524" t="n">
        <v>5</v>
      </c>
      <c r="E524" t="n">
        <v>3</v>
      </c>
      <c r="F524" t="n">
        <v>1</v>
      </c>
      <c r="G524" t="inlineStr">
        <is>
          <t>10:10</t>
        </is>
      </c>
      <c r="H524" t="inlineStr">
        <is>
          <t>10:55</t>
        </is>
      </c>
      <c r="I524" t="inlineStr">
        <is>
          <t>ENFASIS</t>
        </is>
      </c>
      <c r="J524" t="inlineStr"/>
      <c r="K524" t="inlineStr">
        <is>
          <t>CSI</t>
        </is>
      </c>
      <c r="L524" t="inlineStr">
        <is>
          <t>CS202</t>
        </is>
      </c>
      <c r="M524" t="inlineStr">
        <is>
          <t>CS202</t>
        </is>
      </c>
      <c r="N524" t="inlineStr">
        <is>
          <t>Estacio Estupiñán Rosario (ETR); Bastidas Valencia Zeneida Judith (MAT); Mindineros Satizábal John Jáver (TEI)</t>
        </is>
      </c>
      <c r="O524" t="inlineStr">
        <is>
          <t>EQUIPO DE 4: cada docente atiende un grupo de estudiantes en su área</t>
        </is>
      </c>
      <c r="P524" t="inlineStr">
        <is>
          <t>ENFASIS-CS202</t>
        </is>
      </c>
      <c r="Q524">
        <f>IF(I524="ENFASIS","ÉNFASIS "&amp;M524,IFERROR(VLOOKUP(J524,Grupos!$A$2:$D$100,4,FALSE),J524))</f>
        <v/>
      </c>
      <c r="R524">
        <f>O524&amp;IF(N524&lt;&gt;"",IF(O524&lt;&gt;""," · ","")&amp;"Con: "&amp;N524,"")</f>
        <v/>
      </c>
      <c r="S524">
        <f>C524&amp;"|"&amp;D524</f>
        <v/>
      </c>
      <c r="T524">
        <f>COUNTIF($S$2:S524,S524)</f>
        <v/>
      </c>
      <c r="U524">
        <f>S524&amp;"|"&amp;T524</f>
        <v/>
      </c>
      <c r="V524">
        <f>IFERROR(VLOOKUP(IF(I524="ENFASIS",LEFT(M524,FIND("+",M524&amp;"+")-1),J524),Direccion_Grupo!$A$2:$G$100,7,FALSE),"")</f>
        <v/>
      </c>
    </row>
    <row r="525">
      <c r="A525" t="n">
        <v>18</v>
      </c>
      <c r="B525" t="inlineStr">
        <is>
          <t>Estacio Estupiñán Rosario</t>
        </is>
      </c>
      <c r="C525" t="inlineStr">
        <is>
          <t>MARTES</t>
        </is>
      </c>
      <c r="D525" t="n">
        <v>5</v>
      </c>
      <c r="E525" t="n">
        <v>3</v>
      </c>
      <c r="F525" t="n">
        <v>1</v>
      </c>
      <c r="G525" t="inlineStr">
        <is>
          <t>10:10</t>
        </is>
      </c>
      <c r="H525" t="inlineStr">
        <is>
          <t>10:55</t>
        </is>
      </c>
      <c r="I525" t="inlineStr">
        <is>
          <t>ENFASIS</t>
        </is>
      </c>
      <c r="J525" t="inlineStr"/>
      <c r="K525" t="inlineStr">
        <is>
          <t>ETR</t>
        </is>
      </c>
      <c r="L525" t="inlineStr">
        <is>
          <t>CS202</t>
        </is>
      </c>
      <c r="M525" t="inlineStr">
        <is>
          <t>CS202</t>
        </is>
      </c>
      <c r="N525" t="inlineStr">
        <is>
          <t>Betancourth Ocampo Yohana Patricia (CSI); Bastidas Valencia Zeneida Judith (MAT); Mindineros Satizábal John Jáver (TEI)</t>
        </is>
      </c>
      <c r="O525" t="inlineStr">
        <is>
          <t>EQUIPO DE 4: cada docente atiende un grupo de estudiantes en su área</t>
        </is>
      </c>
      <c r="P525" t="inlineStr">
        <is>
          <t>ENFASIS-CS202</t>
        </is>
      </c>
      <c r="Q525">
        <f>IF(I525="ENFASIS","ÉNFASIS "&amp;M525,IFERROR(VLOOKUP(J525,Grupos!$A$2:$D$100,4,FALSE),J525))</f>
        <v/>
      </c>
      <c r="R525">
        <f>O525&amp;IF(N525&lt;&gt;"",IF(O525&lt;&gt;""," · ","")&amp;"Con: "&amp;N525,"")</f>
        <v/>
      </c>
      <c r="S525">
        <f>C525&amp;"|"&amp;D525</f>
        <v/>
      </c>
      <c r="T525">
        <f>COUNTIF($S$2:S525,S525)</f>
        <v/>
      </c>
      <c r="U525">
        <f>S525&amp;"|"&amp;T525</f>
        <v/>
      </c>
      <c r="V525">
        <f>IFERROR(VLOOKUP(IF(I525="ENFASIS",LEFT(M525,FIND("+",M525&amp;"+")-1),J525),Direccion_Grupo!$A$2:$G$100,7,FALSE),"")</f>
        <v/>
      </c>
    </row>
    <row r="526">
      <c r="A526" t="n">
        <v>29</v>
      </c>
      <c r="B526" t="inlineStr">
        <is>
          <t>Mindineros Satizábal John Jáver</t>
        </is>
      </c>
      <c r="C526" t="inlineStr">
        <is>
          <t>MARTES</t>
        </is>
      </c>
      <c r="D526" t="n">
        <v>5</v>
      </c>
      <c r="E526" t="n">
        <v>3</v>
      </c>
      <c r="F526" t="n">
        <v>1</v>
      </c>
      <c r="G526" t="inlineStr">
        <is>
          <t>10:10</t>
        </is>
      </c>
      <c r="H526" t="inlineStr">
        <is>
          <t>10:55</t>
        </is>
      </c>
      <c r="I526" t="inlineStr">
        <is>
          <t>ENFASIS</t>
        </is>
      </c>
      <c r="J526" t="inlineStr"/>
      <c r="K526" t="inlineStr">
        <is>
          <t>TEI</t>
        </is>
      </c>
      <c r="L526" t="inlineStr">
        <is>
          <t>CS202</t>
        </is>
      </c>
      <c r="M526" t="inlineStr">
        <is>
          <t>CS202</t>
        </is>
      </c>
      <c r="N526" t="inlineStr">
        <is>
          <t>Betancourth Ocampo Yohana Patricia (CSI); Estacio Estupiñán Rosario (ETR); Bastidas Valencia Zeneida Judith (MAT)</t>
        </is>
      </c>
      <c r="O526" t="inlineStr">
        <is>
          <t>EQUIPO DE 4: cada docente atiende un grupo de estudiantes en su área</t>
        </is>
      </c>
      <c r="P526" t="inlineStr">
        <is>
          <t>ENFASIS-CS202</t>
        </is>
      </c>
      <c r="Q526">
        <f>IF(I526="ENFASIS","ÉNFASIS "&amp;M526,IFERROR(VLOOKUP(J526,Grupos!$A$2:$D$100,4,FALSE),J526))</f>
        <v/>
      </c>
      <c r="R526">
        <f>O526&amp;IF(N526&lt;&gt;"",IF(O526&lt;&gt;""," · ","")&amp;"Con: "&amp;N526,"")</f>
        <v/>
      </c>
      <c r="S526">
        <f>C526&amp;"|"&amp;D526</f>
        <v/>
      </c>
      <c r="T526">
        <f>COUNTIF($S$2:S526,S526)</f>
        <v/>
      </c>
      <c r="U526">
        <f>S526&amp;"|"&amp;T526</f>
        <v/>
      </c>
      <c r="V526">
        <f>IFERROR(VLOOKUP(IF(I526="ENFASIS",LEFT(M526,FIND("+",M526&amp;"+")-1),J526),Direccion_Grupo!$A$2:$G$100,7,FALSE),"")</f>
        <v/>
      </c>
    </row>
    <row r="527">
      <c r="A527" t="n">
        <v>50</v>
      </c>
      <c r="B527" t="inlineStr">
        <is>
          <t>Valencia Solís Gloria Alexa</t>
        </is>
      </c>
      <c r="C527" t="inlineStr">
        <is>
          <t>MARTES</t>
        </is>
      </c>
      <c r="D527" t="n">
        <v>6</v>
      </c>
      <c r="E527" t="n">
        <v>3</v>
      </c>
      <c r="F527" t="n">
        <v>2</v>
      </c>
      <c r="G527" t="inlineStr">
        <is>
          <t>10:30</t>
        </is>
      </c>
      <c r="H527" t="inlineStr">
        <is>
          <t>11:30</t>
        </is>
      </c>
      <c r="I527" t="inlineStr">
        <is>
          <t>AREAS_MULTIPLES</t>
        </is>
      </c>
      <c r="J527" t="inlineStr">
        <is>
          <t>0001</t>
        </is>
      </c>
      <c r="K527" t="inlineStr">
        <is>
          <t>ÁREAS MÚLTIPLES</t>
        </is>
      </c>
      <c r="L527" t="inlineStr"/>
      <c r="M527" t="inlineStr"/>
      <c r="N527" t="inlineStr"/>
      <c r="O527" t="inlineStr">
        <is>
          <t>Maestro de aula: todas las áreas con su grupo</t>
        </is>
      </c>
      <c r="P527" t="inlineStr"/>
      <c r="Q527">
        <f>IF(I527="ENFASIS","ÉNFASIS "&amp;M527,IFERROR(VLOOKUP(J527,Grupos!$A$2:$D$100,4,FALSE),J527))</f>
        <v/>
      </c>
      <c r="R527">
        <f>O527&amp;IF(N527&lt;&gt;"",IF(O527&lt;&gt;""," · ","")&amp;"Con: "&amp;N527,"")</f>
        <v/>
      </c>
      <c r="S527">
        <f>C527&amp;"|"&amp;D527</f>
        <v/>
      </c>
      <c r="T527">
        <f>COUNTIF($S$2:S527,S527)</f>
        <v/>
      </c>
      <c r="U527">
        <f>S527&amp;"|"&amp;T527</f>
        <v/>
      </c>
      <c r="V527">
        <f>IFERROR(VLOOKUP(IF(I527="ENFASIS",LEFT(M527,FIND("+",M527&amp;"+")-1),J527),Direccion_Grupo!$A$2:$G$100,7,FALSE),"")</f>
        <v/>
      </c>
    </row>
    <row r="528">
      <c r="A528" t="n">
        <v>27</v>
      </c>
      <c r="B528" t="inlineStr">
        <is>
          <t>Martínez Álvarez Andrea Ascención</t>
        </is>
      </c>
      <c r="C528" t="inlineStr">
        <is>
          <t>MARTES</t>
        </is>
      </c>
      <c r="D528" t="n">
        <v>6</v>
      </c>
      <c r="E528" t="n">
        <v>3</v>
      </c>
      <c r="F528" t="n">
        <v>2</v>
      </c>
      <c r="G528" t="inlineStr">
        <is>
          <t>10:30</t>
        </is>
      </c>
      <c r="H528" t="inlineStr">
        <is>
          <t>11:30</t>
        </is>
      </c>
      <c r="I528" t="inlineStr">
        <is>
          <t>AREAS_MULTIPLES</t>
        </is>
      </c>
      <c r="J528" t="inlineStr">
        <is>
          <t>0002</t>
        </is>
      </c>
      <c r="K528" t="inlineStr">
        <is>
          <t>ÁREAS MÚLTIPLES</t>
        </is>
      </c>
      <c r="L528" t="inlineStr"/>
      <c r="M528" t="inlineStr"/>
      <c r="N528" t="inlineStr"/>
      <c r="O528" t="inlineStr">
        <is>
          <t>Maestro de aula: todas las áreas con su grupo</t>
        </is>
      </c>
      <c r="P528" t="inlineStr"/>
      <c r="Q528">
        <f>IF(I528="ENFASIS","ÉNFASIS "&amp;M528,IFERROR(VLOOKUP(J528,Grupos!$A$2:$D$100,4,FALSE),J528))</f>
        <v/>
      </c>
      <c r="R528">
        <f>O528&amp;IF(N528&lt;&gt;"",IF(O528&lt;&gt;""," · ","")&amp;"Con: "&amp;N528,"")</f>
        <v/>
      </c>
      <c r="S528">
        <f>C528&amp;"|"&amp;D528</f>
        <v/>
      </c>
      <c r="T528">
        <f>COUNTIF($S$2:S528,S528)</f>
        <v/>
      </c>
      <c r="U528">
        <f>S528&amp;"|"&amp;T528</f>
        <v/>
      </c>
      <c r="V528">
        <f>IFERROR(VLOOKUP(IF(I528="ENFASIS",LEFT(M528,FIND("+",M528&amp;"+")-1),J528),Direccion_Grupo!$A$2:$G$100,7,FALSE),"")</f>
        <v/>
      </c>
    </row>
    <row r="529">
      <c r="A529" t="n">
        <v>23</v>
      </c>
      <c r="B529" t="inlineStr">
        <is>
          <t>Landázuri Quiñones María Elia</t>
        </is>
      </c>
      <c r="C529" t="inlineStr">
        <is>
          <t>MARTES</t>
        </is>
      </c>
      <c r="D529" t="n">
        <v>6</v>
      </c>
      <c r="E529" t="n">
        <v>3</v>
      </c>
      <c r="F529" t="n">
        <v>2</v>
      </c>
      <c r="G529" t="inlineStr">
        <is>
          <t>10:55</t>
        </is>
      </c>
      <c r="H529" t="inlineStr">
        <is>
          <t>11:40</t>
        </is>
      </c>
      <c r="I529" t="inlineStr">
        <is>
          <t>AREAS_MULTIPLES</t>
        </is>
      </c>
      <c r="J529" t="inlineStr">
        <is>
          <t>0101</t>
        </is>
      </c>
      <c r="K529" t="inlineStr">
        <is>
          <t>ÁREAS MÚLTIPLES</t>
        </is>
      </c>
      <c r="L529" t="inlineStr"/>
      <c r="M529" t="inlineStr"/>
      <c r="N529" t="inlineStr"/>
      <c r="O529" t="inlineStr">
        <is>
          <t>Maestro de aula: todas las áreas con su grupo</t>
        </is>
      </c>
      <c r="P529" t="inlineStr"/>
      <c r="Q529">
        <f>IF(I529="ENFASIS","ÉNFASIS "&amp;M529,IFERROR(VLOOKUP(J529,Grupos!$A$2:$D$100,4,FALSE),J529))</f>
        <v/>
      </c>
      <c r="R529">
        <f>O529&amp;IF(N529&lt;&gt;"",IF(O529&lt;&gt;""," · ","")&amp;"Con: "&amp;N529,"")</f>
        <v/>
      </c>
      <c r="S529">
        <f>C529&amp;"|"&amp;D529</f>
        <v/>
      </c>
      <c r="T529">
        <f>COUNTIF($S$2:S529,S529)</f>
        <v/>
      </c>
      <c r="U529">
        <f>S529&amp;"|"&amp;T529</f>
        <v/>
      </c>
      <c r="V529">
        <f>IFERROR(VLOOKUP(IF(I529="ENFASIS",LEFT(M529,FIND("+",M529&amp;"+")-1),J529),Direccion_Grupo!$A$2:$G$100,7,FALSE),"")</f>
        <v/>
      </c>
    </row>
    <row r="530">
      <c r="A530" t="n">
        <v>45</v>
      </c>
      <c r="B530" t="inlineStr">
        <is>
          <t>Sinisterra Ana Lucía</t>
        </is>
      </c>
      <c r="C530" t="inlineStr">
        <is>
          <t>MARTES</t>
        </is>
      </c>
      <c r="D530" t="n">
        <v>6</v>
      </c>
      <c r="E530" t="n">
        <v>3</v>
      </c>
      <c r="F530" t="n">
        <v>2</v>
      </c>
      <c r="G530" t="inlineStr">
        <is>
          <t>10:55</t>
        </is>
      </c>
      <c r="H530" t="inlineStr">
        <is>
          <t>11:40</t>
        </is>
      </c>
      <c r="I530" t="inlineStr">
        <is>
          <t>AREAS_MULTIPLES</t>
        </is>
      </c>
      <c r="J530" t="inlineStr">
        <is>
          <t>0102</t>
        </is>
      </c>
      <c r="K530" t="inlineStr">
        <is>
          <t>ÁREAS MÚLTIPLES</t>
        </is>
      </c>
      <c r="L530" t="inlineStr"/>
      <c r="M530" t="inlineStr"/>
      <c r="N530" t="inlineStr"/>
      <c r="O530" t="inlineStr">
        <is>
          <t>Maestro de aula: todas las áreas con su grupo</t>
        </is>
      </c>
      <c r="P530" t="inlineStr"/>
      <c r="Q530">
        <f>IF(I530="ENFASIS","ÉNFASIS "&amp;M530,IFERROR(VLOOKUP(J530,Grupos!$A$2:$D$100,4,FALSE),J530))</f>
        <v/>
      </c>
      <c r="R530">
        <f>O530&amp;IF(N530&lt;&gt;"",IF(O530&lt;&gt;""," · ","")&amp;"Con: "&amp;N530,"")</f>
        <v/>
      </c>
      <c r="S530">
        <f>C530&amp;"|"&amp;D530</f>
        <v/>
      </c>
      <c r="T530">
        <f>COUNTIF($S$2:S530,S530)</f>
        <v/>
      </c>
      <c r="U530">
        <f>S530&amp;"|"&amp;T530</f>
        <v/>
      </c>
      <c r="V530">
        <f>IFERROR(VLOOKUP(IF(I530="ENFASIS",LEFT(M530,FIND("+",M530&amp;"+")-1),J530),Direccion_Grupo!$A$2:$G$100,7,FALSE),"")</f>
        <v/>
      </c>
    </row>
    <row r="531">
      <c r="A531" t="n">
        <v>13</v>
      </c>
      <c r="B531" t="inlineStr">
        <is>
          <t>Cortés Salazar María Ebelice</t>
        </is>
      </c>
      <c r="C531" t="inlineStr">
        <is>
          <t>MARTES</t>
        </is>
      </c>
      <c r="D531" t="n">
        <v>6</v>
      </c>
      <c r="E531" t="n">
        <v>3</v>
      </c>
      <c r="F531" t="n">
        <v>2</v>
      </c>
      <c r="G531" t="inlineStr">
        <is>
          <t>10:55</t>
        </is>
      </c>
      <c r="H531" t="inlineStr">
        <is>
          <t>11:40</t>
        </is>
      </c>
      <c r="I531" t="inlineStr">
        <is>
          <t>AREAS_MULTIPLES</t>
        </is>
      </c>
      <c r="J531" t="inlineStr">
        <is>
          <t>0201</t>
        </is>
      </c>
      <c r="K531" t="inlineStr">
        <is>
          <t>ÁREAS MÚLTIPLES</t>
        </is>
      </c>
      <c r="L531" t="inlineStr"/>
      <c r="M531" t="inlineStr"/>
      <c r="N531" t="inlineStr"/>
      <c r="O531" t="inlineStr">
        <is>
          <t>Maestro de aula: todas las áreas con su grupo</t>
        </is>
      </c>
      <c r="P531" t="inlineStr"/>
      <c r="Q531">
        <f>IF(I531="ENFASIS","ÉNFASIS "&amp;M531,IFERROR(VLOOKUP(J531,Grupos!$A$2:$D$100,4,FALSE),J531))</f>
        <v/>
      </c>
      <c r="R531">
        <f>O531&amp;IF(N531&lt;&gt;"",IF(O531&lt;&gt;""," · ","")&amp;"Con: "&amp;N531,"")</f>
        <v/>
      </c>
      <c r="S531">
        <f>C531&amp;"|"&amp;D531</f>
        <v/>
      </c>
      <c r="T531">
        <f>COUNTIF($S$2:S531,S531)</f>
        <v/>
      </c>
      <c r="U531">
        <f>S531&amp;"|"&amp;T531</f>
        <v/>
      </c>
      <c r="V531">
        <f>IFERROR(VLOOKUP(IF(I531="ENFASIS",LEFT(M531,FIND("+",M531&amp;"+")-1),J531),Direccion_Grupo!$A$2:$G$100,7,FALSE),"")</f>
        <v/>
      </c>
    </row>
    <row r="532">
      <c r="A532" t="n">
        <v>21</v>
      </c>
      <c r="B532" t="inlineStr">
        <is>
          <t>Garzón Quiñones Sixta Janina</t>
        </is>
      </c>
      <c r="C532" t="inlineStr">
        <is>
          <t>MARTES</t>
        </is>
      </c>
      <c r="D532" t="n">
        <v>6</v>
      </c>
      <c r="E532" t="n">
        <v>3</v>
      </c>
      <c r="F532" t="n">
        <v>2</v>
      </c>
      <c r="G532" t="inlineStr">
        <is>
          <t>10:55</t>
        </is>
      </c>
      <c r="H532" t="inlineStr">
        <is>
          <t>11:40</t>
        </is>
      </c>
      <c r="I532" t="inlineStr">
        <is>
          <t>AREAS_MULTIPLES</t>
        </is>
      </c>
      <c r="J532" t="inlineStr">
        <is>
          <t>0202</t>
        </is>
      </c>
      <c r="K532" t="inlineStr">
        <is>
          <t>ÁREAS MÚLTIPLES</t>
        </is>
      </c>
      <c r="L532" t="inlineStr"/>
      <c r="M532" t="inlineStr"/>
      <c r="N532" t="inlineStr"/>
      <c r="O532" t="inlineStr">
        <is>
          <t>Maestro de aula: todas las áreas con su grupo</t>
        </is>
      </c>
      <c r="P532" t="inlineStr"/>
      <c r="Q532">
        <f>IF(I532="ENFASIS","ÉNFASIS "&amp;M532,IFERROR(VLOOKUP(J532,Grupos!$A$2:$D$100,4,FALSE),J532))</f>
        <v/>
      </c>
      <c r="R532">
        <f>O532&amp;IF(N532&lt;&gt;"",IF(O532&lt;&gt;""," · ","")&amp;"Con: "&amp;N532,"")</f>
        <v/>
      </c>
      <c r="S532">
        <f>C532&amp;"|"&amp;D532</f>
        <v/>
      </c>
      <c r="T532">
        <f>COUNTIF($S$2:S532,S532)</f>
        <v/>
      </c>
      <c r="U532">
        <f>S532&amp;"|"&amp;T532</f>
        <v/>
      </c>
      <c r="V532">
        <f>IFERROR(VLOOKUP(IF(I532="ENFASIS",LEFT(M532,FIND("+",M532&amp;"+")-1),J532),Direccion_Grupo!$A$2:$G$100,7,FALSE),"")</f>
        <v/>
      </c>
    </row>
    <row r="533">
      <c r="A533" t="n">
        <v>46</v>
      </c>
      <c r="B533" t="inlineStr">
        <is>
          <t>Tenorio Cuero Lucy Bivian</t>
        </is>
      </c>
      <c r="C533" t="inlineStr">
        <is>
          <t>MARTES</t>
        </is>
      </c>
      <c r="D533" t="n">
        <v>6</v>
      </c>
      <c r="E533" t="n">
        <v>3</v>
      </c>
      <c r="F533" t="n">
        <v>2</v>
      </c>
      <c r="G533" t="inlineStr">
        <is>
          <t>10:55</t>
        </is>
      </c>
      <c r="H533" t="inlineStr">
        <is>
          <t>11:40</t>
        </is>
      </c>
      <c r="I533" t="inlineStr">
        <is>
          <t>AREAS_MULTIPLES</t>
        </is>
      </c>
      <c r="J533" t="inlineStr">
        <is>
          <t>0203</t>
        </is>
      </c>
      <c r="K533" t="inlineStr">
        <is>
          <t>ÁREAS MÚLTIPLES</t>
        </is>
      </c>
      <c r="L533" t="inlineStr"/>
      <c r="M533" t="inlineStr"/>
      <c r="N533" t="inlineStr"/>
      <c r="O533" t="inlineStr">
        <is>
          <t>Maestro de aula: todas las áreas con su grupo</t>
        </is>
      </c>
      <c r="P533" t="inlineStr"/>
      <c r="Q533">
        <f>IF(I533="ENFASIS","ÉNFASIS "&amp;M533,IFERROR(VLOOKUP(J533,Grupos!$A$2:$D$100,4,FALSE),J533))</f>
        <v/>
      </c>
      <c r="R533">
        <f>O533&amp;IF(N533&lt;&gt;"",IF(O533&lt;&gt;""," · ","")&amp;"Con: "&amp;N533,"")</f>
        <v/>
      </c>
      <c r="S533">
        <f>C533&amp;"|"&amp;D533</f>
        <v/>
      </c>
      <c r="T533">
        <f>COUNTIF($S$2:S533,S533)</f>
        <v/>
      </c>
      <c r="U533">
        <f>S533&amp;"|"&amp;T533</f>
        <v/>
      </c>
      <c r="V533">
        <f>IFERROR(VLOOKUP(IF(I533="ENFASIS",LEFT(M533,FIND("+",M533&amp;"+")-1),J533),Direccion_Grupo!$A$2:$G$100,7,FALSE),"")</f>
        <v/>
      </c>
    </row>
    <row r="534">
      <c r="A534" t="n">
        <v>48</v>
      </c>
      <c r="B534" t="inlineStr">
        <is>
          <t>Torres Segura Encarnación</t>
        </is>
      </c>
      <c r="C534" t="inlineStr">
        <is>
          <t>MARTES</t>
        </is>
      </c>
      <c r="D534" t="n">
        <v>6</v>
      </c>
      <c r="E534" t="n">
        <v>3</v>
      </c>
      <c r="F534" t="n">
        <v>2</v>
      </c>
      <c r="G534" t="inlineStr">
        <is>
          <t>10:55</t>
        </is>
      </c>
      <c r="H534" t="inlineStr">
        <is>
          <t>11:40</t>
        </is>
      </c>
      <c r="I534" t="inlineStr">
        <is>
          <t>AREAS_MULTIPLES</t>
        </is>
      </c>
      <c r="J534" t="inlineStr">
        <is>
          <t>0301</t>
        </is>
      </c>
      <c r="K534" t="inlineStr">
        <is>
          <t>ÁREAS MÚLTIPLES</t>
        </is>
      </c>
      <c r="L534" t="inlineStr"/>
      <c r="M534" t="inlineStr"/>
      <c r="N534" t="inlineStr"/>
      <c r="O534" t="inlineStr">
        <is>
          <t>Maestro de aula: todas las áreas con su grupo</t>
        </is>
      </c>
      <c r="P534" t="inlineStr"/>
      <c r="Q534">
        <f>IF(I534="ENFASIS","ÉNFASIS "&amp;M534,IFERROR(VLOOKUP(J534,Grupos!$A$2:$D$100,4,FALSE),J534))</f>
        <v/>
      </c>
      <c r="R534">
        <f>O534&amp;IF(N534&lt;&gt;"",IF(O534&lt;&gt;""," · ","")&amp;"Con: "&amp;N534,"")</f>
        <v/>
      </c>
      <c r="S534">
        <f>C534&amp;"|"&amp;D534</f>
        <v/>
      </c>
      <c r="T534">
        <f>COUNTIF($S$2:S534,S534)</f>
        <v/>
      </c>
      <c r="U534">
        <f>S534&amp;"|"&amp;T534</f>
        <v/>
      </c>
      <c r="V534">
        <f>IFERROR(VLOOKUP(IF(I534="ENFASIS",LEFT(M534,FIND("+",M534&amp;"+")-1),J534),Direccion_Grupo!$A$2:$G$100,7,FALSE),"")</f>
        <v/>
      </c>
    </row>
    <row r="535">
      <c r="A535" t="n">
        <v>24</v>
      </c>
      <c r="B535" t="inlineStr">
        <is>
          <t>Landázuri Gallón Teresa</t>
        </is>
      </c>
      <c r="C535" t="inlineStr">
        <is>
          <t>MARTES</t>
        </is>
      </c>
      <c r="D535" t="n">
        <v>6</v>
      </c>
      <c r="E535" t="n">
        <v>3</v>
      </c>
      <c r="F535" t="n">
        <v>2</v>
      </c>
      <c r="G535" t="inlineStr">
        <is>
          <t>10:55</t>
        </is>
      </c>
      <c r="H535" t="inlineStr">
        <is>
          <t>11:40</t>
        </is>
      </c>
      <c r="I535" t="inlineStr">
        <is>
          <t>AREAS_MULTIPLES</t>
        </is>
      </c>
      <c r="J535" t="inlineStr">
        <is>
          <t>0302</t>
        </is>
      </c>
      <c r="K535" t="inlineStr">
        <is>
          <t>ÁREAS MÚLTIPLES</t>
        </is>
      </c>
      <c r="L535" t="inlineStr"/>
      <c r="M535" t="inlineStr"/>
      <c r="N535" t="inlineStr"/>
      <c r="O535" t="inlineStr">
        <is>
          <t>Maestro de aula: todas las áreas con su grupo</t>
        </is>
      </c>
      <c r="P535" t="inlineStr"/>
      <c r="Q535">
        <f>IF(I535="ENFASIS","ÉNFASIS "&amp;M535,IFERROR(VLOOKUP(J535,Grupos!$A$2:$D$100,4,FALSE),J535))</f>
        <v/>
      </c>
      <c r="R535">
        <f>O535&amp;IF(N535&lt;&gt;"",IF(O535&lt;&gt;""," · ","")&amp;"Con: "&amp;N535,"")</f>
        <v/>
      </c>
      <c r="S535">
        <f>C535&amp;"|"&amp;D535</f>
        <v/>
      </c>
      <c r="T535">
        <f>COUNTIF($S$2:S535,S535)</f>
        <v/>
      </c>
      <c r="U535">
        <f>S535&amp;"|"&amp;T535</f>
        <v/>
      </c>
      <c r="V535">
        <f>IFERROR(VLOOKUP(IF(I535="ENFASIS",LEFT(M535,FIND("+",M535&amp;"+")-1),J535),Direccion_Grupo!$A$2:$G$100,7,FALSE),"")</f>
        <v/>
      </c>
    </row>
    <row r="536">
      <c r="A536" t="n">
        <v>55</v>
      </c>
      <c r="B536" t="inlineStr">
        <is>
          <t>Zamora Ordóñez Celia Pastora</t>
        </is>
      </c>
      <c r="C536" t="inlineStr">
        <is>
          <t>MARTES</t>
        </is>
      </c>
      <c r="D536" t="n">
        <v>6</v>
      </c>
      <c r="E536" t="n">
        <v>3</v>
      </c>
      <c r="F536" t="n">
        <v>2</v>
      </c>
      <c r="G536" t="inlineStr">
        <is>
          <t>10:55</t>
        </is>
      </c>
      <c r="H536" t="inlineStr">
        <is>
          <t>11:40</t>
        </is>
      </c>
      <c r="I536" t="inlineStr">
        <is>
          <t>AREAS_MULTIPLES</t>
        </is>
      </c>
      <c r="J536" t="inlineStr">
        <is>
          <t>0401</t>
        </is>
      </c>
      <c r="K536" t="inlineStr">
        <is>
          <t>ÁREAS MÚLTIPLES</t>
        </is>
      </c>
      <c r="L536" t="inlineStr"/>
      <c r="M536" t="inlineStr"/>
      <c r="N536" t="inlineStr"/>
      <c r="O536" t="inlineStr">
        <is>
          <t>Maestro de aula: todas las áreas con su grupo</t>
        </is>
      </c>
      <c r="P536" t="inlineStr"/>
      <c r="Q536">
        <f>IF(I536="ENFASIS","ÉNFASIS "&amp;M536,IFERROR(VLOOKUP(J536,Grupos!$A$2:$D$100,4,FALSE),J536))</f>
        <v/>
      </c>
      <c r="R536">
        <f>O536&amp;IF(N536&lt;&gt;"",IF(O536&lt;&gt;""," · ","")&amp;"Con: "&amp;N536,"")</f>
        <v/>
      </c>
      <c r="S536">
        <f>C536&amp;"|"&amp;D536</f>
        <v/>
      </c>
      <c r="T536">
        <f>COUNTIF($S$2:S536,S536)</f>
        <v/>
      </c>
      <c r="U536">
        <f>S536&amp;"|"&amp;T536</f>
        <v/>
      </c>
      <c r="V536">
        <f>IFERROR(VLOOKUP(IF(I536="ENFASIS",LEFT(M536,FIND("+",M536&amp;"+")-1),J536),Direccion_Grupo!$A$2:$G$100,7,FALSE),"")</f>
        <v/>
      </c>
    </row>
    <row r="537">
      <c r="A537" t="n">
        <v>33</v>
      </c>
      <c r="B537" t="inlineStr">
        <is>
          <t>Núñez Perlaza Elcy</t>
        </is>
      </c>
      <c r="C537" t="inlineStr">
        <is>
          <t>MARTES</t>
        </is>
      </c>
      <c r="D537" t="n">
        <v>6</v>
      </c>
      <c r="E537" t="n">
        <v>3</v>
      </c>
      <c r="F537" t="n">
        <v>2</v>
      </c>
      <c r="G537" t="inlineStr">
        <is>
          <t>10:55</t>
        </is>
      </c>
      <c r="H537" t="inlineStr">
        <is>
          <t>11:40</t>
        </is>
      </c>
      <c r="I537" t="inlineStr">
        <is>
          <t>AREAS_MULTIPLES</t>
        </is>
      </c>
      <c r="J537" t="inlineStr">
        <is>
          <t>0402</t>
        </is>
      </c>
      <c r="K537" t="inlineStr">
        <is>
          <t>ÁREAS MÚLTIPLES</t>
        </is>
      </c>
      <c r="L537" t="inlineStr"/>
      <c r="M537" t="inlineStr"/>
      <c r="N537" t="inlineStr"/>
      <c r="O537" t="inlineStr">
        <is>
          <t>Maestro de aula: todas las áreas con su grupo</t>
        </is>
      </c>
      <c r="P537" t="inlineStr"/>
      <c r="Q537">
        <f>IF(I537="ENFASIS","ÉNFASIS "&amp;M537,IFERROR(VLOOKUP(J537,Grupos!$A$2:$D$100,4,FALSE),J537))</f>
        <v/>
      </c>
      <c r="R537">
        <f>O537&amp;IF(N537&lt;&gt;"",IF(O537&lt;&gt;""," · ","")&amp;"Con: "&amp;N537,"")</f>
        <v/>
      </c>
      <c r="S537">
        <f>C537&amp;"|"&amp;D537</f>
        <v/>
      </c>
      <c r="T537">
        <f>COUNTIF($S$2:S537,S537)</f>
        <v/>
      </c>
      <c r="U537">
        <f>S537&amp;"|"&amp;T537</f>
        <v/>
      </c>
      <c r="V537">
        <f>IFERROR(VLOOKUP(IF(I537="ENFASIS",LEFT(M537,FIND("+",M537&amp;"+")-1),J537),Direccion_Grupo!$A$2:$G$100,7,FALSE),"")</f>
        <v/>
      </c>
    </row>
    <row r="538">
      <c r="A538" t="n">
        <v>14</v>
      </c>
      <c r="B538" t="inlineStr">
        <is>
          <t>Cuéllar Gallo Nemesia</t>
        </is>
      </c>
      <c r="C538" t="inlineStr">
        <is>
          <t>MARTES</t>
        </is>
      </c>
      <c r="D538" t="n">
        <v>6</v>
      </c>
      <c r="E538" t="n">
        <v>3</v>
      </c>
      <c r="F538" t="n">
        <v>2</v>
      </c>
      <c r="G538" t="inlineStr">
        <is>
          <t>10:55</t>
        </is>
      </c>
      <c r="H538" t="inlineStr">
        <is>
          <t>11:40</t>
        </is>
      </c>
      <c r="I538" t="inlineStr">
        <is>
          <t>AREAS_MULTIPLES</t>
        </is>
      </c>
      <c r="J538" t="inlineStr">
        <is>
          <t>0501</t>
        </is>
      </c>
      <c r="K538" t="inlineStr">
        <is>
          <t>ÁREAS MÚLTIPLES</t>
        </is>
      </c>
      <c r="L538" t="inlineStr"/>
      <c r="M538" t="inlineStr"/>
      <c r="N538" t="inlineStr"/>
      <c r="O538" t="inlineStr">
        <is>
          <t>Maestro de aula: todas las áreas con su grupo</t>
        </is>
      </c>
      <c r="P538" t="inlineStr"/>
      <c r="Q538">
        <f>IF(I538="ENFASIS","ÉNFASIS "&amp;M538,IFERROR(VLOOKUP(J538,Grupos!$A$2:$D$100,4,FALSE),J538))</f>
        <v/>
      </c>
      <c r="R538">
        <f>O538&amp;IF(N538&lt;&gt;"",IF(O538&lt;&gt;""," · ","")&amp;"Con: "&amp;N538,"")</f>
        <v/>
      </c>
      <c r="S538">
        <f>C538&amp;"|"&amp;D538</f>
        <v/>
      </c>
      <c r="T538">
        <f>COUNTIF($S$2:S538,S538)</f>
        <v/>
      </c>
      <c r="U538">
        <f>S538&amp;"|"&amp;T538</f>
        <v/>
      </c>
      <c r="V538">
        <f>IFERROR(VLOOKUP(IF(I538="ENFASIS",LEFT(M538,FIND("+",M538&amp;"+")-1),J538),Direccion_Grupo!$A$2:$G$100,7,FALSE),"")</f>
        <v/>
      </c>
    </row>
    <row r="539">
      <c r="A539" t="n">
        <v>11</v>
      </c>
      <c r="B539" t="inlineStr">
        <is>
          <t>Centeno Zúñiga Claudia Patricia</t>
        </is>
      </c>
      <c r="C539" t="inlineStr">
        <is>
          <t>MARTES</t>
        </is>
      </c>
      <c r="D539" t="n">
        <v>6</v>
      </c>
      <c r="E539" t="n">
        <v>3</v>
      </c>
      <c r="F539" t="n">
        <v>2</v>
      </c>
      <c r="G539" t="inlineStr">
        <is>
          <t>10:55</t>
        </is>
      </c>
      <c r="H539" t="inlineStr">
        <is>
          <t>11:40</t>
        </is>
      </c>
      <c r="I539" t="inlineStr">
        <is>
          <t>AREAS_MULTIPLES</t>
        </is>
      </c>
      <c r="J539" t="inlineStr">
        <is>
          <t>0502</t>
        </is>
      </c>
      <c r="K539" t="inlineStr">
        <is>
          <t>ÁREAS MÚLTIPLES</t>
        </is>
      </c>
      <c r="L539" t="inlineStr"/>
      <c r="M539" t="inlineStr"/>
      <c r="N539" t="inlineStr"/>
      <c r="O539" t="inlineStr">
        <is>
          <t>Maestro de aula: todas las áreas con su grupo</t>
        </is>
      </c>
      <c r="P539" t="inlineStr"/>
      <c r="Q539">
        <f>IF(I539="ENFASIS","ÉNFASIS "&amp;M539,IFERROR(VLOOKUP(J539,Grupos!$A$2:$D$100,4,FALSE),J539))</f>
        <v/>
      </c>
      <c r="R539">
        <f>O539&amp;IF(N539&lt;&gt;"",IF(O539&lt;&gt;""," · ","")&amp;"Con: "&amp;N539,"")</f>
        <v/>
      </c>
      <c r="S539">
        <f>C539&amp;"|"&amp;D539</f>
        <v/>
      </c>
      <c r="T539">
        <f>COUNTIF($S$2:S539,S539)</f>
        <v/>
      </c>
      <c r="U539">
        <f>S539&amp;"|"&amp;T539</f>
        <v/>
      </c>
      <c r="V539">
        <f>IFERROR(VLOOKUP(IF(I539="ENFASIS",LEFT(M539,FIND("+",M539&amp;"+")-1),J539),Direccion_Grupo!$A$2:$G$100,7,FALSE),"")</f>
        <v/>
      </c>
    </row>
    <row r="540">
      <c r="A540" t="n">
        <v>32</v>
      </c>
      <c r="B540" t="inlineStr">
        <is>
          <t>Narváez Sánchez Dora Alejandra</t>
        </is>
      </c>
      <c r="C540" t="inlineStr">
        <is>
          <t>MARTES</t>
        </is>
      </c>
      <c r="D540" t="n">
        <v>6</v>
      </c>
      <c r="E540" t="n">
        <v>3</v>
      </c>
      <c r="F540" t="n">
        <v>2</v>
      </c>
      <c r="G540" t="inlineStr">
        <is>
          <t>10:55</t>
        </is>
      </c>
      <c r="H540" t="inlineStr">
        <is>
          <t>11:40</t>
        </is>
      </c>
      <c r="I540" t="inlineStr">
        <is>
          <t>AREAS_MULTIPLES</t>
        </is>
      </c>
      <c r="J540" t="inlineStr">
        <is>
          <t>0503</t>
        </is>
      </c>
      <c r="K540" t="inlineStr">
        <is>
          <t>ÁREAS MÚLTIPLES</t>
        </is>
      </c>
      <c r="L540" t="inlineStr"/>
      <c r="M540" t="inlineStr"/>
      <c r="N540" t="inlineStr"/>
      <c r="O540" t="inlineStr">
        <is>
          <t>Maestro de aula: todas las áreas con su grupo</t>
        </is>
      </c>
      <c r="P540" t="inlineStr"/>
      <c r="Q540">
        <f>IF(I540="ENFASIS","ÉNFASIS "&amp;M540,IFERROR(VLOOKUP(J540,Grupos!$A$2:$D$100,4,FALSE),J540))</f>
        <v/>
      </c>
      <c r="R540">
        <f>O540&amp;IF(N540&lt;&gt;"",IF(O540&lt;&gt;""," · ","")&amp;"Con: "&amp;N540,"")</f>
        <v/>
      </c>
      <c r="S540">
        <f>C540&amp;"|"&amp;D540</f>
        <v/>
      </c>
      <c r="T540">
        <f>COUNTIF($S$2:S540,S540)</f>
        <v/>
      </c>
      <c r="U540">
        <f>S540&amp;"|"&amp;T540</f>
        <v/>
      </c>
      <c r="V540">
        <f>IFERROR(VLOOKUP(IF(I540="ENFASIS",LEFT(M540,FIND("+",M540&amp;"+")-1),J540),Direccion_Grupo!$A$2:$G$100,7,FALSE),"")</f>
        <v/>
      </c>
    </row>
    <row r="541">
      <c r="A541" t="n">
        <v>17</v>
      </c>
      <c r="B541" t="inlineStr">
        <is>
          <t>Escobar Cortés Liliana</t>
        </is>
      </c>
      <c r="C541" t="inlineStr">
        <is>
          <t>MARTES</t>
        </is>
      </c>
      <c r="D541" t="n">
        <v>6</v>
      </c>
      <c r="E541" t="n">
        <v>3</v>
      </c>
      <c r="F541" t="n">
        <v>2</v>
      </c>
      <c r="G541" t="inlineStr">
        <is>
          <t>10:55</t>
        </is>
      </c>
      <c r="H541" t="inlineStr">
        <is>
          <t>11:40</t>
        </is>
      </c>
      <c r="I541" t="inlineStr">
        <is>
          <t>AREAS_MULTIPLES</t>
        </is>
      </c>
      <c r="J541" t="inlineStr">
        <is>
          <t>0504</t>
        </is>
      </c>
      <c r="K541" t="inlineStr">
        <is>
          <t>ÁREAS MÚLTIPLES</t>
        </is>
      </c>
      <c r="L541" t="inlineStr"/>
      <c r="M541" t="inlineStr"/>
      <c r="N541" t="inlineStr"/>
      <c r="O541" t="inlineStr">
        <is>
          <t>Maestro de aula: todas las áreas con su grupo</t>
        </is>
      </c>
      <c r="P541" t="inlineStr"/>
      <c r="Q541">
        <f>IF(I541="ENFASIS","ÉNFASIS "&amp;M541,IFERROR(VLOOKUP(J541,Grupos!$A$2:$D$100,4,FALSE),J541))</f>
        <v/>
      </c>
      <c r="R541">
        <f>O541&amp;IF(N541&lt;&gt;"",IF(O541&lt;&gt;""," · ","")&amp;"Con: "&amp;N541,"")</f>
        <v/>
      </c>
      <c r="S541">
        <f>C541&amp;"|"&amp;D541</f>
        <v/>
      </c>
      <c r="T541">
        <f>COUNTIF($S$2:S541,S541)</f>
        <v/>
      </c>
      <c r="U541">
        <f>S541&amp;"|"&amp;T541</f>
        <v/>
      </c>
      <c r="V541">
        <f>IFERROR(VLOOKUP(IF(I541="ENFASIS",LEFT(M541,FIND("+",M541&amp;"+")-1),J541),Direccion_Grupo!$A$2:$G$100,7,FALSE),"")</f>
        <v/>
      </c>
    </row>
    <row r="542">
      <c r="A542" t="n">
        <v>16</v>
      </c>
      <c r="B542" t="inlineStr">
        <is>
          <t>Cuero Rincón Hernando Jesús</t>
        </is>
      </c>
      <c r="C542" t="inlineStr">
        <is>
          <t>MARTES</t>
        </is>
      </c>
      <c r="D542" t="n">
        <v>6</v>
      </c>
      <c r="E542" t="n">
        <v>3</v>
      </c>
      <c r="F542" t="n">
        <v>2</v>
      </c>
      <c r="G542" t="inlineStr">
        <is>
          <t>10:55</t>
        </is>
      </c>
      <c r="H542" t="inlineStr">
        <is>
          <t>11:40</t>
        </is>
      </c>
      <c r="I542" t="inlineStr">
        <is>
          <t>CLASE</t>
        </is>
      </c>
      <c r="J542" t="inlineStr">
        <is>
          <t>0601</t>
        </is>
      </c>
      <c r="K542" t="inlineStr">
        <is>
          <t>TEI</t>
        </is>
      </c>
      <c r="L542" t="inlineStr"/>
      <c r="M542" t="inlineStr"/>
      <c r="N542" t="inlineStr"/>
      <c r="O542" t="inlineStr"/>
      <c r="P542" t="inlineStr">
        <is>
          <t>0601-TEI</t>
        </is>
      </c>
      <c r="Q542">
        <f>IF(I542="ENFASIS","ÉNFASIS "&amp;M542,IFERROR(VLOOKUP(J542,Grupos!$A$2:$D$100,4,FALSE),J542))</f>
        <v/>
      </c>
      <c r="R542">
        <f>O542&amp;IF(N542&lt;&gt;"",IF(O542&lt;&gt;""," · ","")&amp;"Con: "&amp;N542,"")</f>
        <v/>
      </c>
      <c r="S542">
        <f>C542&amp;"|"&amp;D542</f>
        <v/>
      </c>
      <c r="T542">
        <f>COUNTIF($S$2:S542,S542)</f>
        <v/>
      </c>
      <c r="U542">
        <f>S542&amp;"|"&amp;T542</f>
        <v/>
      </c>
      <c r="V542">
        <f>IFERROR(VLOOKUP(IF(I542="ENFASIS",LEFT(M542,FIND("+",M542&amp;"+")-1),J542),Direccion_Grupo!$A$2:$G$100,7,FALSE),"")</f>
        <v/>
      </c>
    </row>
    <row r="543">
      <c r="A543" t="n">
        <v>37</v>
      </c>
      <c r="B543" t="inlineStr">
        <is>
          <t>Prado Quiñones Genís Maribel</t>
        </is>
      </c>
      <c r="C543" t="inlineStr">
        <is>
          <t>MARTES</t>
        </is>
      </c>
      <c r="D543" t="n">
        <v>6</v>
      </c>
      <c r="E543" t="n">
        <v>3</v>
      </c>
      <c r="F543" t="n">
        <v>2</v>
      </c>
      <c r="G543" t="inlineStr">
        <is>
          <t>10:55</t>
        </is>
      </c>
      <c r="H543" t="inlineStr">
        <is>
          <t>11:40</t>
        </is>
      </c>
      <c r="I543" t="inlineStr">
        <is>
          <t>CLASE</t>
        </is>
      </c>
      <c r="J543" t="inlineStr">
        <is>
          <t>0602</t>
        </is>
      </c>
      <c r="K543" t="inlineStr">
        <is>
          <t>CNA</t>
        </is>
      </c>
      <c r="L543" t="inlineStr"/>
      <c r="M543" t="inlineStr"/>
      <c r="N543" t="inlineStr"/>
      <c r="O543" t="inlineStr"/>
      <c r="P543" t="inlineStr">
        <is>
          <t>0602-CNA</t>
        </is>
      </c>
      <c r="Q543">
        <f>IF(I543="ENFASIS","ÉNFASIS "&amp;M543,IFERROR(VLOOKUP(J543,Grupos!$A$2:$D$100,4,FALSE),J543))</f>
        <v/>
      </c>
      <c r="R543">
        <f>O543&amp;IF(N543&lt;&gt;"",IF(O543&lt;&gt;""," · ","")&amp;"Con: "&amp;N543,"")</f>
        <v/>
      </c>
      <c r="S543">
        <f>C543&amp;"|"&amp;D543</f>
        <v/>
      </c>
      <c r="T543">
        <f>COUNTIF($S$2:S543,S543)</f>
        <v/>
      </c>
      <c r="U543">
        <f>S543&amp;"|"&amp;T543</f>
        <v/>
      </c>
      <c r="V543">
        <f>IFERROR(VLOOKUP(IF(I543="ENFASIS",LEFT(M543,FIND("+",M543&amp;"+")-1),J543),Direccion_Grupo!$A$2:$G$100,7,FALSE),"")</f>
        <v/>
      </c>
    </row>
    <row r="544">
      <c r="A544" t="n">
        <v>39</v>
      </c>
      <c r="B544" t="inlineStr">
        <is>
          <t>Puches Ana Milena</t>
        </is>
      </c>
      <c r="C544" t="inlineStr">
        <is>
          <t>MARTES</t>
        </is>
      </c>
      <c r="D544" t="n">
        <v>6</v>
      </c>
      <c r="E544" t="n">
        <v>3</v>
      </c>
      <c r="F544" t="n">
        <v>2</v>
      </c>
      <c r="G544" t="inlineStr">
        <is>
          <t>10:55</t>
        </is>
      </c>
      <c r="H544" t="inlineStr">
        <is>
          <t>11:40</t>
        </is>
      </c>
      <c r="I544" t="inlineStr">
        <is>
          <t>CLASE</t>
        </is>
      </c>
      <c r="J544" t="inlineStr">
        <is>
          <t>0701</t>
        </is>
      </c>
      <c r="K544" t="inlineStr">
        <is>
          <t>ART</t>
        </is>
      </c>
      <c r="L544" t="inlineStr"/>
      <c r="M544" t="inlineStr"/>
      <c r="N544" t="inlineStr"/>
      <c r="O544" t="inlineStr"/>
      <c r="P544" t="inlineStr">
        <is>
          <t>0701-ART</t>
        </is>
      </c>
      <c r="Q544">
        <f>IF(I544="ENFASIS","ÉNFASIS "&amp;M544,IFERROR(VLOOKUP(J544,Grupos!$A$2:$D$100,4,FALSE),J544))</f>
        <v/>
      </c>
      <c r="R544">
        <f>O544&amp;IF(N544&lt;&gt;"",IF(O544&lt;&gt;""," · ","")&amp;"Con: "&amp;N544,"")</f>
        <v/>
      </c>
      <c r="S544">
        <f>C544&amp;"|"&amp;D544</f>
        <v/>
      </c>
      <c r="T544">
        <f>COUNTIF($S$2:S544,S544)</f>
        <v/>
      </c>
      <c r="U544">
        <f>S544&amp;"|"&amp;T544</f>
        <v/>
      </c>
      <c r="V544">
        <f>IFERROR(VLOOKUP(IF(I544="ENFASIS",LEFT(M544,FIND("+",M544&amp;"+")-1),J544),Direccion_Grupo!$A$2:$G$100,7,FALSE),"")</f>
        <v/>
      </c>
    </row>
    <row r="545">
      <c r="A545" t="n">
        <v>10</v>
      </c>
      <c r="B545" t="inlineStr">
        <is>
          <t>Castillo Cuero Daira Eneida</t>
        </is>
      </c>
      <c r="C545" t="inlineStr">
        <is>
          <t>MARTES</t>
        </is>
      </c>
      <c r="D545" t="n">
        <v>6</v>
      </c>
      <c r="E545" t="n">
        <v>3</v>
      </c>
      <c r="F545" t="n">
        <v>2</v>
      </c>
      <c r="G545" t="inlineStr">
        <is>
          <t>10:55</t>
        </is>
      </c>
      <c r="H545" t="inlineStr">
        <is>
          <t>11:40</t>
        </is>
      </c>
      <c r="I545" t="inlineStr">
        <is>
          <t>CLASE</t>
        </is>
      </c>
      <c r="J545" t="inlineStr">
        <is>
          <t>0702</t>
        </is>
      </c>
      <c r="K545" t="inlineStr">
        <is>
          <t>CAS</t>
        </is>
      </c>
      <c r="L545" t="inlineStr"/>
      <c r="M545" t="inlineStr"/>
      <c r="N545" t="inlineStr"/>
      <c r="O545" t="inlineStr"/>
      <c r="P545" t="inlineStr">
        <is>
          <t>0702-CAS</t>
        </is>
      </c>
      <c r="Q545">
        <f>IF(I545="ENFASIS","ÉNFASIS "&amp;M545,IFERROR(VLOOKUP(J545,Grupos!$A$2:$D$100,4,FALSE),J545))</f>
        <v/>
      </c>
      <c r="R545">
        <f>O545&amp;IF(N545&lt;&gt;"",IF(O545&lt;&gt;""," · ","")&amp;"Con: "&amp;N545,"")</f>
        <v/>
      </c>
      <c r="S545">
        <f>C545&amp;"|"&amp;D545</f>
        <v/>
      </c>
      <c r="T545">
        <f>COUNTIF($S$2:S545,S545)</f>
        <v/>
      </c>
      <c r="U545">
        <f>S545&amp;"|"&amp;T545</f>
        <v/>
      </c>
      <c r="V545">
        <f>IFERROR(VLOOKUP(IF(I545="ENFASIS",LEFT(M545,FIND("+",M545&amp;"+")-1),J545),Direccion_Grupo!$A$2:$G$100,7,FALSE),"")</f>
        <v/>
      </c>
    </row>
    <row r="546">
      <c r="A546" t="n">
        <v>41</v>
      </c>
      <c r="B546" t="inlineStr">
        <is>
          <t>Quintero Ramírez María del Carmen</t>
        </is>
      </c>
      <c r="C546" t="inlineStr">
        <is>
          <t>MARTES</t>
        </is>
      </c>
      <c r="D546" t="n">
        <v>6</v>
      </c>
      <c r="E546" t="n">
        <v>3</v>
      </c>
      <c r="F546" t="n">
        <v>2</v>
      </c>
      <c r="G546" t="inlineStr">
        <is>
          <t>10:55</t>
        </is>
      </c>
      <c r="H546" t="inlineStr">
        <is>
          <t>11:40</t>
        </is>
      </c>
      <c r="I546" t="inlineStr">
        <is>
          <t>CLASE</t>
        </is>
      </c>
      <c r="J546" t="inlineStr">
        <is>
          <t>0703</t>
        </is>
      </c>
      <c r="K546" t="inlineStr">
        <is>
          <t>CSI</t>
        </is>
      </c>
      <c r="L546" t="inlineStr"/>
      <c r="M546" t="inlineStr"/>
      <c r="N546" t="inlineStr"/>
      <c r="O546" t="inlineStr">
        <is>
          <t>Sociales / Inglés (alternan cada semana)</t>
        </is>
      </c>
      <c r="P546" t="inlineStr">
        <is>
          <t>0703-CSI</t>
        </is>
      </c>
      <c r="Q546">
        <f>IF(I546="ENFASIS","ÉNFASIS "&amp;M546,IFERROR(VLOOKUP(J546,Grupos!$A$2:$D$100,4,FALSE),J546))</f>
        <v/>
      </c>
      <c r="R546">
        <f>O546&amp;IF(N546&lt;&gt;"",IF(O546&lt;&gt;""," · ","")&amp;"Con: "&amp;N546,"")</f>
        <v/>
      </c>
      <c r="S546">
        <f>C546&amp;"|"&amp;D546</f>
        <v/>
      </c>
      <c r="T546">
        <f>COUNTIF($S$2:S546,S546)</f>
        <v/>
      </c>
      <c r="U546">
        <f>S546&amp;"|"&amp;T546</f>
        <v/>
      </c>
      <c r="V546">
        <f>IFERROR(VLOOKUP(IF(I546="ENFASIS",LEFT(M546,FIND("+",M546&amp;"+")-1),J546),Direccion_Grupo!$A$2:$G$100,7,FALSE),"")</f>
        <v/>
      </c>
    </row>
    <row r="547">
      <c r="A547" t="n">
        <v>9</v>
      </c>
      <c r="B547" t="inlineStr">
        <is>
          <t>Castillo Angulo Martha Cecilia</t>
        </is>
      </c>
      <c r="C547" t="inlineStr">
        <is>
          <t>MARTES</t>
        </is>
      </c>
      <c r="D547" t="n">
        <v>6</v>
      </c>
      <c r="E547" t="n">
        <v>3</v>
      </c>
      <c r="F547" t="n">
        <v>2</v>
      </c>
      <c r="G547" t="inlineStr">
        <is>
          <t>10:55</t>
        </is>
      </c>
      <c r="H547" t="inlineStr">
        <is>
          <t>11:40</t>
        </is>
      </c>
      <c r="I547" t="inlineStr">
        <is>
          <t>CLASE</t>
        </is>
      </c>
      <c r="J547" t="inlineStr">
        <is>
          <t>0801</t>
        </is>
      </c>
      <c r="K547" t="inlineStr">
        <is>
          <t>ETR</t>
        </is>
      </c>
      <c r="L547" t="inlineStr"/>
      <c r="M547" t="inlineStr"/>
      <c r="N547" t="inlineStr"/>
      <c r="O547" t="inlineStr">
        <is>
          <t>Ética / Religión (alternan cada semana)</t>
        </is>
      </c>
      <c r="P547" t="inlineStr">
        <is>
          <t>0801-ETR</t>
        </is>
      </c>
      <c r="Q547">
        <f>IF(I547="ENFASIS","ÉNFASIS "&amp;M547,IFERROR(VLOOKUP(J547,Grupos!$A$2:$D$100,4,FALSE),J547))</f>
        <v/>
      </c>
      <c r="R547">
        <f>O547&amp;IF(N547&lt;&gt;"",IF(O547&lt;&gt;""," · ","")&amp;"Con: "&amp;N547,"")</f>
        <v/>
      </c>
      <c r="S547">
        <f>C547&amp;"|"&amp;D547</f>
        <v/>
      </c>
      <c r="T547">
        <f>COUNTIF($S$2:S547,S547)</f>
        <v/>
      </c>
      <c r="U547">
        <f>S547&amp;"|"&amp;T547</f>
        <v/>
      </c>
      <c r="V547">
        <f>IFERROR(VLOOKUP(IF(I547="ENFASIS",LEFT(M547,FIND("+",M547&amp;"+")-1),J547),Direccion_Grupo!$A$2:$G$100,7,FALSE),"")</f>
        <v/>
      </c>
    </row>
    <row r="548">
      <c r="A548" t="n">
        <v>44</v>
      </c>
      <c r="B548" t="inlineStr">
        <is>
          <t>Samaniego Angulo Flor Mireya</t>
        </is>
      </c>
      <c r="C548" t="inlineStr">
        <is>
          <t>MARTES</t>
        </is>
      </c>
      <c r="D548" t="n">
        <v>6</v>
      </c>
      <c r="E548" t="n">
        <v>3</v>
      </c>
      <c r="F548" t="n">
        <v>2</v>
      </c>
      <c r="G548" t="inlineStr">
        <is>
          <t>10:55</t>
        </is>
      </c>
      <c r="H548" t="inlineStr">
        <is>
          <t>11:40</t>
        </is>
      </c>
      <c r="I548" t="inlineStr">
        <is>
          <t>CLASE</t>
        </is>
      </c>
      <c r="J548" t="inlineStr">
        <is>
          <t>0802</t>
        </is>
      </c>
      <c r="K548" t="inlineStr">
        <is>
          <t>ART</t>
        </is>
      </c>
      <c r="L548" t="inlineStr"/>
      <c r="M548" t="inlineStr"/>
      <c r="N548" t="inlineStr"/>
      <c r="O548" t="inlineStr"/>
      <c r="P548" t="inlineStr">
        <is>
          <t>0802-ART</t>
        </is>
      </c>
      <c r="Q548">
        <f>IF(I548="ENFASIS","ÉNFASIS "&amp;M548,IFERROR(VLOOKUP(J548,Grupos!$A$2:$D$100,4,FALSE),J548))</f>
        <v/>
      </c>
      <c r="R548">
        <f>O548&amp;IF(N548&lt;&gt;"",IF(O548&lt;&gt;""," · ","")&amp;"Con: "&amp;N548,"")</f>
        <v/>
      </c>
      <c r="S548">
        <f>C548&amp;"|"&amp;D548</f>
        <v/>
      </c>
      <c r="T548">
        <f>COUNTIF($S$2:S548,S548)</f>
        <v/>
      </c>
      <c r="U548">
        <f>S548&amp;"|"&amp;T548</f>
        <v/>
      </c>
      <c r="V548">
        <f>IFERROR(VLOOKUP(IF(I548="ENFASIS",LEFT(M548,FIND("+",M548&amp;"+")-1),J548),Direccion_Grupo!$A$2:$G$100,7,FALSE),"")</f>
        <v/>
      </c>
    </row>
    <row r="549">
      <c r="A549" t="n">
        <v>28</v>
      </c>
      <c r="B549" t="inlineStr">
        <is>
          <t>Meza Banguera Gladys Alicia</t>
        </is>
      </c>
      <c r="C549" t="inlineStr">
        <is>
          <t>MARTES</t>
        </is>
      </c>
      <c r="D549" t="n">
        <v>6</v>
      </c>
      <c r="E549" t="n">
        <v>3</v>
      </c>
      <c r="F549" t="n">
        <v>2</v>
      </c>
      <c r="G549" t="inlineStr">
        <is>
          <t>10:55</t>
        </is>
      </c>
      <c r="H549" t="inlineStr">
        <is>
          <t>11:40</t>
        </is>
      </c>
      <c r="I549" t="inlineStr">
        <is>
          <t>CLASE</t>
        </is>
      </c>
      <c r="J549" t="inlineStr">
        <is>
          <t>0901</t>
        </is>
      </c>
      <c r="K549" t="inlineStr">
        <is>
          <t>CAS</t>
        </is>
      </c>
      <c r="L549" t="inlineStr"/>
      <c r="M549" t="inlineStr"/>
      <c r="N549" t="inlineStr"/>
      <c r="O549" t="inlineStr"/>
      <c r="P549" t="inlineStr">
        <is>
          <t>0901-CAS</t>
        </is>
      </c>
      <c r="Q549">
        <f>IF(I549="ENFASIS","ÉNFASIS "&amp;M549,IFERROR(VLOOKUP(J549,Grupos!$A$2:$D$100,4,FALSE),J549))</f>
        <v/>
      </c>
      <c r="R549">
        <f>O549&amp;IF(N549&lt;&gt;"",IF(O549&lt;&gt;""," · ","")&amp;"Con: "&amp;N549,"")</f>
        <v/>
      </c>
      <c r="S549">
        <f>C549&amp;"|"&amp;D549</f>
        <v/>
      </c>
      <c r="T549">
        <f>COUNTIF($S$2:S549,S549)</f>
        <v/>
      </c>
      <c r="U549">
        <f>S549&amp;"|"&amp;T549</f>
        <v/>
      </c>
      <c r="V549">
        <f>IFERROR(VLOOKUP(IF(I549="ENFASIS",LEFT(M549,FIND("+",M549&amp;"+")-1),J549),Direccion_Grupo!$A$2:$G$100,7,FALSE),"")</f>
        <v/>
      </c>
    </row>
    <row r="550">
      <c r="A550" t="n">
        <v>25</v>
      </c>
      <c r="B550" t="inlineStr">
        <is>
          <t>Lemos Guancha Miriam</t>
        </is>
      </c>
      <c r="C550" t="inlineStr">
        <is>
          <t>MARTES</t>
        </is>
      </c>
      <c r="D550" t="n">
        <v>6</v>
      </c>
      <c r="E550" t="n">
        <v>3</v>
      </c>
      <c r="F550" t="n">
        <v>2</v>
      </c>
      <c r="G550" t="inlineStr">
        <is>
          <t>10:55</t>
        </is>
      </c>
      <c r="H550" t="inlineStr">
        <is>
          <t>11:40</t>
        </is>
      </c>
      <c r="I550" t="inlineStr">
        <is>
          <t>CLASE</t>
        </is>
      </c>
      <c r="J550" t="inlineStr">
        <is>
          <t>0902</t>
        </is>
      </c>
      <c r="K550" t="inlineStr">
        <is>
          <t>CNA</t>
        </is>
      </c>
      <c r="L550" t="inlineStr"/>
      <c r="M550" t="inlineStr"/>
      <c r="N550" t="inlineStr"/>
      <c r="O550" t="inlineStr"/>
      <c r="P550" t="inlineStr">
        <is>
          <t>0902-CNA</t>
        </is>
      </c>
      <c r="Q550">
        <f>IF(I550="ENFASIS","ÉNFASIS "&amp;M550,IFERROR(VLOOKUP(J550,Grupos!$A$2:$D$100,4,FALSE),J550))</f>
        <v/>
      </c>
      <c r="R550">
        <f>O550&amp;IF(N550&lt;&gt;"",IF(O550&lt;&gt;""," · ","")&amp;"Con: "&amp;N550,"")</f>
        <v/>
      </c>
      <c r="S550">
        <f>C550&amp;"|"&amp;D550</f>
        <v/>
      </c>
      <c r="T550">
        <f>COUNTIF($S$2:S550,S550)</f>
        <v/>
      </c>
      <c r="U550">
        <f>S550&amp;"|"&amp;T550</f>
        <v/>
      </c>
      <c r="V550">
        <f>IFERROR(VLOOKUP(IF(I550="ENFASIS",LEFT(M550,FIND("+",M550&amp;"+")-1),J550),Direccion_Grupo!$A$2:$G$100,7,FALSE),"")</f>
        <v/>
      </c>
    </row>
    <row r="551">
      <c r="A551" t="n">
        <v>22</v>
      </c>
      <c r="B551" t="inlineStr">
        <is>
          <t>González Castillo Jólmer Jimy</t>
        </is>
      </c>
      <c r="C551" t="inlineStr">
        <is>
          <t>MARTES</t>
        </is>
      </c>
      <c r="D551" t="n">
        <v>6</v>
      </c>
      <c r="E551" t="n">
        <v>3</v>
      </c>
      <c r="F551" t="n">
        <v>2</v>
      </c>
      <c r="G551" t="inlineStr">
        <is>
          <t>10:55</t>
        </is>
      </c>
      <c r="H551" t="inlineStr">
        <is>
          <t>11:40</t>
        </is>
      </c>
      <c r="I551" t="inlineStr">
        <is>
          <t>CLASE</t>
        </is>
      </c>
      <c r="J551" t="inlineStr">
        <is>
          <t>1001</t>
        </is>
      </c>
      <c r="K551" t="inlineStr">
        <is>
          <t>ERD</t>
        </is>
      </c>
      <c r="L551" t="inlineStr"/>
      <c r="M551" t="inlineStr"/>
      <c r="N551" t="inlineStr"/>
      <c r="O551" t="inlineStr"/>
      <c r="P551" t="inlineStr">
        <is>
          <t>1001-ERD</t>
        </is>
      </c>
      <c r="Q551">
        <f>IF(I551="ENFASIS","ÉNFASIS "&amp;M551,IFERROR(VLOOKUP(J551,Grupos!$A$2:$D$100,4,FALSE),J551))</f>
        <v/>
      </c>
      <c r="R551">
        <f>O551&amp;IF(N551&lt;&gt;"",IF(O551&lt;&gt;""," · ","")&amp;"Con: "&amp;N551,"")</f>
        <v/>
      </c>
      <c r="S551">
        <f>C551&amp;"|"&amp;D551</f>
        <v/>
      </c>
      <c r="T551">
        <f>COUNTIF($S$2:S551,S551)</f>
        <v/>
      </c>
      <c r="U551">
        <f>S551&amp;"|"&amp;T551</f>
        <v/>
      </c>
      <c r="V551">
        <f>IFERROR(VLOOKUP(IF(I551="ENFASIS",LEFT(M551,FIND("+",M551&amp;"+")-1),J551),Direccion_Grupo!$A$2:$G$100,7,FALSE),"")</f>
        <v/>
      </c>
    </row>
    <row r="552">
      <c r="A552" t="n">
        <v>3</v>
      </c>
      <c r="B552" t="inlineStr">
        <is>
          <t>Arboleda Ortiz Luz América</t>
        </is>
      </c>
      <c r="C552" t="inlineStr">
        <is>
          <t>MARTES</t>
        </is>
      </c>
      <c r="D552" t="n">
        <v>6</v>
      </c>
      <c r="E552" t="n">
        <v>3</v>
      </c>
      <c r="F552" t="n">
        <v>2</v>
      </c>
      <c r="G552" t="inlineStr">
        <is>
          <t>10:55</t>
        </is>
      </c>
      <c r="H552" t="inlineStr">
        <is>
          <t>11:40</t>
        </is>
      </c>
      <c r="I552" t="inlineStr">
        <is>
          <t>CLASE</t>
        </is>
      </c>
      <c r="J552" t="inlineStr">
        <is>
          <t>1101</t>
        </is>
      </c>
      <c r="K552" t="inlineStr">
        <is>
          <t>ART</t>
        </is>
      </c>
      <c r="L552" t="inlineStr"/>
      <c r="M552" t="inlineStr"/>
      <c r="N552" t="inlineStr"/>
      <c r="O552" t="inlineStr"/>
      <c r="P552" t="inlineStr">
        <is>
          <t>1101-ART</t>
        </is>
      </c>
      <c r="Q552">
        <f>IF(I552="ENFASIS","ÉNFASIS "&amp;M552,IFERROR(VLOOKUP(J552,Grupos!$A$2:$D$100,4,FALSE),J552))</f>
        <v/>
      </c>
      <c r="R552">
        <f>O552&amp;IF(N552&lt;&gt;"",IF(O552&lt;&gt;""," · ","")&amp;"Con: "&amp;N552,"")</f>
        <v/>
      </c>
      <c r="S552">
        <f>C552&amp;"|"&amp;D552</f>
        <v/>
      </c>
      <c r="T552">
        <f>COUNTIF($S$2:S552,S552)</f>
        <v/>
      </c>
      <c r="U552">
        <f>S552&amp;"|"&amp;T552</f>
        <v/>
      </c>
      <c r="V552">
        <f>IFERROR(VLOOKUP(IF(I552="ENFASIS",LEFT(M552,FIND("+",M552&amp;"+")-1),J552),Direccion_Grupo!$A$2:$G$100,7,FALSE),"")</f>
        <v/>
      </c>
    </row>
    <row r="553">
      <c r="A553" t="n">
        <v>53</v>
      </c>
      <c r="B553" t="inlineStr">
        <is>
          <t>Villota Rubio Héctor Hugo</t>
        </is>
      </c>
      <c r="C553" t="inlineStr">
        <is>
          <t>MARTES</t>
        </is>
      </c>
      <c r="D553" t="n">
        <v>6</v>
      </c>
      <c r="E553" t="n">
        <v>3</v>
      </c>
      <c r="F553" t="n">
        <v>2</v>
      </c>
      <c r="G553" t="inlineStr">
        <is>
          <t>10:55</t>
        </is>
      </c>
      <c r="H553" t="inlineStr">
        <is>
          <t>11:40</t>
        </is>
      </c>
      <c r="I553" t="inlineStr">
        <is>
          <t>CLASE</t>
        </is>
      </c>
      <c r="J553" t="inlineStr">
        <is>
          <t>1102</t>
        </is>
      </c>
      <c r="K553" t="inlineStr">
        <is>
          <t>CNA</t>
        </is>
      </c>
      <c r="L553" t="inlineStr"/>
      <c r="M553" t="inlineStr"/>
      <c r="N553" t="inlineStr"/>
      <c r="O553" t="inlineStr"/>
      <c r="P553" t="inlineStr">
        <is>
          <t>1102-CNA</t>
        </is>
      </c>
      <c r="Q553">
        <f>IF(I553="ENFASIS","ÉNFASIS "&amp;M553,IFERROR(VLOOKUP(J553,Grupos!$A$2:$D$100,4,FALSE),J553))</f>
        <v/>
      </c>
      <c r="R553">
        <f>O553&amp;IF(N553&lt;&gt;"",IF(O553&lt;&gt;""," · ","")&amp;"Con: "&amp;N553,"")</f>
        <v/>
      </c>
      <c r="S553">
        <f>C553&amp;"|"&amp;D553</f>
        <v/>
      </c>
      <c r="T553">
        <f>COUNTIF($S$2:S553,S553)</f>
        <v/>
      </c>
      <c r="U553">
        <f>S553&amp;"|"&amp;T553</f>
        <v/>
      </c>
      <c r="V553">
        <f>IFERROR(VLOOKUP(IF(I553="ENFASIS",LEFT(M553,FIND("+",M553&amp;"+")-1),J553),Direccion_Grupo!$A$2:$G$100,7,FALSE),"")</f>
        <v/>
      </c>
    </row>
    <row r="554">
      <c r="A554" t="n">
        <v>20</v>
      </c>
      <c r="B554" t="inlineStr">
        <is>
          <t>García Gobea Saydi Magali</t>
        </is>
      </c>
      <c r="C554" t="inlineStr">
        <is>
          <t>MARTES</t>
        </is>
      </c>
      <c r="D554" t="n">
        <v>6</v>
      </c>
      <c r="E554" t="n">
        <v>3</v>
      </c>
      <c r="F554" t="n">
        <v>2</v>
      </c>
      <c r="G554" t="inlineStr">
        <is>
          <t>10:55</t>
        </is>
      </c>
      <c r="H554" t="inlineStr">
        <is>
          <t>11:40</t>
        </is>
      </c>
      <c r="I554" t="inlineStr">
        <is>
          <t>CLASE</t>
        </is>
      </c>
      <c r="J554" t="inlineStr">
        <is>
          <t>CS101</t>
        </is>
      </c>
      <c r="K554" t="inlineStr">
        <is>
          <t>CSI</t>
        </is>
      </c>
      <c r="L554" t="inlineStr"/>
      <c r="M554" t="inlineStr"/>
      <c r="N554" t="inlineStr"/>
      <c r="O554" t="inlineStr">
        <is>
          <t>Sociales / Inglés (alternan cada semana)</t>
        </is>
      </c>
      <c r="P554" t="inlineStr">
        <is>
          <t>CS101-CSI</t>
        </is>
      </c>
      <c r="Q554">
        <f>IF(I554="ENFASIS","ÉNFASIS "&amp;M554,IFERROR(VLOOKUP(J554,Grupos!$A$2:$D$100,4,FALSE),J554))</f>
        <v/>
      </c>
      <c r="R554">
        <f>O554&amp;IF(N554&lt;&gt;"",IF(O554&lt;&gt;""," · ","")&amp;"Con: "&amp;N554,"")</f>
        <v/>
      </c>
      <c r="S554">
        <f>C554&amp;"|"&amp;D554</f>
        <v/>
      </c>
      <c r="T554">
        <f>COUNTIF($S$2:S554,S554)</f>
        <v/>
      </c>
      <c r="U554">
        <f>S554&amp;"|"&amp;T554</f>
        <v/>
      </c>
      <c r="V554">
        <f>IFERROR(VLOOKUP(IF(I554="ENFASIS",LEFT(M554,FIND("+",M554&amp;"+")-1),J554),Direccion_Grupo!$A$2:$G$100,7,FALSE),"")</f>
        <v/>
      </c>
    </row>
    <row r="555">
      <c r="A555" t="n">
        <v>57</v>
      </c>
      <c r="B555" t="inlineStr">
        <is>
          <t>Armero Dájome Jesús</t>
        </is>
      </c>
      <c r="C555" t="inlineStr">
        <is>
          <t>MARTES</t>
        </is>
      </c>
      <c r="D555" t="n">
        <v>6</v>
      </c>
      <c r="E555" t="n">
        <v>3</v>
      </c>
      <c r="F555" t="n">
        <v>2</v>
      </c>
      <c r="G555" t="inlineStr">
        <is>
          <t>10:55</t>
        </is>
      </c>
      <c r="H555" t="inlineStr">
        <is>
          <t>11:40</t>
        </is>
      </c>
      <c r="I555" t="inlineStr">
        <is>
          <t>CLASE</t>
        </is>
      </c>
      <c r="J555" t="inlineStr">
        <is>
          <t>CS102</t>
        </is>
      </c>
      <c r="K555" t="inlineStr">
        <is>
          <t>ERD</t>
        </is>
      </c>
      <c r="L555" t="inlineStr"/>
      <c r="M555" t="inlineStr"/>
      <c r="N555" t="inlineStr"/>
      <c r="O555" t="inlineStr"/>
      <c r="P555" t="inlineStr">
        <is>
          <t>CS102-ERD</t>
        </is>
      </c>
      <c r="Q555">
        <f>IF(I555="ENFASIS","ÉNFASIS "&amp;M555,IFERROR(VLOOKUP(J555,Grupos!$A$2:$D$100,4,FALSE),J555))</f>
        <v/>
      </c>
      <c r="R555">
        <f>O555&amp;IF(N555&lt;&gt;"",IF(O555&lt;&gt;""," · ","")&amp;"Con: "&amp;N555,"")</f>
        <v/>
      </c>
      <c r="S555">
        <f>C555&amp;"|"&amp;D555</f>
        <v/>
      </c>
      <c r="T555">
        <f>COUNTIF($S$2:S555,S555)</f>
        <v/>
      </c>
      <c r="U555">
        <f>S555&amp;"|"&amp;T555</f>
        <v/>
      </c>
      <c r="V555">
        <f>IFERROR(VLOOKUP(IF(I555="ENFASIS",LEFT(M555,FIND("+",M555&amp;"+")-1),J555),Direccion_Grupo!$A$2:$G$100,7,FALSE),"")</f>
        <v/>
      </c>
    </row>
    <row r="556">
      <c r="A556" t="n">
        <v>51</v>
      </c>
      <c r="B556" t="inlineStr">
        <is>
          <t>Valverde Montaño María Teresa</t>
        </is>
      </c>
      <c r="C556" t="inlineStr">
        <is>
          <t>MARTES</t>
        </is>
      </c>
      <c r="D556" t="n">
        <v>6</v>
      </c>
      <c r="E556" t="n">
        <v>3</v>
      </c>
      <c r="F556" t="n">
        <v>2</v>
      </c>
      <c r="G556" t="inlineStr">
        <is>
          <t>10:55</t>
        </is>
      </c>
      <c r="H556" t="inlineStr">
        <is>
          <t>11:40</t>
        </is>
      </c>
      <c r="I556" t="inlineStr">
        <is>
          <t>CLASE</t>
        </is>
      </c>
      <c r="J556" t="inlineStr">
        <is>
          <t>CS201</t>
        </is>
      </c>
      <c r="K556" t="inlineStr">
        <is>
          <t>CAS</t>
        </is>
      </c>
      <c r="L556" t="inlineStr"/>
      <c r="M556" t="inlineStr"/>
      <c r="N556" t="inlineStr"/>
      <c r="O556" t="inlineStr"/>
      <c r="P556" t="inlineStr">
        <is>
          <t>CS201-CAS</t>
        </is>
      </c>
      <c r="Q556">
        <f>IF(I556="ENFASIS","ÉNFASIS "&amp;M556,IFERROR(VLOOKUP(J556,Grupos!$A$2:$D$100,4,FALSE),J556))</f>
        <v/>
      </c>
      <c r="R556">
        <f>O556&amp;IF(N556&lt;&gt;"",IF(O556&lt;&gt;""," · ","")&amp;"Con: "&amp;N556,"")</f>
        <v/>
      </c>
      <c r="S556">
        <f>C556&amp;"|"&amp;D556</f>
        <v/>
      </c>
      <c r="T556">
        <f>COUNTIF($S$2:S556,S556)</f>
        <v/>
      </c>
      <c r="U556">
        <f>S556&amp;"|"&amp;T556</f>
        <v/>
      </c>
      <c r="V556">
        <f>IFERROR(VLOOKUP(IF(I556="ENFASIS",LEFT(M556,FIND("+",M556&amp;"+")-1),J556),Direccion_Grupo!$A$2:$G$100,7,FALSE),"")</f>
        <v/>
      </c>
    </row>
    <row r="557">
      <c r="A557" t="n">
        <v>7</v>
      </c>
      <c r="B557" t="inlineStr">
        <is>
          <t>Casanova Casanova Johana Andrea</t>
        </is>
      </c>
      <c r="C557" t="inlineStr">
        <is>
          <t>MARTES</t>
        </is>
      </c>
      <c r="D557" t="n">
        <v>6</v>
      </c>
      <c r="E557" t="n">
        <v>3</v>
      </c>
      <c r="F557" t="n">
        <v>2</v>
      </c>
      <c r="G557" t="inlineStr">
        <is>
          <t>10:55</t>
        </is>
      </c>
      <c r="H557" t="inlineStr">
        <is>
          <t>11:40</t>
        </is>
      </c>
      <c r="I557" t="inlineStr">
        <is>
          <t>ORIENTACION</t>
        </is>
      </c>
      <c r="J557" t="inlineStr">
        <is>
          <t>ORIENT</t>
        </is>
      </c>
      <c r="K557" t="inlineStr">
        <is>
          <t>ORIENTACIÓN ESCOLAR</t>
        </is>
      </c>
      <c r="L557" t="inlineStr"/>
      <c r="M557" t="inlineStr"/>
      <c r="N557" t="inlineStr"/>
      <c r="O557" t="inlineStr">
        <is>
          <t>Jornada 07:30 a 14:30</t>
        </is>
      </c>
      <c r="P557" t="inlineStr"/>
      <c r="Q557">
        <f>IF(I557="ENFASIS","ÉNFASIS "&amp;M557,IFERROR(VLOOKUP(J557,Grupos!$A$2:$D$100,4,FALSE),J557))</f>
        <v/>
      </c>
      <c r="R557">
        <f>O557&amp;IF(N557&lt;&gt;"",IF(O557&lt;&gt;""," · ","")&amp;"Con: "&amp;N557,"")</f>
        <v/>
      </c>
      <c r="S557">
        <f>C557&amp;"|"&amp;D557</f>
        <v/>
      </c>
      <c r="T557">
        <f>COUNTIF($S$2:S557,S557)</f>
        <v/>
      </c>
      <c r="U557">
        <f>S557&amp;"|"&amp;T557</f>
        <v/>
      </c>
      <c r="V557">
        <f>IFERROR(VLOOKUP(IF(I557="ENFASIS",LEFT(M557,FIND("+",M557&amp;"+")-1),J557),Direccion_Grupo!$A$2:$G$100,7,FALSE),"")</f>
        <v/>
      </c>
    </row>
    <row r="558">
      <c r="A558" t="n">
        <v>36</v>
      </c>
      <c r="B558" t="inlineStr">
        <is>
          <t>Ponce Moncayo Ángela Paola</t>
        </is>
      </c>
      <c r="C558" t="inlineStr">
        <is>
          <t>MARTES</t>
        </is>
      </c>
      <c r="D558" t="n">
        <v>6</v>
      </c>
      <c r="E558" t="n">
        <v>3</v>
      </c>
      <c r="F558" t="n">
        <v>2</v>
      </c>
      <c r="G558" t="inlineStr">
        <is>
          <t>10:55</t>
        </is>
      </c>
      <c r="H558" t="inlineStr">
        <is>
          <t>11:40</t>
        </is>
      </c>
      <c r="I558" t="inlineStr">
        <is>
          <t>ORIENTACION</t>
        </is>
      </c>
      <c r="J558" t="inlineStr">
        <is>
          <t>ORIENT</t>
        </is>
      </c>
      <c r="K558" t="inlineStr">
        <is>
          <t>ORIENTACIÓN ESCOLAR</t>
        </is>
      </c>
      <c r="L558" t="inlineStr"/>
      <c r="M558" t="inlineStr"/>
      <c r="N558" t="inlineStr"/>
      <c r="O558" t="inlineStr">
        <is>
          <t>Jornada 08:30 a 13:30</t>
        </is>
      </c>
      <c r="P558" t="inlineStr"/>
      <c r="Q558">
        <f>IF(I558="ENFASIS","ÉNFASIS "&amp;M558,IFERROR(VLOOKUP(J558,Grupos!$A$2:$D$100,4,FALSE),J558))</f>
        <v/>
      </c>
      <c r="R558">
        <f>O558&amp;IF(N558&lt;&gt;"",IF(O558&lt;&gt;""," · ","")&amp;"Con: "&amp;N558,"")</f>
        <v/>
      </c>
      <c r="S558">
        <f>C558&amp;"|"&amp;D558</f>
        <v/>
      </c>
      <c r="T558">
        <f>COUNTIF($S$2:S558,S558)</f>
        <v/>
      </c>
      <c r="U558">
        <f>S558&amp;"|"&amp;T558</f>
        <v/>
      </c>
      <c r="V558">
        <f>IFERROR(VLOOKUP(IF(I558="ENFASIS",LEFT(M558,FIND("+",M558&amp;"+")-1),J558),Direccion_Grupo!$A$2:$G$100,7,FALSE),"")</f>
        <v/>
      </c>
    </row>
    <row r="559">
      <c r="A559" t="n">
        <v>56</v>
      </c>
      <c r="B559" t="inlineStr">
        <is>
          <t>Ortiz Estacio Martha Cecilia</t>
        </is>
      </c>
      <c r="C559" t="inlineStr">
        <is>
          <t>MARTES</t>
        </is>
      </c>
      <c r="D559" t="n">
        <v>6</v>
      </c>
      <c r="E559" t="n">
        <v>3</v>
      </c>
      <c r="F559" t="n">
        <v>2</v>
      </c>
      <c r="G559" t="inlineStr">
        <is>
          <t>10:55</t>
        </is>
      </c>
      <c r="H559" t="inlineStr">
        <is>
          <t>11:40</t>
        </is>
      </c>
      <c r="I559" t="inlineStr">
        <is>
          <t>TUTORIA</t>
        </is>
      </c>
      <c r="J559" t="inlineStr">
        <is>
          <t>PTAFI</t>
        </is>
      </c>
      <c r="K559" t="inlineStr">
        <is>
          <t>TUTORÍA PTAFI</t>
        </is>
      </c>
      <c r="L559" t="inlineStr"/>
      <c r="M559" t="inlineStr"/>
      <c r="N559" t="inlineStr"/>
      <c r="O559" t="inlineStr">
        <is>
          <t>Jornada 06:30 a 12:00</t>
        </is>
      </c>
      <c r="P559" t="inlineStr"/>
      <c r="Q559">
        <f>IF(I559="ENFASIS","ÉNFASIS "&amp;M559,IFERROR(VLOOKUP(J559,Grupos!$A$2:$D$100,4,FALSE),J559))</f>
        <v/>
      </c>
      <c r="R559">
        <f>O559&amp;IF(N559&lt;&gt;"",IF(O559&lt;&gt;""," · ","")&amp;"Con: "&amp;N559,"")</f>
        <v/>
      </c>
      <c r="S559">
        <f>C559&amp;"|"&amp;D559</f>
        <v/>
      </c>
      <c r="T559">
        <f>COUNTIF($S$2:S559,S559)</f>
        <v/>
      </c>
      <c r="U559">
        <f>S559&amp;"|"&amp;T559</f>
        <v/>
      </c>
      <c r="V559">
        <f>IFERROR(VLOOKUP(IF(I559="ENFASIS",LEFT(M559,FIND("+",M559&amp;"+")-1),J559),Direccion_Grupo!$A$2:$G$100,7,FALSE),"")</f>
        <v/>
      </c>
    </row>
    <row r="560">
      <c r="A560" t="n">
        <v>19</v>
      </c>
      <c r="B560" t="inlineStr">
        <is>
          <t>Fernández Vélez Alfredo Enrique</t>
        </is>
      </c>
      <c r="C560" t="inlineStr">
        <is>
          <t>MARTES</t>
        </is>
      </c>
      <c r="D560" t="n">
        <v>6</v>
      </c>
      <c r="E560" t="n">
        <v>3</v>
      </c>
      <c r="F560" t="n">
        <v>2</v>
      </c>
      <c r="G560" t="inlineStr">
        <is>
          <t>10:55</t>
        </is>
      </c>
      <c r="H560" t="inlineStr">
        <is>
          <t>11:40</t>
        </is>
      </c>
      <c r="I560" t="inlineStr">
        <is>
          <t>ENFASIS</t>
        </is>
      </c>
      <c r="J560" t="inlineStr"/>
      <c r="K560" t="inlineStr">
        <is>
          <t>TEI</t>
        </is>
      </c>
      <c r="L560" t="inlineStr">
        <is>
          <t>0704</t>
        </is>
      </c>
      <c r="M560" t="inlineStr">
        <is>
          <t>0704</t>
        </is>
      </c>
      <c r="N560" t="inlineStr">
        <is>
          <t>Preciado Torres Oleisa (MAT)</t>
        </is>
      </c>
      <c r="O560" t="inlineStr">
        <is>
          <t>PAREJA: comparten el énfasis y alternan por semana</t>
        </is>
      </c>
      <c r="P560" t="inlineStr">
        <is>
          <t>ENFASIS-0704</t>
        </is>
      </c>
      <c r="Q560">
        <f>IF(I560="ENFASIS","ÉNFASIS "&amp;M560,IFERROR(VLOOKUP(J560,Grupos!$A$2:$D$100,4,FALSE),J560))</f>
        <v/>
      </c>
      <c r="R560">
        <f>O560&amp;IF(N560&lt;&gt;"",IF(O560&lt;&gt;""," · ","")&amp;"Con: "&amp;N560,"")</f>
        <v/>
      </c>
      <c r="S560">
        <f>C560&amp;"|"&amp;D560</f>
        <v/>
      </c>
      <c r="T560">
        <f>COUNTIF($S$2:S560,S560)</f>
        <v/>
      </c>
      <c r="U560">
        <f>S560&amp;"|"&amp;T560</f>
        <v/>
      </c>
      <c r="V560">
        <f>IFERROR(VLOOKUP(IF(I560="ENFASIS",LEFT(M560,FIND("+",M560&amp;"+")-1),J560),Direccion_Grupo!$A$2:$G$100,7,FALSE),"")</f>
        <v/>
      </c>
    </row>
    <row r="561">
      <c r="A561" t="n">
        <v>38</v>
      </c>
      <c r="B561" t="inlineStr">
        <is>
          <t>Preciado Torres Oleisa</t>
        </is>
      </c>
      <c r="C561" t="inlineStr">
        <is>
          <t>MARTES</t>
        </is>
      </c>
      <c r="D561" t="n">
        <v>6</v>
      </c>
      <c r="E561" t="n">
        <v>3</v>
      </c>
      <c r="F561" t="n">
        <v>2</v>
      </c>
      <c r="G561" t="inlineStr">
        <is>
          <t>10:55</t>
        </is>
      </c>
      <c r="H561" t="inlineStr">
        <is>
          <t>11:40</t>
        </is>
      </c>
      <c r="I561" t="inlineStr">
        <is>
          <t>ENFASIS</t>
        </is>
      </c>
      <c r="J561" t="inlineStr"/>
      <c r="K561" t="inlineStr">
        <is>
          <t>MAT</t>
        </is>
      </c>
      <c r="L561" t="inlineStr">
        <is>
          <t>0704</t>
        </is>
      </c>
      <c r="M561" t="inlineStr">
        <is>
          <t>0704</t>
        </is>
      </c>
      <c r="N561" t="inlineStr">
        <is>
          <t>Fernández Vélez Alfredo Enrique (TEI)</t>
        </is>
      </c>
      <c r="O561" t="inlineStr">
        <is>
          <t>PAREJA: comparten el énfasis y alternan por semana</t>
        </is>
      </c>
      <c r="P561" t="inlineStr">
        <is>
          <t>ENFASIS-0704</t>
        </is>
      </c>
      <c r="Q561">
        <f>IF(I561="ENFASIS","ÉNFASIS "&amp;M561,IFERROR(VLOOKUP(J561,Grupos!$A$2:$D$100,4,FALSE),J561))</f>
        <v/>
      </c>
      <c r="R561">
        <f>O561&amp;IF(N561&lt;&gt;"",IF(O561&lt;&gt;""," · ","")&amp;"Con: "&amp;N561,"")</f>
        <v/>
      </c>
      <c r="S561">
        <f>C561&amp;"|"&amp;D561</f>
        <v/>
      </c>
      <c r="T561">
        <f>COUNTIF($S$2:S561,S561)</f>
        <v/>
      </c>
      <c r="U561">
        <f>S561&amp;"|"&amp;T561</f>
        <v/>
      </c>
      <c r="V561">
        <f>IFERROR(VLOOKUP(IF(I561="ENFASIS",LEFT(M561,FIND("+",M561&amp;"+")-1),J561),Direccion_Grupo!$A$2:$G$100,7,FALSE),"")</f>
        <v/>
      </c>
    </row>
    <row r="562">
      <c r="A562" t="n">
        <v>2</v>
      </c>
      <c r="B562" t="inlineStr">
        <is>
          <t>Angulo Lucero Andrés Mauricio</t>
        </is>
      </c>
      <c r="C562" t="inlineStr">
        <is>
          <t>MARTES</t>
        </is>
      </c>
      <c r="D562" t="n">
        <v>6</v>
      </c>
      <c r="E562" t="n">
        <v>3</v>
      </c>
      <c r="F562" t="n">
        <v>2</v>
      </c>
      <c r="G562" t="inlineStr">
        <is>
          <t>10:55</t>
        </is>
      </c>
      <c r="H562" t="inlineStr">
        <is>
          <t>11:40</t>
        </is>
      </c>
      <c r="I562" t="inlineStr">
        <is>
          <t>ENFASIS</t>
        </is>
      </c>
      <c r="J562" t="inlineStr"/>
      <c r="K562" t="inlineStr">
        <is>
          <t>TEI</t>
        </is>
      </c>
      <c r="L562" t="inlineStr">
        <is>
          <t>D5-10°</t>
        </is>
      </c>
      <c r="M562" t="inlineStr">
        <is>
          <t>1002</t>
        </is>
      </c>
      <c r="N562" t="inlineStr">
        <is>
          <t>Pulgarín Ortiz César Marino (CSI); Montaño Arizala Leidis Claudina (ETR); Villota Rubio Janeth del Carmen (MAT)</t>
        </is>
      </c>
      <c r="O562" t="inlineStr">
        <is>
          <t>EQUIPO DE 4: cada docente atiende un grupo de estudiantes en su área</t>
        </is>
      </c>
      <c r="P562" t="inlineStr">
        <is>
          <t>ENFASIS-D5-10°</t>
        </is>
      </c>
      <c r="Q562">
        <f>IF(I562="ENFASIS","ÉNFASIS "&amp;M562,IFERROR(VLOOKUP(J562,Grupos!$A$2:$D$100,4,FALSE),J562))</f>
        <v/>
      </c>
      <c r="R562">
        <f>O562&amp;IF(N562&lt;&gt;"",IF(O562&lt;&gt;""," · ","")&amp;"Con: "&amp;N562,"")</f>
        <v/>
      </c>
      <c r="S562">
        <f>C562&amp;"|"&amp;D562</f>
        <v/>
      </c>
      <c r="T562">
        <f>COUNTIF($S$2:S562,S562)</f>
        <v/>
      </c>
      <c r="U562">
        <f>S562&amp;"|"&amp;T562</f>
        <v/>
      </c>
      <c r="V562">
        <f>IFERROR(VLOOKUP(IF(I562="ENFASIS",LEFT(M562,FIND("+",M562&amp;"+")-1),J562),Direccion_Grupo!$A$2:$G$100,7,FALSE),"")</f>
        <v/>
      </c>
    </row>
    <row r="563">
      <c r="A563" t="n">
        <v>31</v>
      </c>
      <c r="B563" t="inlineStr">
        <is>
          <t>Montaño Arizala Leidis Claudina</t>
        </is>
      </c>
      <c r="C563" t="inlineStr">
        <is>
          <t>MARTES</t>
        </is>
      </c>
      <c r="D563" t="n">
        <v>6</v>
      </c>
      <c r="E563" t="n">
        <v>3</v>
      </c>
      <c r="F563" t="n">
        <v>2</v>
      </c>
      <c r="G563" t="inlineStr">
        <is>
          <t>10:55</t>
        </is>
      </c>
      <c r="H563" t="inlineStr">
        <is>
          <t>11:40</t>
        </is>
      </c>
      <c r="I563" t="inlineStr">
        <is>
          <t>ENFASIS</t>
        </is>
      </c>
      <c r="J563" t="inlineStr"/>
      <c r="K563" t="inlineStr">
        <is>
          <t>ETR</t>
        </is>
      </c>
      <c r="L563" t="inlineStr">
        <is>
          <t>D5-10°</t>
        </is>
      </c>
      <c r="M563" t="inlineStr">
        <is>
          <t>1002</t>
        </is>
      </c>
      <c r="N563" t="inlineStr">
        <is>
          <t>Pulgarín Ortiz César Marino (CSI); Villota Rubio Janeth del Carmen (MAT); Angulo Lucero Andrés Mauricio (TEI)</t>
        </is>
      </c>
      <c r="O563" t="inlineStr">
        <is>
          <t>EQUIPO DE 4: cada docente atiende un grupo de estudiantes en su área</t>
        </is>
      </c>
      <c r="P563" t="inlineStr">
        <is>
          <t>ENFASIS-D5-10°</t>
        </is>
      </c>
      <c r="Q563">
        <f>IF(I563="ENFASIS","ÉNFASIS "&amp;M563,IFERROR(VLOOKUP(J563,Grupos!$A$2:$D$100,4,FALSE),J563))</f>
        <v/>
      </c>
      <c r="R563">
        <f>O563&amp;IF(N563&lt;&gt;"",IF(O563&lt;&gt;""," · ","")&amp;"Con: "&amp;N563,"")</f>
        <v/>
      </c>
      <c r="S563">
        <f>C563&amp;"|"&amp;D563</f>
        <v/>
      </c>
      <c r="T563">
        <f>COUNTIF($S$2:S563,S563)</f>
        <v/>
      </c>
      <c r="U563">
        <f>S563&amp;"|"&amp;T563</f>
        <v/>
      </c>
      <c r="V563">
        <f>IFERROR(VLOOKUP(IF(I563="ENFASIS",LEFT(M563,FIND("+",M563&amp;"+")-1),J563),Direccion_Grupo!$A$2:$G$100,7,FALSE),"")</f>
        <v/>
      </c>
    </row>
    <row r="564">
      <c r="A564" t="n">
        <v>40</v>
      </c>
      <c r="B564" t="inlineStr">
        <is>
          <t>Pulgarín Ortiz César Marino</t>
        </is>
      </c>
      <c r="C564" t="inlineStr">
        <is>
          <t>MARTES</t>
        </is>
      </c>
      <c r="D564" t="n">
        <v>6</v>
      </c>
      <c r="E564" t="n">
        <v>3</v>
      </c>
      <c r="F564" t="n">
        <v>2</v>
      </c>
      <c r="G564" t="inlineStr">
        <is>
          <t>10:55</t>
        </is>
      </c>
      <c r="H564" t="inlineStr">
        <is>
          <t>11:40</t>
        </is>
      </c>
      <c r="I564" t="inlineStr">
        <is>
          <t>ENFASIS</t>
        </is>
      </c>
      <c r="J564" t="inlineStr"/>
      <c r="K564" t="inlineStr">
        <is>
          <t>CSI</t>
        </is>
      </c>
      <c r="L564" t="inlineStr">
        <is>
          <t>D5-10°</t>
        </is>
      </c>
      <c r="M564" t="inlineStr">
        <is>
          <t>1002</t>
        </is>
      </c>
      <c r="N564" t="inlineStr">
        <is>
          <t>Montaño Arizala Leidis Claudina (ETR); Villota Rubio Janeth del Carmen (MAT); Angulo Lucero Andrés Mauricio (TEI)</t>
        </is>
      </c>
      <c r="O564" t="inlineStr">
        <is>
          <t>EQUIPO DE 4: cada docente atiende un grupo de estudiantes en su área</t>
        </is>
      </c>
      <c r="P564" t="inlineStr">
        <is>
          <t>ENFASIS-D5-10°</t>
        </is>
      </c>
      <c r="Q564">
        <f>IF(I564="ENFASIS","ÉNFASIS "&amp;M564,IFERROR(VLOOKUP(J564,Grupos!$A$2:$D$100,4,FALSE),J564))</f>
        <v/>
      </c>
      <c r="R564">
        <f>O564&amp;IF(N564&lt;&gt;"",IF(O564&lt;&gt;""," · ","")&amp;"Con: "&amp;N564,"")</f>
        <v/>
      </c>
      <c r="S564">
        <f>C564&amp;"|"&amp;D564</f>
        <v/>
      </c>
      <c r="T564">
        <f>COUNTIF($S$2:S564,S564)</f>
        <v/>
      </c>
      <c r="U564">
        <f>S564&amp;"|"&amp;T564</f>
        <v/>
      </c>
      <c r="V564">
        <f>IFERROR(VLOOKUP(IF(I564="ENFASIS",LEFT(M564,FIND("+",M564&amp;"+")-1),J564),Direccion_Grupo!$A$2:$G$100,7,FALSE),"")</f>
        <v/>
      </c>
    </row>
    <row r="565">
      <c r="A565" t="n">
        <v>54</v>
      </c>
      <c r="B565" t="inlineStr">
        <is>
          <t>Villota Rubio Janeth del Carmen</t>
        </is>
      </c>
      <c r="C565" t="inlineStr">
        <is>
          <t>MARTES</t>
        </is>
      </c>
      <c r="D565" t="n">
        <v>6</v>
      </c>
      <c r="E565" t="n">
        <v>3</v>
      </c>
      <c r="F565" t="n">
        <v>2</v>
      </c>
      <c r="G565" t="inlineStr">
        <is>
          <t>10:55</t>
        </is>
      </c>
      <c r="H565" t="inlineStr">
        <is>
          <t>11:40</t>
        </is>
      </c>
      <c r="I565" t="inlineStr">
        <is>
          <t>ENFASIS</t>
        </is>
      </c>
      <c r="J565" t="inlineStr"/>
      <c r="K565" t="inlineStr">
        <is>
          <t>MAT</t>
        </is>
      </c>
      <c r="L565" t="inlineStr">
        <is>
          <t>D5-10°</t>
        </is>
      </c>
      <c r="M565" t="inlineStr">
        <is>
          <t>1002</t>
        </is>
      </c>
      <c r="N565" t="inlineStr">
        <is>
          <t>Pulgarín Ortiz César Marino (CSI); Montaño Arizala Leidis Claudina (ETR); Angulo Lucero Andrés Mauricio (TEI)</t>
        </is>
      </c>
      <c r="O565" t="inlineStr">
        <is>
          <t>EQUIPO DE 4: cada docente atiende un grupo de estudiantes en su área</t>
        </is>
      </c>
      <c r="P565" t="inlineStr">
        <is>
          <t>ENFASIS-D5-10°</t>
        </is>
      </c>
      <c r="Q565">
        <f>IF(I565="ENFASIS","ÉNFASIS "&amp;M565,IFERROR(VLOOKUP(J565,Grupos!$A$2:$D$100,4,FALSE),J565))</f>
        <v/>
      </c>
      <c r="R565">
        <f>O565&amp;IF(N565&lt;&gt;"",IF(O565&lt;&gt;""," · ","")&amp;"Con: "&amp;N565,"")</f>
        <v/>
      </c>
      <c r="S565">
        <f>C565&amp;"|"&amp;D565</f>
        <v/>
      </c>
      <c r="T565">
        <f>COUNTIF($S$2:S565,S565)</f>
        <v/>
      </c>
      <c r="U565">
        <f>S565&amp;"|"&amp;T565</f>
        <v/>
      </c>
      <c r="V565">
        <f>IFERROR(VLOOKUP(IF(I565="ENFASIS",LEFT(M565,FIND("+",M565&amp;"+")-1),J565),Direccion_Grupo!$A$2:$G$100,7,FALSE),"")</f>
        <v/>
      </c>
    </row>
    <row r="566">
      <c r="A566" t="n">
        <v>5</v>
      </c>
      <c r="B566" t="inlineStr">
        <is>
          <t>Bastidas Valencia Zeneida Judith</t>
        </is>
      </c>
      <c r="C566" t="inlineStr">
        <is>
          <t>MARTES</t>
        </is>
      </c>
      <c r="D566" t="n">
        <v>6</v>
      </c>
      <c r="E566" t="n">
        <v>3</v>
      </c>
      <c r="F566" t="n">
        <v>2</v>
      </c>
      <c r="G566" t="inlineStr">
        <is>
          <t>10:55</t>
        </is>
      </c>
      <c r="H566" t="inlineStr">
        <is>
          <t>11:40</t>
        </is>
      </c>
      <c r="I566" t="inlineStr">
        <is>
          <t>ENFASIS</t>
        </is>
      </c>
      <c r="J566" t="inlineStr"/>
      <c r="K566" t="inlineStr">
        <is>
          <t>MAT</t>
        </is>
      </c>
      <c r="L566" t="inlineStr">
        <is>
          <t>CS202</t>
        </is>
      </c>
      <c r="M566" t="inlineStr">
        <is>
          <t>CS202</t>
        </is>
      </c>
      <c r="N566" t="inlineStr">
        <is>
          <t>Betancourth Ocampo Yohana Patricia (CSI); Estacio Estupiñán Rosario (ETR); Mindineros Satizábal John Jáver (TEI)</t>
        </is>
      </c>
      <c r="O566" t="inlineStr">
        <is>
          <t>EQUIPO DE 4: cada docente atiende un grupo de estudiantes en su área</t>
        </is>
      </c>
      <c r="P566" t="inlineStr">
        <is>
          <t>ENFASIS-CS202</t>
        </is>
      </c>
      <c r="Q566">
        <f>IF(I566="ENFASIS","ÉNFASIS "&amp;M566,IFERROR(VLOOKUP(J566,Grupos!$A$2:$D$100,4,FALSE),J566))</f>
        <v/>
      </c>
      <c r="R566">
        <f>O566&amp;IF(N566&lt;&gt;"",IF(O566&lt;&gt;""," · ","")&amp;"Con: "&amp;N566,"")</f>
        <v/>
      </c>
      <c r="S566">
        <f>C566&amp;"|"&amp;D566</f>
        <v/>
      </c>
      <c r="T566">
        <f>COUNTIF($S$2:S566,S566)</f>
        <v/>
      </c>
      <c r="U566">
        <f>S566&amp;"|"&amp;T566</f>
        <v/>
      </c>
      <c r="V566">
        <f>IFERROR(VLOOKUP(IF(I566="ENFASIS",LEFT(M566,FIND("+",M566&amp;"+")-1),J566),Direccion_Grupo!$A$2:$G$100,7,FALSE),"")</f>
        <v/>
      </c>
    </row>
    <row r="567">
      <c r="A567" t="n">
        <v>6</v>
      </c>
      <c r="B567" t="inlineStr">
        <is>
          <t>Betancourth Ocampo Yohana Patricia</t>
        </is>
      </c>
      <c r="C567" t="inlineStr">
        <is>
          <t>MARTES</t>
        </is>
      </c>
      <c r="D567" t="n">
        <v>6</v>
      </c>
      <c r="E567" t="n">
        <v>3</v>
      </c>
      <c r="F567" t="n">
        <v>2</v>
      </c>
      <c r="G567" t="inlineStr">
        <is>
          <t>10:55</t>
        </is>
      </c>
      <c r="H567" t="inlineStr">
        <is>
          <t>11:40</t>
        </is>
      </c>
      <c r="I567" t="inlineStr">
        <is>
          <t>ENFASIS</t>
        </is>
      </c>
      <c r="J567" t="inlineStr"/>
      <c r="K567" t="inlineStr">
        <is>
          <t>CSI</t>
        </is>
      </c>
      <c r="L567" t="inlineStr">
        <is>
          <t>CS202</t>
        </is>
      </c>
      <c r="M567" t="inlineStr">
        <is>
          <t>CS202</t>
        </is>
      </c>
      <c r="N567" t="inlineStr">
        <is>
          <t>Estacio Estupiñán Rosario (ETR); Bastidas Valencia Zeneida Judith (MAT); Mindineros Satizábal John Jáver (TEI)</t>
        </is>
      </c>
      <c r="O567" t="inlineStr">
        <is>
          <t>EQUIPO DE 4: cada docente atiende un grupo de estudiantes en su área</t>
        </is>
      </c>
      <c r="P567" t="inlineStr">
        <is>
          <t>ENFASIS-CS202</t>
        </is>
      </c>
      <c r="Q567">
        <f>IF(I567="ENFASIS","ÉNFASIS "&amp;M567,IFERROR(VLOOKUP(J567,Grupos!$A$2:$D$100,4,FALSE),J567))</f>
        <v/>
      </c>
      <c r="R567">
        <f>O567&amp;IF(N567&lt;&gt;"",IF(O567&lt;&gt;""," · ","")&amp;"Con: "&amp;N567,"")</f>
        <v/>
      </c>
      <c r="S567">
        <f>C567&amp;"|"&amp;D567</f>
        <v/>
      </c>
      <c r="T567">
        <f>COUNTIF($S$2:S567,S567)</f>
        <v/>
      </c>
      <c r="U567">
        <f>S567&amp;"|"&amp;T567</f>
        <v/>
      </c>
      <c r="V567">
        <f>IFERROR(VLOOKUP(IF(I567="ENFASIS",LEFT(M567,FIND("+",M567&amp;"+")-1),J567),Direccion_Grupo!$A$2:$G$100,7,FALSE),"")</f>
        <v/>
      </c>
    </row>
    <row r="568">
      <c r="A568" t="n">
        <v>18</v>
      </c>
      <c r="B568" t="inlineStr">
        <is>
          <t>Estacio Estupiñán Rosario</t>
        </is>
      </c>
      <c r="C568" t="inlineStr">
        <is>
          <t>MARTES</t>
        </is>
      </c>
      <c r="D568" t="n">
        <v>6</v>
      </c>
      <c r="E568" t="n">
        <v>3</v>
      </c>
      <c r="F568" t="n">
        <v>2</v>
      </c>
      <c r="G568" t="inlineStr">
        <is>
          <t>10:55</t>
        </is>
      </c>
      <c r="H568" t="inlineStr">
        <is>
          <t>11:40</t>
        </is>
      </c>
      <c r="I568" t="inlineStr">
        <is>
          <t>ENFASIS</t>
        </is>
      </c>
      <c r="J568" t="inlineStr"/>
      <c r="K568" t="inlineStr">
        <is>
          <t>ETR</t>
        </is>
      </c>
      <c r="L568" t="inlineStr">
        <is>
          <t>CS202</t>
        </is>
      </c>
      <c r="M568" t="inlineStr">
        <is>
          <t>CS202</t>
        </is>
      </c>
      <c r="N568" t="inlineStr">
        <is>
          <t>Betancourth Ocampo Yohana Patricia (CSI); Bastidas Valencia Zeneida Judith (MAT); Mindineros Satizábal John Jáver (TEI)</t>
        </is>
      </c>
      <c r="O568" t="inlineStr">
        <is>
          <t>EQUIPO DE 4: cada docente atiende un grupo de estudiantes en su área</t>
        </is>
      </c>
      <c r="P568" t="inlineStr">
        <is>
          <t>ENFASIS-CS202</t>
        </is>
      </c>
      <c r="Q568">
        <f>IF(I568="ENFASIS","ÉNFASIS "&amp;M568,IFERROR(VLOOKUP(J568,Grupos!$A$2:$D$100,4,FALSE),J568))</f>
        <v/>
      </c>
      <c r="R568">
        <f>O568&amp;IF(N568&lt;&gt;"",IF(O568&lt;&gt;""," · ","")&amp;"Con: "&amp;N568,"")</f>
        <v/>
      </c>
      <c r="S568">
        <f>C568&amp;"|"&amp;D568</f>
        <v/>
      </c>
      <c r="T568">
        <f>COUNTIF($S$2:S568,S568)</f>
        <v/>
      </c>
      <c r="U568">
        <f>S568&amp;"|"&amp;T568</f>
        <v/>
      </c>
      <c r="V568">
        <f>IFERROR(VLOOKUP(IF(I568="ENFASIS",LEFT(M568,FIND("+",M568&amp;"+")-1),J568),Direccion_Grupo!$A$2:$G$100,7,FALSE),"")</f>
        <v/>
      </c>
    </row>
    <row r="569">
      <c r="A569" t="n">
        <v>29</v>
      </c>
      <c r="B569" t="inlineStr">
        <is>
          <t>Mindineros Satizábal John Jáver</t>
        </is>
      </c>
      <c r="C569" t="inlineStr">
        <is>
          <t>MARTES</t>
        </is>
      </c>
      <c r="D569" t="n">
        <v>6</v>
      </c>
      <c r="E569" t="n">
        <v>3</v>
      </c>
      <c r="F569" t="n">
        <v>2</v>
      </c>
      <c r="G569" t="inlineStr">
        <is>
          <t>10:55</t>
        </is>
      </c>
      <c r="H569" t="inlineStr">
        <is>
          <t>11:40</t>
        </is>
      </c>
      <c r="I569" t="inlineStr">
        <is>
          <t>ENFASIS</t>
        </is>
      </c>
      <c r="J569" t="inlineStr"/>
      <c r="K569" t="inlineStr">
        <is>
          <t>TEI</t>
        </is>
      </c>
      <c r="L569" t="inlineStr">
        <is>
          <t>CS202</t>
        </is>
      </c>
      <c r="M569" t="inlineStr">
        <is>
          <t>CS202</t>
        </is>
      </c>
      <c r="N569" t="inlineStr">
        <is>
          <t>Betancourth Ocampo Yohana Patricia (CSI); Estacio Estupiñán Rosario (ETR); Bastidas Valencia Zeneida Judith (MAT)</t>
        </is>
      </c>
      <c r="O569" t="inlineStr">
        <is>
          <t>EQUIPO DE 4: cada docente atiende un grupo de estudiantes en su área</t>
        </is>
      </c>
      <c r="P569" t="inlineStr">
        <is>
          <t>ENFASIS-CS202</t>
        </is>
      </c>
      <c r="Q569">
        <f>IF(I569="ENFASIS","ÉNFASIS "&amp;M569,IFERROR(VLOOKUP(J569,Grupos!$A$2:$D$100,4,FALSE),J569))</f>
        <v/>
      </c>
      <c r="R569">
        <f>O569&amp;IF(N569&lt;&gt;"",IF(O569&lt;&gt;""," · ","")&amp;"Con: "&amp;N569,"")</f>
        <v/>
      </c>
      <c r="S569">
        <f>C569&amp;"|"&amp;D569</f>
        <v/>
      </c>
      <c r="T569">
        <f>COUNTIF($S$2:S569,S569)</f>
        <v/>
      </c>
      <c r="U569">
        <f>S569&amp;"|"&amp;T569</f>
        <v/>
      </c>
      <c r="V569">
        <f>IFERROR(VLOOKUP(IF(I569="ENFASIS",LEFT(M569,FIND("+",M569&amp;"+")-1),J569),Direccion_Grupo!$A$2:$G$100,7,FALSE),"")</f>
        <v/>
      </c>
    </row>
    <row r="570">
      <c r="A570" t="n">
        <v>41</v>
      </c>
      <c r="B570" t="inlineStr">
        <is>
          <t>Quintero Ramírez María del Carmen</t>
        </is>
      </c>
      <c r="C570" t="inlineStr">
        <is>
          <t>MARTES</t>
        </is>
      </c>
      <c r="D570" t="n">
        <v>7</v>
      </c>
      <c r="E570" t="n">
        <v>4</v>
      </c>
      <c r="F570" t="n">
        <v>1</v>
      </c>
      <c r="G570" t="inlineStr">
        <is>
          <t>12:00</t>
        </is>
      </c>
      <c r="H570" t="inlineStr">
        <is>
          <t>12:45</t>
        </is>
      </c>
      <c r="I570" t="inlineStr">
        <is>
          <t>CLASE</t>
        </is>
      </c>
      <c r="J570" t="inlineStr">
        <is>
          <t>0701</t>
        </is>
      </c>
      <c r="K570" t="inlineStr">
        <is>
          <t>CSI</t>
        </is>
      </c>
      <c r="L570" t="inlineStr"/>
      <c r="M570" t="inlineStr"/>
      <c r="N570" t="inlineStr"/>
      <c r="O570" t="inlineStr">
        <is>
          <t>Sociales / Inglés (alternan cada semana)</t>
        </is>
      </c>
      <c r="P570" t="inlineStr">
        <is>
          <t>0701-CSI</t>
        </is>
      </c>
      <c r="Q570">
        <f>IF(I570="ENFASIS","ÉNFASIS "&amp;M570,IFERROR(VLOOKUP(J570,Grupos!$A$2:$D$100,4,FALSE),J570))</f>
        <v/>
      </c>
      <c r="R570">
        <f>O570&amp;IF(N570&lt;&gt;"",IF(O570&lt;&gt;""," · ","")&amp;"Con: "&amp;N570,"")</f>
        <v/>
      </c>
      <c r="S570">
        <f>C570&amp;"|"&amp;D570</f>
        <v/>
      </c>
      <c r="T570">
        <f>COUNTIF($S$2:S570,S570)</f>
        <v/>
      </c>
      <c r="U570">
        <f>S570&amp;"|"&amp;T570</f>
        <v/>
      </c>
      <c r="V570">
        <f>IFERROR(VLOOKUP(IF(I570="ENFASIS",LEFT(M570,FIND("+",M570&amp;"+")-1),J570),Direccion_Grupo!$A$2:$G$100,7,FALSE),"")</f>
        <v/>
      </c>
    </row>
    <row r="571">
      <c r="A571" t="n">
        <v>52</v>
      </c>
      <c r="B571" t="inlineStr">
        <is>
          <t>Vásquez Valencia Segundo Leoncio</t>
        </is>
      </c>
      <c r="C571" t="inlineStr">
        <is>
          <t>MARTES</t>
        </is>
      </c>
      <c r="D571" t="n">
        <v>7</v>
      </c>
      <c r="E571" t="n">
        <v>4</v>
      </c>
      <c r="F571" t="n">
        <v>1</v>
      </c>
      <c r="G571" t="inlineStr">
        <is>
          <t>12:00</t>
        </is>
      </c>
      <c r="H571" t="inlineStr">
        <is>
          <t>12:45</t>
        </is>
      </c>
      <c r="I571" t="inlineStr">
        <is>
          <t>CLASE</t>
        </is>
      </c>
      <c r="J571" t="inlineStr">
        <is>
          <t>0702</t>
        </is>
      </c>
      <c r="K571" t="inlineStr">
        <is>
          <t>MAT</t>
        </is>
      </c>
      <c r="L571" t="inlineStr"/>
      <c r="M571" t="inlineStr"/>
      <c r="N571" t="inlineStr"/>
      <c r="O571" t="inlineStr"/>
      <c r="P571" t="inlineStr">
        <is>
          <t>0702-MAT</t>
        </is>
      </c>
      <c r="Q571">
        <f>IF(I571="ENFASIS","ÉNFASIS "&amp;M571,IFERROR(VLOOKUP(J571,Grupos!$A$2:$D$100,4,FALSE),J571))</f>
        <v/>
      </c>
      <c r="R571">
        <f>O571&amp;IF(N571&lt;&gt;"",IF(O571&lt;&gt;""," · ","")&amp;"Con: "&amp;N571,"")</f>
        <v/>
      </c>
      <c r="S571">
        <f>C571&amp;"|"&amp;D571</f>
        <v/>
      </c>
      <c r="T571">
        <f>COUNTIF($S$2:S571,S571)</f>
        <v/>
      </c>
      <c r="U571">
        <f>S571&amp;"|"&amp;T571</f>
        <v/>
      </c>
      <c r="V571">
        <f>IFERROR(VLOOKUP(IF(I571="ENFASIS",LEFT(M571,FIND("+",M571&amp;"+")-1),J571),Direccion_Grupo!$A$2:$G$100,7,FALSE),"")</f>
        <v/>
      </c>
    </row>
    <row r="572">
      <c r="A572" t="n">
        <v>8</v>
      </c>
      <c r="B572" t="inlineStr">
        <is>
          <t>Casanova Quiñones Yoli del Carmen</t>
        </is>
      </c>
      <c r="C572" t="inlineStr">
        <is>
          <t>MARTES</t>
        </is>
      </c>
      <c r="D572" t="n">
        <v>7</v>
      </c>
      <c r="E572" t="n">
        <v>4</v>
      </c>
      <c r="F572" t="n">
        <v>1</v>
      </c>
      <c r="G572" t="inlineStr">
        <is>
          <t>12:00</t>
        </is>
      </c>
      <c r="H572" t="inlineStr">
        <is>
          <t>12:45</t>
        </is>
      </c>
      <c r="I572" t="inlineStr">
        <is>
          <t>CLASE</t>
        </is>
      </c>
      <c r="J572" t="inlineStr">
        <is>
          <t>0703</t>
        </is>
      </c>
      <c r="K572" t="inlineStr">
        <is>
          <t>ETR</t>
        </is>
      </c>
      <c r="L572" t="inlineStr"/>
      <c r="M572" t="inlineStr"/>
      <c r="N572" t="inlineStr"/>
      <c r="O572" t="inlineStr">
        <is>
          <t>Ética / Religión (alternan cada semana)</t>
        </is>
      </c>
      <c r="P572" t="inlineStr">
        <is>
          <t>0703-ETI</t>
        </is>
      </c>
      <c r="Q572">
        <f>IF(I572="ENFASIS","ÉNFASIS "&amp;M572,IFERROR(VLOOKUP(J572,Grupos!$A$2:$D$100,4,FALSE),J572))</f>
        <v/>
      </c>
      <c r="R572">
        <f>O572&amp;IF(N572&lt;&gt;"",IF(O572&lt;&gt;""," · ","")&amp;"Con: "&amp;N572,"")</f>
        <v/>
      </c>
      <c r="S572">
        <f>C572&amp;"|"&amp;D572</f>
        <v/>
      </c>
      <c r="T572">
        <f>COUNTIF($S$2:S572,S572)</f>
        <v/>
      </c>
      <c r="U572">
        <f>S572&amp;"|"&amp;T572</f>
        <v/>
      </c>
      <c r="V572">
        <f>IFERROR(VLOOKUP(IF(I572="ENFASIS",LEFT(M572,FIND("+",M572&amp;"+")-1),J572),Direccion_Grupo!$A$2:$G$100,7,FALSE),"")</f>
        <v/>
      </c>
    </row>
    <row r="573">
      <c r="A573" t="n">
        <v>1</v>
      </c>
      <c r="B573" t="inlineStr">
        <is>
          <t>Aguirre Riascos Jorge Andrés</t>
        </is>
      </c>
      <c r="C573" t="inlineStr">
        <is>
          <t>MARTES</t>
        </is>
      </c>
      <c r="D573" t="n">
        <v>7</v>
      </c>
      <c r="E573" t="n">
        <v>4</v>
      </c>
      <c r="F573" t="n">
        <v>1</v>
      </c>
      <c r="G573" t="inlineStr">
        <is>
          <t>12:00</t>
        </is>
      </c>
      <c r="H573" t="inlineStr">
        <is>
          <t>12:45</t>
        </is>
      </c>
      <c r="I573" t="inlineStr">
        <is>
          <t>CLASE</t>
        </is>
      </c>
      <c r="J573" t="inlineStr">
        <is>
          <t>0704</t>
        </is>
      </c>
      <c r="K573" t="inlineStr">
        <is>
          <t>TEI</t>
        </is>
      </c>
      <c r="L573" t="inlineStr"/>
      <c r="M573" t="inlineStr"/>
      <c r="N573" t="inlineStr"/>
      <c r="O573" t="inlineStr"/>
      <c r="P573" t="inlineStr">
        <is>
          <t>0704-TEI</t>
        </is>
      </c>
      <c r="Q573">
        <f>IF(I573="ENFASIS","ÉNFASIS "&amp;M573,IFERROR(VLOOKUP(J573,Grupos!$A$2:$D$100,4,FALSE),J573))</f>
        <v/>
      </c>
      <c r="R573">
        <f>O573&amp;IF(N573&lt;&gt;"",IF(O573&lt;&gt;""," · ","")&amp;"Con: "&amp;N573,"")</f>
        <v/>
      </c>
      <c r="S573">
        <f>C573&amp;"|"&amp;D573</f>
        <v/>
      </c>
      <c r="T573">
        <f>COUNTIF($S$2:S573,S573)</f>
        <v/>
      </c>
      <c r="U573">
        <f>S573&amp;"|"&amp;T573</f>
        <v/>
      </c>
      <c r="V573">
        <f>IFERROR(VLOOKUP(IF(I573="ENFASIS",LEFT(M573,FIND("+",M573&amp;"+")-1),J573),Direccion_Grupo!$A$2:$G$100,7,FALSE),"")</f>
        <v/>
      </c>
    </row>
    <row r="574">
      <c r="A574" t="n">
        <v>12</v>
      </c>
      <c r="B574" t="inlineStr">
        <is>
          <t>Chillambo Quiñones María Rocío</t>
        </is>
      </c>
      <c r="C574" t="inlineStr">
        <is>
          <t>MARTES</t>
        </is>
      </c>
      <c r="D574" t="n">
        <v>7</v>
      </c>
      <c r="E574" t="n">
        <v>4</v>
      </c>
      <c r="F574" t="n">
        <v>1</v>
      </c>
      <c r="G574" t="inlineStr">
        <is>
          <t>12:00</t>
        </is>
      </c>
      <c r="H574" t="inlineStr">
        <is>
          <t>12:45</t>
        </is>
      </c>
      <c r="I574" t="inlineStr">
        <is>
          <t>CLASE</t>
        </is>
      </c>
      <c r="J574" t="inlineStr">
        <is>
          <t>0801</t>
        </is>
      </c>
      <c r="K574" t="inlineStr">
        <is>
          <t>CNA</t>
        </is>
      </c>
      <c r="L574" t="inlineStr"/>
      <c r="M574" t="inlineStr"/>
      <c r="N574" t="inlineStr"/>
      <c r="O574" t="inlineStr"/>
      <c r="P574" t="inlineStr">
        <is>
          <t>0801-CNA</t>
        </is>
      </c>
      <c r="Q574">
        <f>IF(I574="ENFASIS","ÉNFASIS "&amp;M574,IFERROR(VLOOKUP(J574,Grupos!$A$2:$D$100,4,FALSE),J574))</f>
        <v/>
      </c>
      <c r="R574">
        <f>O574&amp;IF(N574&lt;&gt;"",IF(O574&lt;&gt;""," · ","")&amp;"Con: "&amp;N574,"")</f>
        <v/>
      </c>
      <c r="S574">
        <f>C574&amp;"|"&amp;D574</f>
        <v/>
      </c>
      <c r="T574">
        <f>COUNTIF($S$2:S574,S574)</f>
        <v/>
      </c>
      <c r="U574">
        <f>S574&amp;"|"&amp;T574</f>
        <v/>
      </c>
      <c r="V574">
        <f>IFERROR(VLOOKUP(IF(I574="ENFASIS",LEFT(M574,FIND("+",M574&amp;"+")-1),J574),Direccion_Grupo!$A$2:$G$100,7,FALSE),"")</f>
        <v/>
      </c>
    </row>
    <row r="575">
      <c r="A575" t="n">
        <v>51</v>
      </c>
      <c r="B575" t="inlineStr">
        <is>
          <t>Valverde Montaño María Teresa</t>
        </is>
      </c>
      <c r="C575" t="inlineStr">
        <is>
          <t>MARTES</t>
        </is>
      </c>
      <c r="D575" t="n">
        <v>7</v>
      </c>
      <c r="E575" t="n">
        <v>4</v>
      </c>
      <c r="F575" t="n">
        <v>1</v>
      </c>
      <c r="G575" t="inlineStr">
        <is>
          <t>12:00</t>
        </is>
      </c>
      <c r="H575" t="inlineStr">
        <is>
          <t>12:45</t>
        </is>
      </c>
      <c r="I575" t="inlineStr">
        <is>
          <t>CLASE</t>
        </is>
      </c>
      <c r="J575" t="inlineStr">
        <is>
          <t>0802</t>
        </is>
      </c>
      <c r="K575" t="inlineStr">
        <is>
          <t>CAS</t>
        </is>
      </c>
      <c r="L575" t="inlineStr"/>
      <c r="M575" t="inlineStr"/>
      <c r="N575" t="inlineStr"/>
      <c r="O575" t="inlineStr"/>
      <c r="P575" t="inlineStr">
        <is>
          <t>0802-CAS</t>
        </is>
      </c>
      <c r="Q575">
        <f>IF(I575="ENFASIS","ÉNFASIS "&amp;M575,IFERROR(VLOOKUP(J575,Grupos!$A$2:$D$100,4,FALSE),J575))</f>
        <v/>
      </c>
      <c r="R575">
        <f>O575&amp;IF(N575&lt;&gt;"",IF(O575&lt;&gt;""," · ","")&amp;"Con: "&amp;N575,"")</f>
        <v/>
      </c>
      <c r="S575">
        <f>C575&amp;"|"&amp;D575</f>
        <v/>
      </c>
      <c r="T575">
        <f>COUNTIF($S$2:S575,S575)</f>
        <v/>
      </c>
      <c r="U575">
        <f>S575&amp;"|"&amp;T575</f>
        <v/>
      </c>
      <c r="V575">
        <f>IFERROR(VLOOKUP(IF(I575="ENFASIS",LEFT(M575,FIND("+",M575&amp;"+")-1),J575),Direccion_Grupo!$A$2:$G$100,7,FALSE),"")</f>
        <v/>
      </c>
    </row>
    <row r="576">
      <c r="A576" t="n">
        <v>18</v>
      </c>
      <c r="B576" t="inlineStr">
        <is>
          <t>Estacio Estupiñán Rosario</t>
        </is>
      </c>
      <c r="C576" t="inlineStr">
        <is>
          <t>MARTES</t>
        </is>
      </c>
      <c r="D576" t="n">
        <v>7</v>
      </c>
      <c r="E576" t="n">
        <v>4</v>
      </c>
      <c r="F576" t="n">
        <v>1</v>
      </c>
      <c r="G576" t="inlineStr">
        <is>
          <t>12:00</t>
        </is>
      </c>
      <c r="H576" t="inlineStr">
        <is>
          <t>12:45</t>
        </is>
      </c>
      <c r="I576" t="inlineStr">
        <is>
          <t>CLASE</t>
        </is>
      </c>
      <c r="J576" t="inlineStr">
        <is>
          <t>0902</t>
        </is>
      </c>
      <c r="K576" t="inlineStr">
        <is>
          <t>ETR</t>
        </is>
      </c>
      <c r="L576" t="inlineStr"/>
      <c r="M576" t="inlineStr"/>
      <c r="N576" t="inlineStr"/>
      <c r="O576" t="inlineStr">
        <is>
          <t>Ética / Religión (alternan cada semana)</t>
        </is>
      </c>
      <c r="P576" t="inlineStr">
        <is>
          <t>0902-ETR</t>
        </is>
      </c>
      <c r="Q576">
        <f>IF(I576="ENFASIS","ÉNFASIS "&amp;M576,IFERROR(VLOOKUP(J576,Grupos!$A$2:$D$100,4,FALSE),J576))</f>
        <v/>
      </c>
      <c r="R576">
        <f>O576&amp;IF(N576&lt;&gt;"",IF(O576&lt;&gt;""," · ","")&amp;"Con: "&amp;N576,"")</f>
        <v/>
      </c>
      <c r="S576">
        <f>C576&amp;"|"&amp;D576</f>
        <v/>
      </c>
      <c r="T576">
        <f>COUNTIF($S$2:S576,S576)</f>
        <v/>
      </c>
      <c r="U576">
        <f>S576&amp;"|"&amp;T576</f>
        <v/>
      </c>
      <c r="V576">
        <f>IFERROR(VLOOKUP(IF(I576="ENFASIS",LEFT(M576,FIND("+",M576&amp;"+")-1),J576),Direccion_Grupo!$A$2:$G$100,7,FALSE),"")</f>
        <v/>
      </c>
    </row>
    <row r="577">
      <c r="A577" t="n">
        <v>40</v>
      </c>
      <c r="B577" t="inlineStr">
        <is>
          <t>Pulgarín Ortiz César Marino</t>
        </is>
      </c>
      <c r="C577" t="inlineStr">
        <is>
          <t>MARTES</t>
        </is>
      </c>
      <c r="D577" t="n">
        <v>7</v>
      </c>
      <c r="E577" t="n">
        <v>4</v>
      </c>
      <c r="F577" t="n">
        <v>1</v>
      </c>
      <c r="G577" t="inlineStr">
        <is>
          <t>12:00</t>
        </is>
      </c>
      <c r="H577" t="inlineStr">
        <is>
          <t>12:45</t>
        </is>
      </c>
      <c r="I577" t="inlineStr">
        <is>
          <t>CLASE</t>
        </is>
      </c>
      <c r="J577" t="inlineStr">
        <is>
          <t>1002</t>
        </is>
      </c>
      <c r="K577" t="inlineStr">
        <is>
          <t>CSI</t>
        </is>
      </c>
      <c r="L577" t="inlineStr"/>
      <c r="M577" t="inlineStr"/>
      <c r="N577" t="inlineStr"/>
      <c r="O577" t="inlineStr">
        <is>
          <t>Sociales / Inglés (alternan cada semana)</t>
        </is>
      </c>
      <c r="P577" t="inlineStr">
        <is>
          <t>1002-CSI</t>
        </is>
      </c>
      <c r="Q577">
        <f>IF(I577="ENFASIS","ÉNFASIS "&amp;M577,IFERROR(VLOOKUP(J577,Grupos!$A$2:$D$100,4,FALSE),J577))</f>
        <v/>
      </c>
      <c r="R577">
        <f>O577&amp;IF(N577&lt;&gt;"",IF(O577&lt;&gt;""," · ","")&amp;"Con: "&amp;N577,"")</f>
        <v/>
      </c>
      <c r="S577">
        <f>C577&amp;"|"&amp;D577</f>
        <v/>
      </c>
      <c r="T577">
        <f>COUNTIF($S$2:S577,S577)</f>
        <v/>
      </c>
      <c r="U577">
        <f>S577&amp;"|"&amp;T577</f>
        <v/>
      </c>
      <c r="V577">
        <f>IFERROR(VLOOKUP(IF(I577="ENFASIS",LEFT(M577,FIND("+",M577&amp;"+")-1),J577),Direccion_Grupo!$A$2:$G$100,7,FALSE),"")</f>
        <v/>
      </c>
    </row>
    <row r="578">
      <c r="A578" t="n">
        <v>54</v>
      </c>
      <c r="B578" t="inlineStr">
        <is>
          <t>Villota Rubio Janeth del Carmen</t>
        </is>
      </c>
      <c r="C578" t="inlineStr">
        <is>
          <t>MARTES</t>
        </is>
      </c>
      <c r="D578" t="n">
        <v>7</v>
      </c>
      <c r="E578" t="n">
        <v>4</v>
      </c>
      <c r="F578" t="n">
        <v>1</v>
      </c>
      <c r="G578" t="inlineStr">
        <is>
          <t>12:00</t>
        </is>
      </c>
      <c r="H578" t="inlineStr">
        <is>
          <t>12:45</t>
        </is>
      </c>
      <c r="I578" t="inlineStr">
        <is>
          <t>CLASE</t>
        </is>
      </c>
      <c r="J578" t="inlineStr">
        <is>
          <t>1101</t>
        </is>
      </c>
      <c r="K578" t="inlineStr">
        <is>
          <t>MAT</t>
        </is>
      </c>
      <c r="L578" t="inlineStr"/>
      <c r="M578" t="inlineStr"/>
      <c r="N578" t="inlineStr"/>
      <c r="O578" t="inlineStr"/>
      <c r="P578" t="inlineStr">
        <is>
          <t>1101-MAT</t>
        </is>
      </c>
      <c r="Q578">
        <f>IF(I578="ENFASIS","ÉNFASIS "&amp;M578,IFERROR(VLOOKUP(J578,Grupos!$A$2:$D$100,4,FALSE),J578))</f>
        <v/>
      </c>
      <c r="R578">
        <f>O578&amp;IF(N578&lt;&gt;"",IF(O578&lt;&gt;""," · ","")&amp;"Con: "&amp;N578,"")</f>
        <v/>
      </c>
      <c r="S578">
        <f>C578&amp;"|"&amp;D578</f>
        <v/>
      </c>
      <c r="T578">
        <f>COUNTIF($S$2:S578,S578)</f>
        <v/>
      </c>
      <c r="U578">
        <f>S578&amp;"|"&amp;T578</f>
        <v/>
      </c>
      <c r="V578">
        <f>IFERROR(VLOOKUP(IF(I578="ENFASIS",LEFT(M578,FIND("+",M578&amp;"+")-1),J578),Direccion_Grupo!$A$2:$G$100,7,FALSE),"")</f>
        <v/>
      </c>
    </row>
    <row r="579">
      <c r="A579" t="n">
        <v>2</v>
      </c>
      <c r="B579" t="inlineStr">
        <is>
          <t>Angulo Lucero Andrés Mauricio</t>
        </is>
      </c>
      <c r="C579" t="inlineStr">
        <is>
          <t>MARTES</t>
        </is>
      </c>
      <c r="D579" t="n">
        <v>7</v>
      </c>
      <c r="E579" t="n">
        <v>4</v>
      </c>
      <c r="F579" t="n">
        <v>1</v>
      </c>
      <c r="G579" t="inlineStr">
        <is>
          <t>12:00</t>
        </is>
      </c>
      <c r="H579" t="inlineStr">
        <is>
          <t>12:45</t>
        </is>
      </c>
      <c r="I579" t="inlineStr">
        <is>
          <t>CLASE</t>
        </is>
      </c>
      <c r="J579" t="inlineStr">
        <is>
          <t>1102</t>
        </is>
      </c>
      <c r="K579" t="inlineStr">
        <is>
          <t>TEI</t>
        </is>
      </c>
      <c r="L579" t="inlineStr"/>
      <c r="M579" t="inlineStr"/>
      <c r="N579" t="inlineStr"/>
      <c r="O579" t="inlineStr"/>
      <c r="P579" t="inlineStr">
        <is>
          <t>1102-TEI</t>
        </is>
      </c>
      <c r="Q579">
        <f>IF(I579="ENFASIS","ÉNFASIS "&amp;M579,IFERROR(VLOOKUP(J579,Grupos!$A$2:$D$100,4,FALSE),J579))</f>
        <v/>
      </c>
      <c r="R579">
        <f>O579&amp;IF(N579&lt;&gt;"",IF(O579&lt;&gt;""," · ","")&amp;"Con: "&amp;N579,"")</f>
        <v/>
      </c>
      <c r="S579">
        <f>C579&amp;"|"&amp;D579</f>
        <v/>
      </c>
      <c r="T579">
        <f>COUNTIF($S$2:S579,S579)</f>
        <v/>
      </c>
      <c r="U579">
        <f>S579&amp;"|"&amp;T579</f>
        <v/>
      </c>
      <c r="V579">
        <f>IFERROR(VLOOKUP(IF(I579="ENFASIS",LEFT(M579,FIND("+",M579&amp;"+")-1),J579),Direccion_Grupo!$A$2:$G$100,7,FALSE),"")</f>
        <v/>
      </c>
    </row>
    <row r="580">
      <c r="A580" t="n">
        <v>37</v>
      </c>
      <c r="B580" t="inlineStr">
        <is>
          <t>Prado Quiñones Genís Maribel</t>
        </is>
      </c>
      <c r="C580" t="inlineStr">
        <is>
          <t>MARTES</t>
        </is>
      </c>
      <c r="D580" t="n">
        <v>7</v>
      </c>
      <c r="E580" t="n">
        <v>4</v>
      </c>
      <c r="F580" t="n">
        <v>1</v>
      </c>
      <c r="G580" t="inlineStr">
        <is>
          <t>12:00</t>
        </is>
      </c>
      <c r="H580" t="inlineStr">
        <is>
          <t>12:45</t>
        </is>
      </c>
      <c r="I580" t="inlineStr">
        <is>
          <t>CLASE</t>
        </is>
      </c>
      <c r="J580" t="inlineStr">
        <is>
          <t>CS101</t>
        </is>
      </c>
      <c r="K580" t="inlineStr">
        <is>
          <t>ART</t>
        </is>
      </c>
      <c r="L580" t="inlineStr"/>
      <c r="M580" t="inlineStr"/>
      <c r="N580" t="inlineStr"/>
      <c r="O580" t="inlineStr"/>
      <c r="P580" t="inlineStr">
        <is>
          <t>CS101-ART</t>
        </is>
      </c>
      <c r="Q580">
        <f>IF(I580="ENFASIS","ÉNFASIS "&amp;M580,IFERROR(VLOOKUP(J580,Grupos!$A$2:$D$100,4,FALSE),J580))</f>
        <v/>
      </c>
      <c r="R580">
        <f>O580&amp;IF(N580&lt;&gt;"",IF(O580&lt;&gt;""," · ","")&amp;"Con: "&amp;N580,"")</f>
        <v/>
      </c>
      <c r="S580">
        <f>C580&amp;"|"&amp;D580</f>
        <v/>
      </c>
      <c r="T580">
        <f>COUNTIF($S$2:S580,S580)</f>
        <v/>
      </c>
      <c r="U580">
        <f>S580&amp;"|"&amp;T580</f>
        <v/>
      </c>
      <c r="V580">
        <f>IFERROR(VLOOKUP(IF(I580="ENFASIS",LEFT(M580,FIND("+",M580&amp;"+")-1),J580),Direccion_Grupo!$A$2:$G$100,7,FALSE),"")</f>
        <v/>
      </c>
    </row>
    <row r="581">
      <c r="A581" t="n">
        <v>57</v>
      </c>
      <c r="B581" t="inlineStr">
        <is>
          <t>Armero Dájome Jesús</t>
        </is>
      </c>
      <c r="C581" t="inlineStr">
        <is>
          <t>MARTES</t>
        </is>
      </c>
      <c r="D581" t="n">
        <v>7</v>
      </c>
      <c r="E581" t="n">
        <v>4</v>
      </c>
      <c r="F581" t="n">
        <v>1</v>
      </c>
      <c r="G581" t="inlineStr">
        <is>
          <t>12:00</t>
        </is>
      </c>
      <c r="H581" t="inlineStr">
        <is>
          <t>12:45</t>
        </is>
      </c>
      <c r="I581" t="inlineStr">
        <is>
          <t>CLASE</t>
        </is>
      </c>
      <c r="J581" t="inlineStr">
        <is>
          <t>CS102</t>
        </is>
      </c>
      <c r="K581" t="inlineStr">
        <is>
          <t>CNA</t>
        </is>
      </c>
      <c r="L581" t="inlineStr"/>
      <c r="M581" t="inlineStr"/>
      <c r="N581" t="inlineStr"/>
      <c r="O581" t="inlineStr"/>
      <c r="P581" t="inlineStr">
        <is>
          <t>CS102-CNA</t>
        </is>
      </c>
      <c r="Q581">
        <f>IF(I581="ENFASIS","ÉNFASIS "&amp;M581,IFERROR(VLOOKUP(J581,Grupos!$A$2:$D$100,4,FALSE),J581))</f>
        <v/>
      </c>
      <c r="R581">
        <f>O581&amp;IF(N581&lt;&gt;"",IF(O581&lt;&gt;""," · ","")&amp;"Con: "&amp;N581,"")</f>
        <v/>
      </c>
      <c r="S581">
        <f>C581&amp;"|"&amp;D581</f>
        <v/>
      </c>
      <c r="T581">
        <f>COUNTIF($S$2:S581,S581)</f>
        <v/>
      </c>
      <c r="U581">
        <f>S581&amp;"|"&amp;T581</f>
        <v/>
      </c>
      <c r="V581">
        <f>IFERROR(VLOOKUP(IF(I581="ENFASIS",LEFT(M581,FIND("+",M581&amp;"+")-1),J581),Direccion_Grupo!$A$2:$G$100,7,FALSE),"")</f>
        <v/>
      </c>
    </row>
    <row r="582">
      <c r="A582" t="n">
        <v>38</v>
      </c>
      <c r="B582" t="inlineStr">
        <is>
          <t>Preciado Torres Oleisa</t>
        </is>
      </c>
      <c r="C582" t="inlineStr">
        <is>
          <t>MARTES</t>
        </is>
      </c>
      <c r="D582" t="n">
        <v>7</v>
      </c>
      <c r="E582" t="n">
        <v>4</v>
      </c>
      <c r="F582" t="n">
        <v>1</v>
      </c>
      <c r="G582" t="inlineStr">
        <is>
          <t>12:00</t>
        </is>
      </c>
      <c r="H582" t="inlineStr">
        <is>
          <t>12:45</t>
        </is>
      </c>
      <c r="I582" t="inlineStr">
        <is>
          <t>CLASE</t>
        </is>
      </c>
      <c r="J582" t="inlineStr">
        <is>
          <t>CS201</t>
        </is>
      </c>
      <c r="K582" t="inlineStr">
        <is>
          <t>MAT</t>
        </is>
      </c>
      <c r="L582" t="inlineStr"/>
      <c r="M582" t="inlineStr"/>
      <c r="N582" t="inlineStr"/>
      <c r="O582" t="inlineStr"/>
      <c r="P582" t="inlineStr">
        <is>
          <t>CS201-MAT</t>
        </is>
      </c>
      <c r="Q582">
        <f>IF(I582="ENFASIS","ÉNFASIS "&amp;M582,IFERROR(VLOOKUP(J582,Grupos!$A$2:$D$100,4,FALSE),J582))</f>
        <v/>
      </c>
      <c r="R582">
        <f>O582&amp;IF(N582&lt;&gt;"",IF(O582&lt;&gt;""," · ","")&amp;"Con: "&amp;N582,"")</f>
        <v/>
      </c>
      <c r="S582">
        <f>C582&amp;"|"&amp;D582</f>
        <v/>
      </c>
      <c r="T582">
        <f>COUNTIF($S$2:S582,S582)</f>
        <v/>
      </c>
      <c r="U582">
        <f>S582&amp;"|"&amp;T582</f>
        <v/>
      </c>
      <c r="V582">
        <f>IFERROR(VLOOKUP(IF(I582="ENFASIS",LEFT(M582,FIND("+",M582&amp;"+")-1),J582),Direccion_Grupo!$A$2:$G$100,7,FALSE),"")</f>
        <v/>
      </c>
    </row>
    <row r="583">
      <c r="A583" t="n">
        <v>9</v>
      </c>
      <c r="B583" t="inlineStr">
        <is>
          <t>Castillo Angulo Martha Cecilia</t>
        </is>
      </c>
      <c r="C583" t="inlineStr">
        <is>
          <t>MARTES</t>
        </is>
      </c>
      <c r="D583" t="n">
        <v>7</v>
      </c>
      <c r="E583" t="n">
        <v>4</v>
      </c>
      <c r="F583" t="n">
        <v>1</v>
      </c>
      <c r="G583" t="inlineStr">
        <is>
          <t>12:00</t>
        </is>
      </c>
      <c r="H583" t="inlineStr">
        <is>
          <t>12:45</t>
        </is>
      </c>
      <c r="I583" t="inlineStr">
        <is>
          <t>CLASE</t>
        </is>
      </c>
      <c r="J583" t="inlineStr">
        <is>
          <t>CS202</t>
        </is>
      </c>
      <c r="K583" t="inlineStr">
        <is>
          <t>ETR</t>
        </is>
      </c>
      <c r="L583" t="inlineStr"/>
      <c r="M583" t="inlineStr"/>
      <c r="N583" t="inlineStr"/>
      <c r="O583" t="inlineStr">
        <is>
          <t>Ética / Religión (alternan cada semana)</t>
        </is>
      </c>
      <c r="P583" t="inlineStr">
        <is>
          <t>CS202-ETR</t>
        </is>
      </c>
      <c r="Q583">
        <f>IF(I583="ENFASIS","ÉNFASIS "&amp;M583,IFERROR(VLOOKUP(J583,Grupos!$A$2:$D$100,4,FALSE),J583))</f>
        <v/>
      </c>
      <c r="R583">
        <f>O583&amp;IF(N583&lt;&gt;"",IF(O583&lt;&gt;""," · ","")&amp;"Con: "&amp;N583,"")</f>
        <v/>
      </c>
      <c r="S583">
        <f>C583&amp;"|"&amp;D583</f>
        <v/>
      </c>
      <c r="T583">
        <f>COUNTIF($S$2:S583,S583)</f>
        <v/>
      </c>
      <c r="U583">
        <f>S583&amp;"|"&amp;T583</f>
        <v/>
      </c>
      <c r="V583">
        <f>IFERROR(VLOOKUP(IF(I583="ENFASIS",LEFT(M583,FIND("+",M583&amp;"+")-1),J583),Direccion_Grupo!$A$2:$G$100,7,FALSE),"")</f>
        <v/>
      </c>
    </row>
    <row r="584">
      <c r="A584" t="n">
        <v>7</v>
      </c>
      <c r="B584" t="inlineStr">
        <is>
          <t>Casanova Casanova Johana Andrea</t>
        </is>
      </c>
      <c r="C584" t="inlineStr">
        <is>
          <t>MARTES</t>
        </is>
      </c>
      <c r="D584" t="n">
        <v>7</v>
      </c>
      <c r="E584" t="n">
        <v>4</v>
      </c>
      <c r="F584" t="n">
        <v>1</v>
      </c>
      <c r="G584" t="inlineStr">
        <is>
          <t>12:00</t>
        </is>
      </c>
      <c r="H584" t="inlineStr">
        <is>
          <t>12:45</t>
        </is>
      </c>
      <c r="I584" t="inlineStr">
        <is>
          <t>ORIENTACION</t>
        </is>
      </c>
      <c r="J584" t="inlineStr">
        <is>
          <t>ORIENT</t>
        </is>
      </c>
      <c r="K584" t="inlineStr">
        <is>
          <t>ORIENTACIÓN ESCOLAR</t>
        </is>
      </c>
      <c r="L584" t="inlineStr"/>
      <c r="M584" t="inlineStr"/>
      <c r="N584" t="inlineStr"/>
      <c r="O584" t="inlineStr">
        <is>
          <t>Jornada 07:30 a 14:30</t>
        </is>
      </c>
      <c r="P584" t="inlineStr"/>
      <c r="Q584">
        <f>IF(I584="ENFASIS","ÉNFASIS "&amp;M584,IFERROR(VLOOKUP(J584,Grupos!$A$2:$D$100,4,FALSE),J584))</f>
        <v/>
      </c>
      <c r="R584">
        <f>O584&amp;IF(N584&lt;&gt;"",IF(O584&lt;&gt;""," · ","")&amp;"Con: "&amp;N584,"")</f>
        <v/>
      </c>
      <c r="S584">
        <f>C584&amp;"|"&amp;D584</f>
        <v/>
      </c>
      <c r="T584">
        <f>COUNTIF($S$2:S584,S584)</f>
        <v/>
      </c>
      <c r="U584">
        <f>S584&amp;"|"&amp;T584</f>
        <v/>
      </c>
      <c r="V584">
        <f>IFERROR(VLOOKUP(IF(I584="ENFASIS",LEFT(M584,FIND("+",M584&amp;"+")-1),J584),Direccion_Grupo!$A$2:$G$100,7,FALSE),"")</f>
        <v/>
      </c>
    </row>
    <row r="585">
      <c r="A585" t="n">
        <v>36</v>
      </c>
      <c r="B585" t="inlineStr">
        <is>
          <t>Ponce Moncayo Ángela Paola</t>
        </is>
      </c>
      <c r="C585" t="inlineStr">
        <is>
          <t>MARTES</t>
        </is>
      </c>
      <c r="D585" t="n">
        <v>7</v>
      </c>
      <c r="E585" t="n">
        <v>4</v>
      </c>
      <c r="F585" t="n">
        <v>1</v>
      </c>
      <c r="G585" t="inlineStr">
        <is>
          <t>12:00</t>
        </is>
      </c>
      <c r="H585" t="inlineStr">
        <is>
          <t>12:45</t>
        </is>
      </c>
      <c r="I585" t="inlineStr">
        <is>
          <t>ORIENTACION</t>
        </is>
      </c>
      <c r="J585" t="inlineStr">
        <is>
          <t>ORIENT</t>
        </is>
      </c>
      <c r="K585" t="inlineStr">
        <is>
          <t>ORIENTACIÓN ESCOLAR</t>
        </is>
      </c>
      <c r="L585" t="inlineStr"/>
      <c r="M585" t="inlineStr"/>
      <c r="N585" t="inlineStr"/>
      <c r="O585" t="inlineStr">
        <is>
          <t>Jornada 08:30 a 13:30</t>
        </is>
      </c>
      <c r="P585" t="inlineStr"/>
      <c r="Q585">
        <f>IF(I585="ENFASIS","ÉNFASIS "&amp;M585,IFERROR(VLOOKUP(J585,Grupos!$A$2:$D$100,4,FALSE),J585))</f>
        <v/>
      </c>
      <c r="R585">
        <f>O585&amp;IF(N585&lt;&gt;"",IF(O585&lt;&gt;""," · ","")&amp;"Con: "&amp;N585,"")</f>
        <v/>
      </c>
      <c r="S585">
        <f>C585&amp;"|"&amp;D585</f>
        <v/>
      </c>
      <c r="T585">
        <f>COUNTIF($S$2:S585,S585)</f>
        <v/>
      </c>
      <c r="U585">
        <f>S585&amp;"|"&amp;T585</f>
        <v/>
      </c>
      <c r="V585">
        <f>IFERROR(VLOOKUP(IF(I585="ENFASIS",LEFT(M585,FIND("+",M585&amp;"+")-1),J585),Direccion_Grupo!$A$2:$G$100,7,FALSE),"")</f>
        <v/>
      </c>
    </row>
    <row r="586">
      <c r="A586" t="n">
        <v>10</v>
      </c>
      <c r="B586" t="inlineStr">
        <is>
          <t>Castillo Cuero Daira Eneida</t>
        </is>
      </c>
      <c r="C586" t="inlineStr">
        <is>
          <t>MARTES</t>
        </is>
      </c>
      <c r="D586" t="n">
        <v>7</v>
      </c>
      <c r="E586" t="n">
        <v>4</v>
      </c>
      <c r="F586" t="n">
        <v>1</v>
      </c>
      <c r="G586" t="inlineStr">
        <is>
          <t>12:00</t>
        </is>
      </c>
      <c r="H586" t="inlineStr">
        <is>
          <t>12:45</t>
        </is>
      </c>
      <c r="I586" t="inlineStr">
        <is>
          <t>ENFASIS</t>
        </is>
      </c>
      <c r="J586" t="inlineStr"/>
      <c r="K586" t="inlineStr">
        <is>
          <t>CAS</t>
        </is>
      </c>
      <c r="L586" t="inlineStr">
        <is>
          <t>0601</t>
        </is>
      </c>
      <c r="M586" t="inlineStr">
        <is>
          <t>0601</t>
        </is>
      </c>
      <c r="N586" t="inlineStr">
        <is>
          <t>Puches Ana Milena (ART)</t>
        </is>
      </c>
      <c r="O586" t="inlineStr">
        <is>
          <t>PAREJA: comparten el énfasis y alternan por semana</t>
        </is>
      </c>
      <c r="P586" t="inlineStr">
        <is>
          <t>ENFASIS-0601</t>
        </is>
      </c>
      <c r="Q586">
        <f>IF(I586="ENFASIS","ÉNFASIS "&amp;M586,IFERROR(VLOOKUP(J586,Grupos!$A$2:$D$100,4,FALSE),J586))</f>
        <v/>
      </c>
      <c r="R586">
        <f>O586&amp;IF(N586&lt;&gt;"",IF(O586&lt;&gt;""," · ","")&amp;"Con: "&amp;N586,"")</f>
        <v/>
      </c>
      <c r="S586">
        <f>C586&amp;"|"&amp;D586</f>
        <v/>
      </c>
      <c r="T586">
        <f>COUNTIF($S$2:S586,S586)</f>
        <v/>
      </c>
      <c r="U586">
        <f>S586&amp;"|"&amp;T586</f>
        <v/>
      </c>
      <c r="V586">
        <f>IFERROR(VLOOKUP(IF(I586="ENFASIS",LEFT(M586,FIND("+",M586&amp;"+")-1),J586),Direccion_Grupo!$A$2:$G$100,7,FALSE),"")</f>
        <v/>
      </c>
    </row>
    <row r="587">
      <c r="A587" t="n">
        <v>39</v>
      </c>
      <c r="B587" t="inlineStr">
        <is>
          <t>Puches Ana Milena</t>
        </is>
      </c>
      <c r="C587" t="inlineStr">
        <is>
          <t>MARTES</t>
        </is>
      </c>
      <c r="D587" t="n">
        <v>7</v>
      </c>
      <c r="E587" t="n">
        <v>4</v>
      </c>
      <c r="F587" t="n">
        <v>1</v>
      </c>
      <c r="G587" t="inlineStr">
        <is>
          <t>12:00</t>
        </is>
      </c>
      <c r="H587" t="inlineStr">
        <is>
          <t>12:45</t>
        </is>
      </c>
      <c r="I587" t="inlineStr">
        <is>
          <t>ENFASIS</t>
        </is>
      </c>
      <c r="J587" t="inlineStr"/>
      <c r="K587" t="inlineStr">
        <is>
          <t>ART</t>
        </is>
      </c>
      <c r="L587" t="inlineStr">
        <is>
          <t>0601</t>
        </is>
      </c>
      <c r="M587" t="inlineStr">
        <is>
          <t>0601</t>
        </is>
      </c>
      <c r="N587" t="inlineStr">
        <is>
          <t>Castillo Cuero Daira Eneida (CAS)</t>
        </is>
      </c>
      <c r="O587" t="inlineStr">
        <is>
          <t>PAREJA: comparten el énfasis y alternan por semana</t>
        </is>
      </c>
      <c r="P587" t="inlineStr">
        <is>
          <t>ENFASIS-0601</t>
        </is>
      </c>
      <c r="Q587">
        <f>IF(I587="ENFASIS","ÉNFASIS "&amp;M587,IFERROR(VLOOKUP(J587,Grupos!$A$2:$D$100,4,FALSE),J587))</f>
        <v/>
      </c>
      <c r="R587">
        <f>O587&amp;IF(N587&lt;&gt;"",IF(O587&lt;&gt;""," · ","")&amp;"Con: "&amp;N587,"")</f>
        <v/>
      </c>
      <c r="S587">
        <f>C587&amp;"|"&amp;D587</f>
        <v/>
      </c>
      <c r="T587">
        <f>COUNTIF($S$2:S587,S587)</f>
        <v/>
      </c>
      <c r="U587">
        <f>S587&amp;"|"&amp;T587</f>
        <v/>
      </c>
      <c r="V587">
        <f>IFERROR(VLOOKUP(IF(I587="ENFASIS",LEFT(M587,FIND("+",M587&amp;"+")-1),J587),Direccion_Grupo!$A$2:$G$100,7,FALSE),"")</f>
        <v/>
      </c>
    </row>
    <row r="588">
      <c r="A588" t="n">
        <v>34</v>
      </c>
      <c r="B588" t="inlineStr">
        <is>
          <t>Ordóñez Tenorio Jaime Marcial</t>
        </is>
      </c>
      <c r="C588" t="inlineStr">
        <is>
          <t>MARTES</t>
        </is>
      </c>
      <c r="D588" t="n">
        <v>7</v>
      </c>
      <c r="E588" t="n">
        <v>4</v>
      </c>
      <c r="F588" t="n">
        <v>1</v>
      </c>
      <c r="G588" t="inlineStr">
        <is>
          <t>12:00</t>
        </is>
      </c>
      <c r="H588" t="inlineStr">
        <is>
          <t>12:45</t>
        </is>
      </c>
      <c r="I588" t="inlineStr">
        <is>
          <t>ENFASIS</t>
        </is>
      </c>
      <c r="J588" t="inlineStr"/>
      <c r="K588" t="inlineStr">
        <is>
          <t>CNA</t>
        </is>
      </c>
      <c r="L588" t="inlineStr">
        <is>
          <t>0602</t>
        </is>
      </c>
      <c r="M588" t="inlineStr">
        <is>
          <t>0602</t>
        </is>
      </c>
      <c r="N588" t="inlineStr">
        <is>
          <t>Armero Dájome Jesús (ERD)</t>
        </is>
      </c>
      <c r="O588" t="inlineStr">
        <is>
          <t>PAREJA: comparten el énfasis y alternan por semana</t>
        </is>
      </c>
      <c r="P588" t="inlineStr">
        <is>
          <t>ENFASIS-0602</t>
        </is>
      </c>
      <c r="Q588">
        <f>IF(I588="ENFASIS","ÉNFASIS "&amp;M588,IFERROR(VLOOKUP(J588,Grupos!$A$2:$D$100,4,FALSE),J588))</f>
        <v/>
      </c>
      <c r="R588">
        <f>O588&amp;IF(N588&lt;&gt;"",IF(O588&lt;&gt;""," · ","")&amp;"Con: "&amp;N588,"")</f>
        <v/>
      </c>
      <c r="S588">
        <f>C588&amp;"|"&amp;D588</f>
        <v/>
      </c>
      <c r="T588">
        <f>COUNTIF($S$2:S588,S588)</f>
        <v/>
      </c>
      <c r="U588">
        <f>S588&amp;"|"&amp;T588</f>
        <v/>
      </c>
      <c r="V588">
        <f>IFERROR(VLOOKUP(IF(I588="ENFASIS",LEFT(M588,FIND("+",M588&amp;"+")-1),J588),Direccion_Grupo!$A$2:$G$100,7,FALSE),"")</f>
        <v/>
      </c>
    </row>
    <row r="589">
      <c r="A589" t="n">
        <v>4</v>
      </c>
      <c r="B589" t="inlineStr">
        <is>
          <t>Arizala Castro Roberto Carlos</t>
        </is>
      </c>
      <c r="C589" t="inlineStr">
        <is>
          <t>MARTES</t>
        </is>
      </c>
      <c r="D589" t="n">
        <v>7</v>
      </c>
      <c r="E589" t="n">
        <v>4</v>
      </c>
      <c r="F589" t="n">
        <v>1</v>
      </c>
      <c r="G589" t="inlineStr">
        <is>
          <t>12:00</t>
        </is>
      </c>
      <c r="H589" t="inlineStr">
        <is>
          <t>12:45</t>
        </is>
      </c>
      <c r="I589" t="inlineStr">
        <is>
          <t>ENFASIS</t>
        </is>
      </c>
      <c r="J589" t="inlineStr"/>
      <c r="K589" t="inlineStr">
        <is>
          <t>ERD</t>
        </is>
      </c>
      <c r="L589" t="inlineStr">
        <is>
          <t>0602</t>
        </is>
      </c>
      <c r="M589" t="inlineStr">
        <is>
          <t>0602</t>
        </is>
      </c>
      <c r="N589" t="inlineStr">
        <is>
          <t>Ordóñez Tenorio Jaime Marcial (CNA)</t>
        </is>
      </c>
      <c r="O589" t="inlineStr">
        <is>
          <t>PAREJA: comparten el énfasis y alternan por semana</t>
        </is>
      </c>
      <c r="P589" t="inlineStr">
        <is>
          <t>ENFASIS-0602</t>
        </is>
      </c>
      <c r="Q589">
        <f>IF(I589="ENFASIS","ÉNFASIS "&amp;M589,IFERROR(VLOOKUP(J589,Grupos!$A$2:$D$100,4,FALSE),J589))</f>
        <v/>
      </c>
      <c r="R589">
        <f>O589&amp;IF(N589&lt;&gt;"",IF(O589&lt;&gt;""," · ","")&amp;"Con: "&amp;N589,"")</f>
        <v/>
      </c>
      <c r="S589">
        <f>C589&amp;"|"&amp;D589</f>
        <v/>
      </c>
      <c r="T589">
        <f>COUNTIF($S$2:S589,S589)</f>
        <v/>
      </c>
      <c r="U589">
        <f>S589&amp;"|"&amp;T589</f>
        <v/>
      </c>
      <c r="V589">
        <f>IFERROR(VLOOKUP(IF(I589="ENFASIS",LEFT(M589,FIND("+",M589&amp;"+")-1),J589),Direccion_Grupo!$A$2:$G$100,7,FALSE),"")</f>
        <v/>
      </c>
    </row>
    <row r="590">
      <c r="A590" t="n">
        <v>22</v>
      </c>
      <c r="B590" t="inlineStr">
        <is>
          <t>González Castillo Jólmer Jimy</t>
        </is>
      </c>
      <c r="C590" t="inlineStr">
        <is>
          <t>MARTES</t>
        </is>
      </c>
      <c r="D590" t="n">
        <v>7</v>
      </c>
      <c r="E590" t="n">
        <v>4</v>
      </c>
      <c r="F590" t="n">
        <v>1</v>
      </c>
      <c r="G590" t="inlineStr">
        <is>
          <t>12:00</t>
        </is>
      </c>
      <c r="H590" t="inlineStr">
        <is>
          <t>12:45</t>
        </is>
      </c>
      <c r="I590" t="inlineStr">
        <is>
          <t>ENFASIS</t>
        </is>
      </c>
      <c r="J590" t="inlineStr"/>
      <c r="K590" t="inlineStr">
        <is>
          <t>ERD</t>
        </is>
      </c>
      <c r="L590" t="inlineStr">
        <is>
          <t>0901</t>
        </is>
      </c>
      <c r="M590" t="inlineStr">
        <is>
          <t>0901</t>
        </is>
      </c>
      <c r="N590" t="inlineStr">
        <is>
          <t>Valencia Marínez Saidy Eufemia (ART); Meza Banguera Gladys Alicia (CAS); Lemos Guancha Miriam (CNA)</t>
        </is>
      </c>
      <c r="O590" t="inlineStr">
        <is>
          <t>EQUIPO DE 4: cada docente atiende un grupo de estudiantes en su área</t>
        </is>
      </c>
      <c r="P590" t="inlineStr">
        <is>
          <t>ENFASIS-0901</t>
        </is>
      </c>
      <c r="Q590">
        <f>IF(I590="ENFASIS","ÉNFASIS "&amp;M590,IFERROR(VLOOKUP(J590,Grupos!$A$2:$D$100,4,FALSE),J590))</f>
        <v/>
      </c>
      <c r="R590">
        <f>O590&amp;IF(N590&lt;&gt;"",IF(O590&lt;&gt;""," · ","")&amp;"Con: "&amp;N590,"")</f>
        <v/>
      </c>
      <c r="S590">
        <f>C590&amp;"|"&amp;D590</f>
        <v/>
      </c>
      <c r="T590">
        <f>COUNTIF($S$2:S590,S590)</f>
        <v/>
      </c>
      <c r="U590">
        <f>S590&amp;"|"&amp;T590</f>
        <v/>
      </c>
      <c r="V590">
        <f>IFERROR(VLOOKUP(IF(I590="ENFASIS",LEFT(M590,FIND("+",M590&amp;"+")-1),J590),Direccion_Grupo!$A$2:$G$100,7,FALSE),"")</f>
        <v/>
      </c>
    </row>
    <row r="591">
      <c r="A591" t="n">
        <v>25</v>
      </c>
      <c r="B591" t="inlineStr">
        <is>
          <t>Lemos Guancha Miriam</t>
        </is>
      </c>
      <c r="C591" t="inlineStr">
        <is>
          <t>MARTES</t>
        </is>
      </c>
      <c r="D591" t="n">
        <v>7</v>
      </c>
      <c r="E591" t="n">
        <v>4</v>
      </c>
      <c r="F591" t="n">
        <v>1</v>
      </c>
      <c r="G591" t="inlineStr">
        <is>
          <t>12:00</t>
        </is>
      </c>
      <c r="H591" t="inlineStr">
        <is>
          <t>12:45</t>
        </is>
      </c>
      <c r="I591" t="inlineStr">
        <is>
          <t>ENFASIS</t>
        </is>
      </c>
      <c r="J591" t="inlineStr"/>
      <c r="K591" t="inlineStr">
        <is>
          <t>CNA</t>
        </is>
      </c>
      <c r="L591" t="inlineStr">
        <is>
          <t>0901</t>
        </is>
      </c>
      <c r="M591" t="inlineStr">
        <is>
          <t>0901</t>
        </is>
      </c>
      <c r="N591" t="inlineStr">
        <is>
          <t>Valencia Marínez Saidy Eufemia (ART); Meza Banguera Gladys Alicia (CAS); González Castillo Jólmer Jimy (ERD)</t>
        </is>
      </c>
      <c r="O591" t="inlineStr">
        <is>
          <t>EQUIPO DE 4: cada docente atiende un grupo de estudiantes en su área</t>
        </is>
      </c>
      <c r="P591" t="inlineStr">
        <is>
          <t>ENFASIS-0901</t>
        </is>
      </c>
      <c r="Q591">
        <f>IF(I591="ENFASIS","ÉNFASIS "&amp;M591,IFERROR(VLOOKUP(J591,Grupos!$A$2:$D$100,4,FALSE),J591))</f>
        <v/>
      </c>
      <c r="R591">
        <f>O591&amp;IF(N591&lt;&gt;"",IF(O591&lt;&gt;""," · ","")&amp;"Con: "&amp;N591,"")</f>
        <v/>
      </c>
      <c r="S591">
        <f>C591&amp;"|"&amp;D591</f>
        <v/>
      </c>
      <c r="T591">
        <f>COUNTIF($S$2:S591,S591)</f>
        <v/>
      </c>
      <c r="U591">
        <f>S591&amp;"|"&amp;T591</f>
        <v/>
      </c>
      <c r="V591">
        <f>IFERROR(VLOOKUP(IF(I591="ENFASIS",LEFT(M591,FIND("+",M591&amp;"+")-1),J591),Direccion_Grupo!$A$2:$G$100,7,FALSE),"")</f>
        <v/>
      </c>
    </row>
    <row r="592">
      <c r="A592" t="n">
        <v>28</v>
      </c>
      <c r="B592" t="inlineStr">
        <is>
          <t>Meza Banguera Gladys Alicia</t>
        </is>
      </c>
      <c r="C592" t="inlineStr">
        <is>
          <t>MARTES</t>
        </is>
      </c>
      <c r="D592" t="n">
        <v>7</v>
      </c>
      <c r="E592" t="n">
        <v>4</v>
      </c>
      <c r="F592" t="n">
        <v>1</v>
      </c>
      <c r="G592" t="inlineStr">
        <is>
          <t>12:00</t>
        </is>
      </c>
      <c r="H592" t="inlineStr">
        <is>
          <t>12:45</t>
        </is>
      </c>
      <c r="I592" t="inlineStr">
        <is>
          <t>ENFASIS</t>
        </is>
      </c>
      <c r="J592" t="inlineStr"/>
      <c r="K592" t="inlineStr">
        <is>
          <t>CAS</t>
        </is>
      </c>
      <c r="L592" t="inlineStr">
        <is>
          <t>0901</t>
        </is>
      </c>
      <c r="M592" t="inlineStr">
        <is>
          <t>0901</t>
        </is>
      </c>
      <c r="N592" t="inlineStr">
        <is>
          <t>Valencia Marínez Saidy Eufemia (ART); González Castillo Jólmer Jimy (ERD); Lemos Guancha Miriam (CNA)</t>
        </is>
      </c>
      <c r="O592" t="inlineStr">
        <is>
          <t>EQUIPO DE 4: cada docente atiende un grupo de estudiantes en su área</t>
        </is>
      </c>
      <c r="P592" t="inlineStr">
        <is>
          <t>ENFASIS-0901</t>
        </is>
      </c>
      <c r="Q592">
        <f>IF(I592="ENFASIS","ÉNFASIS "&amp;M592,IFERROR(VLOOKUP(J592,Grupos!$A$2:$D$100,4,FALSE),J592))</f>
        <v/>
      </c>
      <c r="R592">
        <f>O592&amp;IF(N592&lt;&gt;"",IF(O592&lt;&gt;""," · ","")&amp;"Con: "&amp;N592,"")</f>
        <v/>
      </c>
      <c r="S592">
        <f>C592&amp;"|"&amp;D592</f>
        <v/>
      </c>
      <c r="T592">
        <f>COUNTIF($S$2:S592,S592)</f>
        <v/>
      </c>
      <c r="U592">
        <f>S592&amp;"|"&amp;T592</f>
        <v/>
      </c>
      <c r="V592">
        <f>IFERROR(VLOOKUP(IF(I592="ENFASIS",LEFT(M592,FIND("+",M592&amp;"+")-1),J592),Direccion_Grupo!$A$2:$G$100,7,FALSE),"")</f>
        <v/>
      </c>
    </row>
    <row r="593">
      <c r="A593" t="n">
        <v>49</v>
      </c>
      <c r="B593" t="inlineStr">
        <is>
          <t>Valencia Marínez Saidy Eufemia</t>
        </is>
      </c>
      <c r="C593" t="inlineStr">
        <is>
          <t>MARTES</t>
        </is>
      </c>
      <c r="D593" t="n">
        <v>7</v>
      </c>
      <c r="E593" t="n">
        <v>4</v>
      </c>
      <c r="F593" t="n">
        <v>1</v>
      </c>
      <c r="G593" t="inlineStr">
        <is>
          <t>12:00</t>
        </is>
      </c>
      <c r="H593" t="inlineStr">
        <is>
          <t>12:45</t>
        </is>
      </c>
      <c r="I593" t="inlineStr">
        <is>
          <t>ENFASIS</t>
        </is>
      </c>
      <c r="J593" t="inlineStr"/>
      <c r="K593" t="inlineStr">
        <is>
          <t>ART</t>
        </is>
      </c>
      <c r="L593" t="inlineStr">
        <is>
          <t>0901</t>
        </is>
      </c>
      <c r="M593" t="inlineStr">
        <is>
          <t>0901</t>
        </is>
      </c>
      <c r="N593" t="inlineStr">
        <is>
          <t>Meza Banguera Gladys Alicia (CAS); González Castillo Jólmer Jimy (ERD); Lemos Guancha Miriam (CNA)</t>
        </is>
      </c>
      <c r="O593" t="inlineStr">
        <is>
          <t>EQUIPO DE 4: cada docente atiende un grupo de estudiantes en su área</t>
        </is>
      </c>
      <c r="P593" t="inlineStr">
        <is>
          <t>ENFASIS-0901</t>
        </is>
      </c>
      <c r="Q593">
        <f>IF(I593="ENFASIS","ÉNFASIS "&amp;M593,IFERROR(VLOOKUP(J593,Grupos!$A$2:$D$100,4,FALSE),J593))</f>
        <v/>
      </c>
      <c r="R593">
        <f>O593&amp;IF(N593&lt;&gt;"",IF(O593&lt;&gt;""," · ","")&amp;"Con: "&amp;N593,"")</f>
        <v/>
      </c>
      <c r="S593">
        <f>C593&amp;"|"&amp;D593</f>
        <v/>
      </c>
      <c r="T593">
        <f>COUNTIF($S$2:S593,S593)</f>
        <v/>
      </c>
      <c r="U593">
        <f>S593&amp;"|"&amp;T593</f>
        <v/>
      </c>
      <c r="V593">
        <f>IFERROR(VLOOKUP(IF(I593="ENFASIS",LEFT(M593,FIND("+",M593&amp;"+")-1),J593),Direccion_Grupo!$A$2:$G$100,7,FALSE),"")</f>
        <v/>
      </c>
    </row>
    <row r="594">
      <c r="A594" t="n">
        <v>3</v>
      </c>
      <c r="B594" t="inlineStr">
        <is>
          <t>Arboleda Ortiz Luz América</t>
        </is>
      </c>
      <c r="C594" t="inlineStr">
        <is>
          <t>MARTES</t>
        </is>
      </c>
      <c r="D594" t="n">
        <v>7</v>
      </c>
      <c r="E594" t="n">
        <v>4</v>
      </c>
      <c r="F594" t="n">
        <v>1</v>
      </c>
      <c r="G594" t="inlineStr">
        <is>
          <t>12:00</t>
        </is>
      </c>
      <c r="H594" t="inlineStr">
        <is>
          <t>12:45</t>
        </is>
      </c>
      <c r="I594" t="inlineStr">
        <is>
          <t>ENFASIS</t>
        </is>
      </c>
      <c r="J594" t="inlineStr"/>
      <c r="K594" t="inlineStr">
        <is>
          <t>ART</t>
        </is>
      </c>
      <c r="L594" t="inlineStr">
        <is>
          <t>D5-10°</t>
        </is>
      </c>
      <c r="M594" t="inlineStr">
        <is>
          <t>1001</t>
        </is>
      </c>
      <c r="N594" t="inlineStr">
        <is>
          <t>Montaño Anchico Favio Héctor (CAS); Ramírez Guerra Jimmy Eduardo (ERD); Villota Rubio Héctor Hugo (CNA)</t>
        </is>
      </c>
      <c r="O594" t="inlineStr">
        <is>
          <t>EQUIPO DE 4: cada docente atiende un grupo de estudiantes en su área</t>
        </is>
      </c>
      <c r="P594" t="inlineStr">
        <is>
          <t>ENFASIS-D5-10°</t>
        </is>
      </c>
      <c r="Q594">
        <f>IF(I594="ENFASIS","ÉNFASIS "&amp;M594,IFERROR(VLOOKUP(J594,Grupos!$A$2:$D$100,4,FALSE),J594))</f>
        <v/>
      </c>
      <c r="R594">
        <f>O594&amp;IF(N594&lt;&gt;"",IF(O594&lt;&gt;""," · ","")&amp;"Con: "&amp;N594,"")</f>
        <v/>
      </c>
      <c r="S594">
        <f>C594&amp;"|"&amp;D594</f>
        <v/>
      </c>
      <c r="T594">
        <f>COUNTIF($S$2:S594,S594)</f>
        <v/>
      </c>
      <c r="U594">
        <f>S594&amp;"|"&amp;T594</f>
        <v/>
      </c>
      <c r="V594">
        <f>IFERROR(VLOOKUP(IF(I594="ENFASIS",LEFT(M594,FIND("+",M594&amp;"+")-1),J594),Direccion_Grupo!$A$2:$G$100,7,FALSE),"")</f>
        <v/>
      </c>
    </row>
    <row r="595">
      <c r="A595" t="n">
        <v>30</v>
      </c>
      <c r="B595" t="inlineStr">
        <is>
          <t>Montaño Anchico Favio Héctor</t>
        </is>
      </c>
      <c r="C595" t="inlineStr">
        <is>
          <t>MARTES</t>
        </is>
      </c>
      <c r="D595" t="n">
        <v>7</v>
      </c>
      <c r="E595" t="n">
        <v>4</v>
      </c>
      <c r="F595" t="n">
        <v>1</v>
      </c>
      <c r="G595" t="inlineStr">
        <is>
          <t>12:00</t>
        </is>
      </c>
      <c r="H595" t="inlineStr">
        <is>
          <t>12:45</t>
        </is>
      </c>
      <c r="I595" t="inlineStr">
        <is>
          <t>ENFASIS</t>
        </is>
      </c>
      <c r="J595" t="inlineStr"/>
      <c r="K595" t="inlineStr">
        <is>
          <t>CAS</t>
        </is>
      </c>
      <c r="L595" t="inlineStr">
        <is>
          <t>D5-10°</t>
        </is>
      </c>
      <c r="M595" t="inlineStr">
        <is>
          <t>1001</t>
        </is>
      </c>
      <c r="N595" t="inlineStr">
        <is>
          <t>Arboleda Ortiz Luz América (ART); Ramírez Guerra Jimmy Eduardo (ERD); Villota Rubio Héctor Hugo (CNA)</t>
        </is>
      </c>
      <c r="O595" t="inlineStr">
        <is>
          <t>EQUIPO DE 4: cada docente atiende un grupo de estudiantes en su área</t>
        </is>
      </c>
      <c r="P595" t="inlineStr">
        <is>
          <t>ENFASIS-D5-10°</t>
        </is>
      </c>
      <c r="Q595">
        <f>IF(I595="ENFASIS","ÉNFASIS "&amp;M595,IFERROR(VLOOKUP(J595,Grupos!$A$2:$D$100,4,FALSE),J595))</f>
        <v/>
      </c>
      <c r="R595">
        <f>O595&amp;IF(N595&lt;&gt;"",IF(O595&lt;&gt;""," · ","")&amp;"Con: "&amp;N595,"")</f>
        <v/>
      </c>
      <c r="S595">
        <f>C595&amp;"|"&amp;D595</f>
        <v/>
      </c>
      <c r="T595">
        <f>COUNTIF($S$2:S595,S595)</f>
        <v/>
      </c>
      <c r="U595">
        <f>S595&amp;"|"&amp;T595</f>
        <v/>
      </c>
      <c r="V595">
        <f>IFERROR(VLOOKUP(IF(I595="ENFASIS",LEFT(M595,FIND("+",M595&amp;"+")-1),J595),Direccion_Grupo!$A$2:$G$100,7,FALSE),"")</f>
        <v/>
      </c>
    </row>
    <row r="596">
      <c r="A596" t="n">
        <v>43</v>
      </c>
      <c r="B596" t="inlineStr">
        <is>
          <t>Ramírez Guerra Jimmy Eduardo</t>
        </is>
      </c>
      <c r="C596" t="inlineStr">
        <is>
          <t>MARTES</t>
        </is>
      </c>
      <c r="D596" t="n">
        <v>7</v>
      </c>
      <c r="E596" t="n">
        <v>4</v>
      </c>
      <c r="F596" t="n">
        <v>1</v>
      </c>
      <c r="G596" t="inlineStr">
        <is>
          <t>12:00</t>
        </is>
      </c>
      <c r="H596" t="inlineStr">
        <is>
          <t>12:45</t>
        </is>
      </c>
      <c r="I596" t="inlineStr">
        <is>
          <t>ENFASIS</t>
        </is>
      </c>
      <c r="J596" t="inlineStr"/>
      <c r="K596" t="inlineStr">
        <is>
          <t>ERD</t>
        </is>
      </c>
      <c r="L596" t="inlineStr">
        <is>
          <t>D5-10°</t>
        </is>
      </c>
      <c r="M596" t="inlineStr">
        <is>
          <t>1001</t>
        </is>
      </c>
      <c r="N596" t="inlineStr">
        <is>
          <t>Arboleda Ortiz Luz América (ART); Montaño Anchico Favio Héctor (CAS); Villota Rubio Héctor Hugo (CNA)</t>
        </is>
      </c>
      <c r="O596" t="inlineStr">
        <is>
          <t>EQUIPO DE 4: cada docente atiende un grupo de estudiantes en su área</t>
        </is>
      </c>
      <c r="P596" t="inlineStr">
        <is>
          <t>ENFASIS-D5-10°</t>
        </is>
      </c>
      <c r="Q596">
        <f>IF(I596="ENFASIS","ÉNFASIS "&amp;M596,IFERROR(VLOOKUP(J596,Grupos!$A$2:$D$100,4,FALSE),J596))</f>
        <v/>
      </c>
      <c r="R596">
        <f>O596&amp;IF(N596&lt;&gt;"",IF(O596&lt;&gt;""," · ","")&amp;"Con: "&amp;N596,"")</f>
        <v/>
      </c>
      <c r="S596">
        <f>C596&amp;"|"&amp;D596</f>
        <v/>
      </c>
      <c r="T596">
        <f>COUNTIF($S$2:S596,S596)</f>
        <v/>
      </c>
      <c r="U596">
        <f>S596&amp;"|"&amp;T596</f>
        <v/>
      </c>
      <c r="V596">
        <f>IFERROR(VLOOKUP(IF(I596="ENFASIS",LEFT(M596,FIND("+",M596&amp;"+")-1),J596),Direccion_Grupo!$A$2:$G$100,7,FALSE),"")</f>
        <v/>
      </c>
    </row>
    <row r="597">
      <c r="A597" t="n">
        <v>53</v>
      </c>
      <c r="B597" t="inlineStr">
        <is>
          <t>Villota Rubio Héctor Hugo</t>
        </is>
      </c>
      <c r="C597" t="inlineStr">
        <is>
          <t>MARTES</t>
        </is>
      </c>
      <c r="D597" t="n">
        <v>7</v>
      </c>
      <c r="E597" t="n">
        <v>4</v>
      </c>
      <c r="F597" t="n">
        <v>1</v>
      </c>
      <c r="G597" t="inlineStr">
        <is>
          <t>12:00</t>
        </is>
      </c>
      <c r="H597" t="inlineStr">
        <is>
          <t>12:45</t>
        </is>
      </c>
      <c r="I597" t="inlineStr">
        <is>
          <t>ENFASIS</t>
        </is>
      </c>
      <c r="J597" t="inlineStr"/>
      <c r="K597" t="inlineStr">
        <is>
          <t>CNA</t>
        </is>
      </c>
      <c r="L597" t="inlineStr">
        <is>
          <t>D5-10°</t>
        </is>
      </c>
      <c r="M597" t="inlineStr">
        <is>
          <t>1001</t>
        </is>
      </c>
      <c r="N597" t="inlineStr">
        <is>
          <t>Arboleda Ortiz Luz América (ART); Montaño Anchico Favio Héctor (CAS); Ramírez Guerra Jimmy Eduardo (ERD)</t>
        </is>
      </c>
      <c r="O597" t="inlineStr">
        <is>
          <t>EQUIPO DE 4: cada docente atiende un grupo de estudiantes en su área</t>
        </is>
      </c>
      <c r="P597" t="inlineStr">
        <is>
          <t>ENFASIS-D5-10°</t>
        </is>
      </c>
      <c r="Q597">
        <f>IF(I597="ENFASIS","ÉNFASIS "&amp;M597,IFERROR(VLOOKUP(J597,Grupos!$A$2:$D$100,4,FALSE),J597))</f>
        <v/>
      </c>
      <c r="R597">
        <f>O597&amp;IF(N597&lt;&gt;"",IF(O597&lt;&gt;""," · ","")&amp;"Con: "&amp;N597,"")</f>
        <v/>
      </c>
      <c r="S597">
        <f>C597&amp;"|"&amp;D597</f>
        <v/>
      </c>
      <c r="T597">
        <f>COUNTIF($S$2:S597,S597)</f>
        <v/>
      </c>
      <c r="U597">
        <f>S597&amp;"|"&amp;T597</f>
        <v/>
      </c>
      <c r="V597">
        <f>IFERROR(VLOOKUP(IF(I597="ENFASIS",LEFT(M597,FIND("+",M597&amp;"+")-1),J597),Direccion_Grupo!$A$2:$G$100,7,FALSE),"")</f>
        <v/>
      </c>
    </row>
    <row r="598">
      <c r="A598" t="n">
        <v>41</v>
      </c>
      <c r="B598" t="inlineStr">
        <is>
          <t>Quintero Ramírez María del Carmen</t>
        </is>
      </c>
      <c r="C598" t="inlineStr">
        <is>
          <t>MARTES</t>
        </is>
      </c>
      <c r="D598" t="n">
        <v>8</v>
      </c>
      <c r="E598" t="n">
        <v>4</v>
      </c>
      <c r="F598" t="n">
        <v>2</v>
      </c>
      <c r="G598" t="inlineStr">
        <is>
          <t>12:45</t>
        </is>
      </c>
      <c r="H598" t="inlineStr">
        <is>
          <t>13:30</t>
        </is>
      </c>
      <c r="I598" t="inlineStr">
        <is>
          <t>CLASE</t>
        </is>
      </c>
      <c r="J598" t="inlineStr">
        <is>
          <t>0701</t>
        </is>
      </c>
      <c r="K598" t="inlineStr">
        <is>
          <t>CSI</t>
        </is>
      </c>
      <c r="L598" t="inlineStr"/>
      <c r="M598" t="inlineStr"/>
      <c r="N598" t="inlineStr"/>
      <c r="O598" t="inlineStr">
        <is>
          <t>Sociales / Inglés (alternan cada semana)</t>
        </is>
      </c>
      <c r="P598" t="inlineStr">
        <is>
          <t>0701-CSI</t>
        </is>
      </c>
      <c r="Q598">
        <f>IF(I598="ENFASIS","ÉNFASIS "&amp;M598,IFERROR(VLOOKUP(J598,Grupos!$A$2:$D$100,4,FALSE),J598))</f>
        <v/>
      </c>
      <c r="R598">
        <f>O598&amp;IF(N598&lt;&gt;"",IF(O598&lt;&gt;""," · ","")&amp;"Con: "&amp;N598,"")</f>
        <v/>
      </c>
      <c r="S598">
        <f>C598&amp;"|"&amp;D598</f>
        <v/>
      </c>
      <c r="T598">
        <f>COUNTIF($S$2:S598,S598)</f>
        <v/>
      </c>
      <c r="U598">
        <f>S598&amp;"|"&amp;T598</f>
        <v/>
      </c>
      <c r="V598">
        <f>IFERROR(VLOOKUP(IF(I598="ENFASIS",LEFT(M598,FIND("+",M598&amp;"+")-1),J598),Direccion_Grupo!$A$2:$G$100,7,FALSE),"")</f>
        <v/>
      </c>
    </row>
    <row r="599">
      <c r="A599" t="n">
        <v>52</v>
      </c>
      <c r="B599" t="inlineStr">
        <is>
          <t>Vásquez Valencia Segundo Leoncio</t>
        </is>
      </c>
      <c r="C599" t="inlineStr">
        <is>
          <t>MARTES</t>
        </is>
      </c>
      <c r="D599" t="n">
        <v>8</v>
      </c>
      <c r="E599" t="n">
        <v>4</v>
      </c>
      <c r="F599" t="n">
        <v>2</v>
      </c>
      <c r="G599" t="inlineStr">
        <is>
          <t>12:45</t>
        </is>
      </c>
      <c r="H599" t="inlineStr">
        <is>
          <t>13:30</t>
        </is>
      </c>
      <c r="I599" t="inlineStr">
        <is>
          <t>CLASE</t>
        </is>
      </c>
      <c r="J599" t="inlineStr">
        <is>
          <t>0702</t>
        </is>
      </c>
      <c r="K599" t="inlineStr">
        <is>
          <t>MAT</t>
        </is>
      </c>
      <c r="L599" t="inlineStr"/>
      <c r="M599" t="inlineStr"/>
      <c r="N599" t="inlineStr"/>
      <c r="O599" t="inlineStr"/>
      <c r="P599" t="inlineStr">
        <is>
          <t>0702-MAT</t>
        </is>
      </c>
      <c r="Q599">
        <f>IF(I599="ENFASIS","ÉNFASIS "&amp;M599,IFERROR(VLOOKUP(J599,Grupos!$A$2:$D$100,4,FALSE),J599))</f>
        <v/>
      </c>
      <c r="R599">
        <f>O599&amp;IF(N599&lt;&gt;"",IF(O599&lt;&gt;""," · ","")&amp;"Con: "&amp;N599,"")</f>
        <v/>
      </c>
      <c r="S599">
        <f>C599&amp;"|"&amp;D599</f>
        <v/>
      </c>
      <c r="T599">
        <f>COUNTIF($S$2:S599,S599)</f>
        <v/>
      </c>
      <c r="U599">
        <f>S599&amp;"|"&amp;T599</f>
        <v/>
      </c>
      <c r="V599">
        <f>IFERROR(VLOOKUP(IF(I599="ENFASIS",LEFT(M599,FIND("+",M599&amp;"+")-1),J599),Direccion_Grupo!$A$2:$G$100,7,FALSE),"")</f>
        <v/>
      </c>
    </row>
    <row r="600">
      <c r="A600" t="n">
        <v>8</v>
      </c>
      <c r="B600" t="inlineStr">
        <is>
          <t>Casanova Quiñones Yoli del Carmen</t>
        </is>
      </c>
      <c r="C600" t="inlineStr">
        <is>
          <t>MARTES</t>
        </is>
      </c>
      <c r="D600" t="n">
        <v>8</v>
      </c>
      <c r="E600" t="n">
        <v>4</v>
      </c>
      <c r="F600" t="n">
        <v>2</v>
      </c>
      <c r="G600" t="inlineStr">
        <is>
          <t>12:45</t>
        </is>
      </c>
      <c r="H600" t="inlineStr">
        <is>
          <t>13:30</t>
        </is>
      </c>
      <c r="I600" t="inlineStr">
        <is>
          <t>CLASE</t>
        </is>
      </c>
      <c r="J600" t="inlineStr">
        <is>
          <t>0703</t>
        </is>
      </c>
      <c r="K600" t="inlineStr">
        <is>
          <t>ETR</t>
        </is>
      </c>
      <c r="L600" t="inlineStr"/>
      <c r="M600" t="inlineStr"/>
      <c r="N600" t="inlineStr"/>
      <c r="O600" t="inlineStr">
        <is>
          <t>Ética / Religión (alternan cada semana)</t>
        </is>
      </c>
      <c r="P600" t="inlineStr">
        <is>
          <t>0703-ETI</t>
        </is>
      </c>
      <c r="Q600">
        <f>IF(I600="ENFASIS","ÉNFASIS "&amp;M600,IFERROR(VLOOKUP(J600,Grupos!$A$2:$D$100,4,FALSE),J600))</f>
        <v/>
      </c>
      <c r="R600">
        <f>O600&amp;IF(N600&lt;&gt;"",IF(O600&lt;&gt;""," · ","")&amp;"Con: "&amp;N600,"")</f>
        <v/>
      </c>
      <c r="S600">
        <f>C600&amp;"|"&amp;D600</f>
        <v/>
      </c>
      <c r="T600">
        <f>COUNTIF($S$2:S600,S600)</f>
        <v/>
      </c>
      <c r="U600">
        <f>S600&amp;"|"&amp;T600</f>
        <v/>
      </c>
      <c r="V600">
        <f>IFERROR(VLOOKUP(IF(I600="ENFASIS",LEFT(M600,FIND("+",M600&amp;"+")-1),J600),Direccion_Grupo!$A$2:$G$100,7,FALSE),"")</f>
        <v/>
      </c>
    </row>
    <row r="601">
      <c r="A601" t="n">
        <v>1</v>
      </c>
      <c r="B601" t="inlineStr">
        <is>
          <t>Aguirre Riascos Jorge Andrés</t>
        </is>
      </c>
      <c r="C601" t="inlineStr">
        <is>
          <t>MARTES</t>
        </is>
      </c>
      <c r="D601" t="n">
        <v>8</v>
      </c>
      <c r="E601" t="n">
        <v>4</v>
      </c>
      <c r="F601" t="n">
        <v>2</v>
      </c>
      <c r="G601" t="inlineStr">
        <is>
          <t>12:45</t>
        </is>
      </c>
      <c r="H601" t="inlineStr">
        <is>
          <t>13:30</t>
        </is>
      </c>
      <c r="I601" t="inlineStr">
        <is>
          <t>CLASE</t>
        </is>
      </c>
      <c r="J601" t="inlineStr">
        <is>
          <t>0704</t>
        </is>
      </c>
      <c r="K601" t="inlineStr">
        <is>
          <t>TEI</t>
        </is>
      </c>
      <c r="L601" t="inlineStr"/>
      <c r="M601" t="inlineStr"/>
      <c r="N601" t="inlineStr"/>
      <c r="O601" t="inlineStr"/>
      <c r="P601" t="inlineStr">
        <is>
          <t>0704-TEI</t>
        </is>
      </c>
      <c r="Q601">
        <f>IF(I601="ENFASIS","ÉNFASIS "&amp;M601,IFERROR(VLOOKUP(J601,Grupos!$A$2:$D$100,4,FALSE),J601))</f>
        <v/>
      </c>
      <c r="R601">
        <f>O601&amp;IF(N601&lt;&gt;"",IF(O601&lt;&gt;""," · ","")&amp;"Con: "&amp;N601,"")</f>
        <v/>
      </c>
      <c r="S601">
        <f>C601&amp;"|"&amp;D601</f>
        <v/>
      </c>
      <c r="T601">
        <f>COUNTIF($S$2:S601,S601)</f>
        <v/>
      </c>
      <c r="U601">
        <f>S601&amp;"|"&amp;T601</f>
        <v/>
      </c>
      <c r="V601">
        <f>IFERROR(VLOOKUP(IF(I601="ENFASIS",LEFT(M601,FIND("+",M601&amp;"+")-1),J601),Direccion_Grupo!$A$2:$G$100,7,FALSE),"")</f>
        <v/>
      </c>
    </row>
    <row r="602">
      <c r="A602" t="n">
        <v>12</v>
      </c>
      <c r="B602" t="inlineStr">
        <is>
          <t>Chillambo Quiñones María Rocío</t>
        </is>
      </c>
      <c r="C602" t="inlineStr">
        <is>
          <t>MARTES</t>
        </is>
      </c>
      <c r="D602" t="n">
        <v>8</v>
      </c>
      <c r="E602" t="n">
        <v>4</v>
      </c>
      <c r="F602" t="n">
        <v>2</v>
      </c>
      <c r="G602" t="inlineStr">
        <is>
          <t>12:45</t>
        </is>
      </c>
      <c r="H602" t="inlineStr">
        <is>
          <t>13:30</t>
        </is>
      </c>
      <c r="I602" t="inlineStr">
        <is>
          <t>CLASE</t>
        </is>
      </c>
      <c r="J602" t="inlineStr">
        <is>
          <t>0801</t>
        </is>
      </c>
      <c r="K602" t="inlineStr">
        <is>
          <t>CNA</t>
        </is>
      </c>
      <c r="L602" t="inlineStr"/>
      <c r="M602" t="inlineStr"/>
      <c r="N602" t="inlineStr"/>
      <c r="O602" t="inlineStr"/>
      <c r="P602" t="inlineStr">
        <is>
          <t>0801-CNA</t>
        </is>
      </c>
      <c r="Q602">
        <f>IF(I602="ENFASIS","ÉNFASIS "&amp;M602,IFERROR(VLOOKUP(J602,Grupos!$A$2:$D$100,4,FALSE),J602))</f>
        <v/>
      </c>
      <c r="R602">
        <f>O602&amp;IF(N602&lt;&gt;"",IF(O602&lt;&gt;""," · ","")&amp;"Con: "&amp;N602,"")</f>
        <v/>
      </c>
      <c r="S602">
        <f>C602&amp;"|"&amp;D602</f>
        <v/>
      </c>
      <c r="T602">
        <f>COUNTIF($S$2:S602,S602)</f>
        <v/>
      </c>
      <c r="U602">
        <f>S602&amp;"|"&amp;T602</f>
        <v/>
      </c>
      <c r="V602">
        <f>IFERROR(VLOOKUP(IF(I602="ENFASIS",LEFT(M602,FIND("+",M602&amp;"+")-1),J602),Direccion_Grupo!$A$2:$G$100,7,FALSE),"")</f>
        <v/>
      </c>
    </row>
    <row r="603">
      <c r="A603" t="n">
        <v>51</v>
      </c>
      <c r="B603" t="inlineStr">
        <is>
          <t>Valverde Montaño María Teresa</t>
        </is>
      </c>
      <c r="C603" t="inlineStr">
        <is>
          <t>MARTES</t>
        </is>
      </c>
      <c r="D603" t="n">
        <v>8</v>
      </c>
      <c r="E603" t="n">
        <v>4</v>
      </c>
      <c r="F603" t="n">
        <v>2</v>
      </c>
      <c r="G603" t="inlineStr">
        <is>
          <t>12:45</t>
        </is>
      </c>
      <c r="H603" t="inlineStr">
        <is>
          <t>13:30</t>
        </is>
      </c>
      <c r="I603" t="inlineStr">
        <is>
          <t>CLASE</t>
        </is>
      </c>
      <c r="J603" t="inlineStr">
        <is>
          <t>0802</t>
        </is>
      </c>
      <c r="K603" t="inlineStr">
        <is>
          <t>CAS</t>
        </is>
      </c>
      <c r="L603" t="inlineStr"/>
      <c r="M603" t="inlineStr"/>
      <c r="N603" t="inlineStr"/>
      <c r="O603" t="inlineStr"/>
      <c r="P603" t="inlineStr">
        <is>
          <t>0802-CAS</t>
        </is>
      </c>
      <c r="Q603">
        <f>IF(I603="ENFASIS","ÉNFASIS "&amp;M603,IFERROR(VLOOKUP(J603,Grupos!$A$2:$D$100,4,FALSE),J603))</f>
        <v/>
      </c>
      <c r="R603">
        <f>O603&amp;IF(N603&lt;&gt;"",IF(O603&lt;&gt;""," · ","")&amp;"Con: "&amp;N603,"")</f>
        <v/>
      </c>
      <c r="S603">
        <f>C603&amp;"|"&amp;D603</f>
        <v/>
      </c>
      <c r="T603">
        <f>COUNTIF($S$2:S603,S603)</f>
        <v/>
      </c>
      <c r="U603">
        <f>S603&amp;"|"&amp;T603</f>
        <v/>
      </c>
      <c r="V603">
        <f>IFERROR(VLOOKUP(IF(I603="ENFASIS",LEFT(M603,FIND("+",M603&amp;"+")-1),J603),Direccion_Grupo!$A$2:$G$100,7,FALSE),"")</f>
        <v/>
      </c>
    </row>
    <row r="604">
      <c r="A604" t="n">
        <v>18</v>
      </c>
      <c r="B604" t="inlineStr">
        <is>
          <t>Estacio Estupiñán Rosario</t>
        </is>
      </c>
      <c r="C604" t="inlineStr">
        <is>
          <t>MARTES</t>
        </is>
      </c>
      <c r="D604" t="n">
        <v>8</v>
      </c>
      <c r="E604" t="n">
        <v>4</v>
      </c>
      <c r="F604" t="n">
        <v>2</v>
      </c>
      <c r="G604" t="inlineStr">
        <is>
          <t>12:45</t>
        </is>
      </c>
      <c r="H604" t="inlineStr">
        <is>
          <t>13:30</t>
        </is>
      </c>
      <c r="I604" t="inlineStr">
        <is>
          <t>CLASE</t>
        </is>
      </c>
      <c r="J604" t="inlineStr">
        <is>
          <t>0902</t>
        </is>
      </c>
      <c r="K604" t="inlineStr">
        <is>
          <t>ETR</t>
        </is>
      </c>
      <c r="L604" t="inlineStr"/>
      <c r="M604" t="inlineStr"/>
      <c r="N604" t="inlineStr"/>
      <c r="O604" t="inlineStr">
        <is>
          <t>Ética / Religión (alternan cada semana)</t>
        </is>
      </c>
      <c r="P604" t="inlineStr">
        <is>
          <t>0902-ETR</t>
        </is>
      </c>
      <c r="Q604">
        <f>IF(I604="ENFASIS","ÉNFASIS "&amp;M604,IFERROR(VLOOKUP(J604,Grupos!$A$2:$D$100,4,FALSE),J604))</f>
        <v/>
      </c>
      <c r="R604">
        <f>O604&amp;IF(N604&lt;&gt;"",IF(O604&lt;&gt;""," · ","")&amp;"Con: "&amp;N604,"")</f>
        <v/>
      </c>
      <c r="S604">
        <f>C604&amp;"|"&amp;D604</f>
        <v/>
      </c>
      <c r="T604">
        <f>COUNTIF($S$2:S604,S604)</f>
        <v/>
      </c>
      <c r="U604">
        <f>S604&amp;"|"&amp;T604</f>
        <v/>
      </c>
      <c r="V604">
        <f>IFERROR(VLOOKUP(IF(I604="ENFASIS",LEFT(M604,FIND("+",M604&amp;"+")-1),J604),Direccion_Grupo!$A$2:$G$100,7,FALSE),"")</f>
        <v/>
      </c>
    </row>
    <row r="605">
      <c r="A605" t="n">
        <v>40</v>
      </c>
      <c r="B605" t="inlineStr">
        <is>
          <t>Pulgarín Ortiz César Marino</t>
        </is>
      </c>
      <c r="C605" t="inlineStr">
        <is>
          <t>MARTES</t>
        </is>
      </c>
      <c r="D605" t="n">
        <v>8</v>
      </c>
      <c r="E605" t="n">
        <v>4</v>
      </c>
      <c r="F605" t="n">
        <v>2</v>
      </c>
      <c r="G605" t="inlineStr">
        <is>
          <t>12:45</t>
        </is>
      </c>
      <c r="H605" t="inlineStr">
        <is>
          <t>13:30</t>
        </is>
      </c>
      <c r="I605" t="inlineStr">
        <is>
          <t>CLASE</t>
        </is>
      </c>
      <c r="J605" t="inlineStr">
        <is>
          <t>1002</t>
        </is>
      </c>
      <c r="K605" t="inlineStr">
        <is>
          <t>CSI</t>
        </is>
      </c>
      <c r="L605" t="inlineStr"/>
      <c r="M605" t="inlineStr"/>
      <c r="N605" t="inlineStr"/>
      <c r="O605" t="inlineStr">
        <is>
          <t>Sociales / Inglés (alternan cada semana)</t>
        </is>
      </c>
      <c r="P605" t="inlineStr">
        <is>
          <t>1002-CSI</t>
        </is>
      </c>
      <c r="Q605">
        <f>IF(I605="ENFASIS","ÉNFASIS "&amp;M605,IFERROR(VLOOKUP(J605,Grupos!$A$2:$D$100,4,FALSE),J605))</f>
        <v/>
      </c>
      <c r="R605">
        <f>O605&amp;IF(N605&lt;&gt;"",IF(O605&lt;&gt;""," · ","")&amp;"Con: "&amp;N605,"")</f>
        <v/>
      </c>
      <c r="S605">
        <f>C605&amp;"|"&amp;D605</f>
        <v/>
      </c>
      <c r="T605">
        <f>COUNTIF($S$2:S605,S605)</f>
        <v/>
      </c>
      <c r="U605">
        <f>S605&amp;"|"&amp;T605</f>
        <v/>
      </c>
      <c r="V605">
        <f>IFERROR(VLOOKUP(IF(I605="ENFASIS",LEFT(M605,FIND("+",M605&amp;"+")-1),J605),Direccion_Grupo!$A$2:$G$100,7,FALSE),"")</f>
        <v/>
      </c>
    </row>
    <row r="606">
      <c r="A606" t="n">
        <v>54</v>
      </c>
      <c r="B606" t="inlineStr">
        <is>
          <t>Villota Rubio Janeth del Carmen</t>
        </is>
      </c>
      <c r="C606" t="inlineStr">
        <is>
          <t>MARTES</t>
        </is>
      </c>
      <c r="D606" t="n">
        <v>8</v>
      </c>
      <c r="E606" t="n">
        <v>4</v>
      </c>
      <c r="F606" t="n">
        <v>2</v>
      </c>
      <c r="G606" t="inlineStr">
        <is>
          <t>12:45</t>
        </is>
      </c>
      <c r="H606" t="inlineStr">
        <is>
          <t>13:30</t>
        </is>
      </c>
      <c r="I606" t="inlineStr">
        <is>
          <t>CLASE</t>
        </is>
      </c>
      <c r="J606" t="inlineStr">
        <is>
          <t>1101</t>
        </is>
      </c>
      <c r="K606" t="inlineStr">
        <is>
          <t>MAT</t>
        </is>
      </c>
      <c r="L606" t="inlineStr"/>
      <c r="M606" t="inlineStr"/>
      <c r="N606" t="inlineStr"/>
      <c r="O606" t="inlineStr"/>
      <c r="P606" t="inlineStr">
        <is>
          <t>1101-MAT</t>
        </is>
      </c>
      <c r="Q606">
        <f>IF(I606="ENFASIS","ÉNFASIS "&amp;M606,IFERROR(VLOOKUP(J606,Grupos!$A$2:$D$100,4,FALSE),J606))</f>
        <v/>
      </c>
      <c r="R606">
        <f>O606&amp;IF(N606&lt;&gt;"",IF(O606&lt;&gt;""," · ","")&amp;"Con: "&amp;N606,"")</f>
        <v/>
      </c>
      <c r="S606">
        <f>C606&amp;"|"&amp;D606</f>
        <v/>
      </c>
      <c r="T606">
        <f>COUNTIF($S$2:S606,S606)</f>
        <v/>
      </c>
      <c r="U606">
        <f>S606&amp;"|"&amp;T606</f>
        <v/>
      </c>
      <c r="V606">
        <f>IFERROR(VLOOKUP(IF(I606="ENFASIS",LEFT(M606,FIND("+",M606&amp;"+")-1),J606),Direccion_Grupo!$A$2:$G$100,7,FALSE),"")</f>
        <v/>
      </c>
    </row>
    <row r="607">
      <c r="A607" t="n">
        <v>2</v>
      </c>
      <c r="B607" t="inlineStr">
        <is>
          <t>Angulo Lucero Andrés Mauricio</t>
        </is>
      </c>
      <c r="C607" t="inlineStr">
        <is>
          <t>MARTES</t>
        </is>
      </c>
      <c r="D607" t="n">
        <v>8</v>
      </c>
      <c r="E607" t="n">
        <v>4</v>
      </c>
      <c r="F607" t="n">
        <v>2</v>
      </c>
      <c r="G607" t="inlineStr">
        <is>
          <t>12:45</t>
        </is>
      </c>
      <c r="H607" t="inlineStr">
        <is>
          <t>13:30</t>
        </is>
      </c>
      <c r="I607" t="inlineStr">
        <is>
          <t>CLASE</t>
        </is>
      </c>
      <c r="J607" t="inlineStr">
        <is>
          <t>1102</t>
        </is>
      </c>
      <c r="K607" t="inlineStr">
        <is>
          <t>TEI</t>
        </is>
      </c>
      <c r="L607" t="inlineStr"/>
      <c r="M607" t="inlineStr"/>
      <c r="N607" t="inlineStr"/>
      <c r="O607" t="inlineStr"/>
      <c r="P607" t="inlineStr">
        <is>
          <t>1102-TEI</t>
        </is>
      </c>
      <c r="Q607">
        <f>IF(I607="ENFASIS","ÉNFASIS "&amp;M607,IFERROR(VLOOKUP(J607,Grupos!$A$2:$D$100,4,FALSE),J607))</f>
        <v/>
      </c>
      <c r="R607">
        <f>O607&amp;IF(N607&lt;&gt;"",IF(O607&lt;&gt;""," · ","")&amp;"Con: "&amp;N607,"")</f>
        <v/>
      </c>
      <c r="S607">
        <f>C607&amp;"|"&amp;D607</f>
        <v/>
      </c>
      <c r="T607">
        <f>COUNTIF($S$2:S607,S607)</f>
        <v/>
      </c>
      <c r="U607">
        <f>S607&amp;"|"&amp;T607</f>
        <v/>
      </c>
      <c r="V607">
        <f>IFERROR(VLOOKUP(IF(I607="ENFASIS",LEFT(M607,FIND("+",M607&amp;"+")-1),J607),Direccion_Grupo!$A$2:$G$100,7,FALSE),"")</f>
        <v/>
      </c>
    </row>
    <row r="608">
      <c r="A608" t="n">
        <v>37</v>
      </c>
      <c r="B608" t="inlineStr">
        <is>
          <t>Prado Quiñones Genís Maribel</t>
        </is>
      </c>
      <c r="C608" t="inlineStr">
        <is>
          <t>MARTES</t>
        </is>
      </c>
      <c r="D608" t="n">
        <v>8</v>
      </c>
      <c r="E608" t="n">
        <v>4</v>
      </c>
      <c r="F608" t="n">
        <v>2</v>
      </c>
      <c r="G608" t="inlineStr">
        <is>
          <t>12:45</t>
        </is>
      </c>
      <c r="H608" t="inlineStr">
        <is>
          <t>13:30</t>
        </is>
      </c>
      <c r="I608" t="inlineStr">
        <is>
          <t>CLASE</t>
        </is>
      </c>
      <c r="J608" t="inlineStr">
        <is>
          <t>CS101</t>
        </is>
      </c>
      <c r="K608" t="inlineStr">
        <is>
          <t>ART</t>
        </is>
      </c>
      <c r="L608" t="inlineStr"/>
      <c r="M608" t="inlineStr"/>
      <c r="N608" t="inlineStr"/>
      <c r="O608" t="inlineStr"/>
      <c r="P608" t="inlineStr">
        <is>
          <t>CS101-ART</t>
        </is>
      </c>
      <c r="Q608">
        <f>IF(I608="ENFASIS","ÉNFASIS "&amp;M608,IFERROR(VLOOKUP(J608,Grupos!$A$2:$D$100,4,FALSE),J608))</f>
        <v/>
      </c>
      <c r="R608">
        <f>O608&amp;IF(N608&lt;&gt;"",IF(O608&lt;&gt;""," · ","")&amp;"Con: "&amp;N608,"")</f>
        <v/>
      </c>
      <c r="S608">
        <f>C608&amp;"|"&amp;D608</f>
        <v/>
      </c>
      <c r="T608">
        <f>COUNTIF($S$2:S608,S608)</f>
        <v/>
      </c>
      <c r="U608">
        <f>S608&amp;"|"&amp;T608</f>
        <v/>
      </c>
      <c r="V608">
        <f>IFERROR(VLOOKUP(IF(I608="ENFASIS",LEFT(M608,FIND("+",M608&amp;"+")-1),J608),Direccion_Grupo!$A$2:$G$100,7,FALSE),"")</f>
        <v/>
      </c>
    </row>
    <row r="609">
      <c r="A609" t="n">
        <v>57</v>
      </c>
      <c r="B609" t="inlineStr">
        <is>
          <t>Armero Dájome Jesús</t>
        </is>
      </c>
      <c r="C609" t="inlineStr">
        <is>
          <t>MARTES</t>
        </is>
      </c>
      <c r="D609" t="n">
        <v>8</v>
      </c>
      <c r="E609" t="n">
        <v>4</v>
      </c>
      <c r="F609" t="n">
        <v>2</v>
      </c>
      <c r="G609" t="inlineStr">
        <is>
          <t>12:45</t>
        </is>
      </c>
      <c r="H609" t="inlineStr">
        <is>
          <t>13:30</t>
        </is>
      </c>
      <c r="I609" t="inlineStr">
        <is>
          <t>CLASE</t>
        </is>
      </c>
      <c r="J609" t="inlineStr">
        <is>
          <t>CS102</t>
        </is>
      </c>
      <c r="K609" t="inlineStr">
        <is>
          <t>CNA</t>
        </is>
      </c>
      <c r="L609" t="inlineStr"/>
      <c r="M609" t="inlineStr"/>
      <c r="N609" t="inlineStr"/>
      <c r="O609" t="inlineStr"/>
      <c r="P609" t="inlineStr">
        <is>
          <t>CS102-CNA</t>
        </is>
      </c>
      <c r="Q609">
        <f>IF(I609="ENFASIS","ÉNFASIS "&amp;M609,IFERROR(VLOOKUP(J609,Grupos!$A$2:$D$100,4,FALSE),J609))</f>
        <v/>
      </c>
      <c r="R609">
        <f>O609&amp;IF(N609&lt;&gt;"",IF(O609&lt;&gt;""," · ","")&amp;"Con: "&amp;N609,"")</f>
        <v/>
      </c>
      <c r="S609">
        <f>C609&amp;"|"&amp;D609</f>
        <v/>
      </c>
      <c r="T609">
        <f>COUNTIF($S$2:S609,S609)</f>
        <v/>
      </c>
      <c r="U609">
        <f>S609&amp;"|"&amp;T609</f>
        <v/>
      </c>
      <c r="V609">
        <f>IFERROR(VLOOKUP(IF(I609="ENFASIS",LEFT(M609,FIND("+",M609&amp;"+")-1),J609),Direccion_Grupo!$A$2:$G$100,7,FALSE),"")</f>
        <v/>
      </c>
    </row>
    <row r="610">
      <c r="A610" t="n">
        <v>38</v>
      </c>
      <c r="B610" t="inlineStr">
        <is>
          <t>Preciado Torres Oleisa</t>
        </is>
      </c>
      <c r="C610" t="inlineStr">
        <is>
          <t>MARTES</t>
        </is>
      </c>
      <c r="D610" t="n">
        <v>8</v>
      </c>
      <c r="E610" t="n">
        <v>4</v>
      </c>
      <c r="F610" t="n">
        <v>2</v>
      </c>
      <c r="G610" t="inlineStr">
        <is>
          <t>12:45</t>
        </is>
      </c>
      <c r="H610" t="inlineStr">
        <is>
          <t>13:30</t>
        </is>
      </c>
      <c r="I610" t="inlineStr">
        <is>
          <t>CLASE</t>
        </is>
      </c>
      <c r="J610" t="inlineStr">
        <is>
          <t>CS201</t>
        </is>
      </c>
      <c r="K610" t="inlineStr">
        <is>
          <t>MAT</t>
        </is>
      </c>
      <c r="L610" t="inlineStr"/>
      <c r="M610" t="inlineStr"/>
      <c r="N610" t="inlineStr"/>
      <c r="O610" t="inlineStr"/>
      <c r="P610" t="inlineStr">
        <is>
          <t>CS201-MAT</t>
        </is>
      </c>
      <c r="Q610">
        <f>IF(I610="ENFASIS","ÉNFASIS "&amp;M610,IFERROR(VLOOKUP(J610,Grupos!$A$2:$D$100,4,FALSE),J610))</f>
        <v/>
      </c>
      <c r="R610">
        <f>O610&amp;IF(N610&lt;&gt;"",IF(O610&lt;&gt;""," · ","")&amp;"Con: "&amp;N610,"")</f>
        <v/>
      </c>
      <c r="S610">
        <f>C610&amp;"|"&amp;D610</f>
        <v/>
      </c>
      <c r="T610">
        <f>COUNTIF($S$2:S610,S610)</f>
        <v/>
      </c>
      <c r="U610">
        <f>S610&amp;"|"&amp;T610</f>
        <v/>
      </c>
      <c r="V610">
        <f>IFERROR(VLOOKUP(IF(I610="ENFASIS",LEFT(M610,FIND("+",M610&amp;"+")-1),J610),Direccion_Grupo!$A$2:$G$100,7,FALSE),"")</f>
        <v/>
      </c>
    </row>
    <row r="611">
      <c r="A611" t="n">
        <v>9</v>
      </c>
      <c r="B611" t="inlineStr">
        <is>
          <t>Castillo Angulo Martha Cecilia</t>
        </is>
      </c>
      <c r="C611" t="inlineStr">
        <is>
          <t>MARTES</t>
        </is>
      </c>
      <c r="D611" t="n">
        <v>8</v>
      </c>
      <c r="E611" t="n">
        <v>4</v>
      </c>
      <c r="F611" t="n">
        <v>2</v>
      </c>
      <c r="G611" t="inlineStr">
        <is>
          <t>12:45</t>
        </is>
      </c>
      <c r="H611" t="inlineStr">
        <is>
          <t>13:30</t>
        </is>
      </c>
      <c r="I611" t="inlineStr">
        <is>
          <t>CLASE</t>
        </is>
      </c>
      <c r="J611" t="inlineStr">
        <is>
          <t>CS202</t>
        </is>
      </c>
      <c r="K611" t="inlineStr">
        <is>
          <t>ETR</t>
        </is>
      </c>
      <c r="L611" t="inlineStr"/>
      <c r="M611" t="inlineStr"/>
      <c r="N611" t="inlineStr"/>
      <c r="O611" t="inlineStr">
        <is>
          <t>Ética / Religión (alternan cada semana)</t>
        </is>
      </c>
      <c r="P611" t="inlineStr">
        <is>
          <t>CS202-ETR</t>
        </is>
      </c>
      <c r="Q611">
        <f>IF(I611="ENFASIS","ÉNFASIS "&amp;M611,IFERROR(VLOOKUP(J611,Grupos!$A$2:$D$100,4,FALSE),J611))</f>
        <v/>
      </c>
      <c r="R611">
        <f>O611&amp;IF(N611&lt;&gt;"",IF(O611&lt;&gt;""," · ","")&amp;"Con: "&amp;N611,"")</f>
        <v/>
      </c>
      <c r="S611">
        <f>C611&amp;"|"&amp;D611</f>
        <v/>
      </c>
      <c r="T611">
        <f>COUNTIF($S$2:S611,S611)</f>
        <v/>
      </c>
      <c r="U611">
        <f>S611&amp;"|"&amp;T611</f>
        <v/>
      </c>
      <c r="V611">
        <f>IFERROR(VLOOKUP(IF(I611="ENFASIS",LEFT(M611,FIND("+",M611&amp;"+")-1),J611),Direccion_Grupo!$A$2:$G$100,7,FALSE),"")</f>
        <v/>
      </c>
    </row>
    <row r="612">
      <c r="A612" t="n">
        <v>7</v>
      </c>
      <c r="B612" t="inlineStr">
        <is>
          <t>Casanova Casanova Johana Andrea</t>
        </is>
      </c>
      <c r="C612" t="inlineStr">
        <is>
          <t>MARTES</t>
        </is>
      </c>
      <c r="D612" t="n">
        <v>8</v>
      </c>
      <c r="E612" t="n">
        <v>4</v>
      </c>
      <c r="F612" t="n">
        <v>2</v>
      </c>
      <c r="G612" t="inlineStr">
        <is>
          <t>12:45</t>
        </is>
      </c>
      <c r="H612" t="inlineStr">
        <is>
          <t>13:30</t>
        </is>
      </c>
      <c r="I612" t="inlineStr">
        <is>
          <t>ORIENTACION</t>
        </is>
      </c>
      <c r="J612" t="inlineStr">
        <is>
          <t>ORIENT</t>
        </is>
      </c>
      <c r="K612" t="inlineStr">
        <is>
          <t>ORIENTACIÓN ESCOLAR</t>
        </is>
      </c>
      <c r="L612" t="inlineStr"/>
      <c r="M612" t="inlineStr"/>
      <c r="N612" t="inlineStr"/>
      <c r="O612" t="inlineStr">
        <is>
          <t>Jornada 07:30 a 14:30</t>
        </is>
      </c>
      <c r="P612" t="inlineStr"/>
      <c r="Q612">
        <f>IF(I612="ENFASIS","ÉNFASIS "&amp;M612,IFERROR(VLOOKUP(J612,Grupos!$A$2:$D$100,4,FALSE),J612))</f>
        <v/>
      </c>
      <c r="R612">
        <f>O612&amp;IF(N612&lt;&gt;"",IF(O612&lt;&gt;""," · ","")&amp;"Con: "&amp;N612,"")</f>
        <v/>
      </c>
      <c r="S612">
        <f>C612&amp;"|"&amp;D612</f>
        <v/>
      </c>
      <c r="T612">
        <f>COUNTIF($S$2:S612,S612)</f>
        <v/>
      </c>
      <c r="U612">
        <f>S612&amp;"|"&amp;T612</f>
        <v/>
      </c>
      <c r="V612">
        <f>IFERROR(VLOOKUP(IF(I612="ENFASIS",LEFT(M612,FIND("+",M612&amp;"+")-1),J612),Direccion_Grupo!$A$2:$G$100,7,FALSE),"")</f>
        <v/>
      </c>
    </row>
    <row r="613">
      <c r="A613" t="n">
        <v>36</v>
      </c>
      <c r="B613" t="inlineStr">
        <is>
          <t>Ponce Moncayo Ángela Paola</t>
        </is>
      </c>
      <c r="C613" t="inlineStr">
        <is>
          <t>MARTES</t>
        </is>
      </c>
      <c r="D613" t="n">
        <v>8</v>
      </c>
      <c r="E613" t="n">
        <v>4</v>
      </c>
      <c r="F613" t="n">
        <v>2</v>
      </c>
      <c r="G613" t="inlineStr">
        <is>
          <t>12:45</t>
        </is>
      </c>
      <c r="H613" t="inlineStr">
        <is>
          <t>13:30</t>
        </is>
      </c>
      <c r="I613" t="inlineStr">
        <is>
          <t>ORIENTACION</t>
        </is>
      </c>
      <c r="J613" t="inlineStr">
        <is>
          <t>ORIENT</t>
        </is>
      </c>
      <c r="K613" t="inlineStr">
        <is>
          <t>ORIENTACIÓN ESCOLAR</t>
        </is>
      </c>
      <c r="L613" t="inlineStr"/>
      <c r="M613" t="inlineStr"/>
      <c r="N613" t="inlineStr"/>
      <c r="O613" t="inlineStr">
        <is>
          <t>Jornada 08:30 a 13:30</t>
        </is>
      </c>
      <c r="P613" t="inlineStr"/>
      <c r="Q613">
        <f>IF(I613="ENFASIS","ÉNFASIS "&amp;M613,IFERROR(VLOOKUP(J613,Grupos!$A$2:$D$100,4,FALSE),J613))</f>
        <v/>
      </c>
      <c r="R613">
        <f>O613&amp;IF(N613&lt;&gt;"",IF(O613&lt;&gt;""," · ","")&amp;"Con: "&amp;N613,"")</f>
        <v/>
      </c>
      <c r="S613">
        <f>C613&amp;"|"&amp;D613</f>
        <v/>
      </c>
      <c r="T613">
        <f>COUNTIF($S$2:S613,S613)</f>
        <v/>
      </c>
      <c r="U613">
        <f>S613&amp;"|"&amp;T613</f>
        <v/>
      </c>
      <c r="V613">
        <f>IFERROR(VLOOKUP(IF(I613="ENFASIS",LEFT(M613,FIND("+",M613&amp;"+")-1),J613),Direccion_Grupo!$A$2:$G$100,7,FALSE),"")</f>
        <v/>
      </c>
    </row>
    <row r="614">
      <c r="A614" t="n">
        <v>10</v>
      </c>
      <c r="B614" t="inlineStr">
        <is>
          <t>Castillo Cuero Daira Eneida</t>
        </is>
      </c>
      <c r="C614" t="inlineStr">
        <is>
          <t>MARTES</t>
        </is>
      </c>
      <c r="D614" t="n">
        <v>8</v>
      </c>
      <c r="E614" t="n">
        <v>4</v>
      </c>
      <c r="F614" t="n">
        <v>2</v>
      </c>
      <c r="G614" t="inlineStr">
        <is>
          <t>12:45</t>
        </is>
      </c>
      <c r="H614" t="inlineStr">
        <is>
          <t>13:30</t>
        </is>
      </c>
      <c r="I614" t="inlineStr">
        <is>
          <t>ENFASIS</t>
        </is>
      </c>
      <c r="J614" t="inlineStr"/>
      <c r="K614" t="inlineStr">
        <is>
          <t>CAS</t>
        </is>
      </c>
      <c r="L614" t="inlineStr">
        <is>
          <t>0601</t>
        </is>
      </c>
      <c r="M614" t="inlineStr">
        <is>
          <t>0601</t>
        </is>
      </c>
      <c r="N614" t="inlineStr">
        <is>
          <t>Puches Ana Milena (ART)</t>
        </is>
      </c>
      <c r="O614" t="inlineStr">
        <is>
          <t>PAREJA: comparten el énfasis y alternan por semana</t>
        </is>
      </c>
      <c r="P614" t="inlineStr">
        <is>
          <t>ENFASIS-0601</t>
        </is>
      </c>
      <c r="Q614">
        <f>IF(I614="ENFASIS","ÉNFASIS "&amp;M614,IFERROR(VLOOKUP(J614,Grupos!$A$2:$D$100,4,FALSE),J614))</f>
        <v/>
      </c>
      <c r="R614">
        <f>O614&amp;IF(N614&lt;&gt;"",IF(O614&lt;&gt;""," · ","")&amp;"Con: "&amp;N614,"")</f>
        <v/>
      </c>
      <c r="S614">
        <f>C614&amp;"|"&amp;D614</f>
        <v/>
      </c>
      <c r="T614">
        <f>COUNTIF($S$2:S614,S614)</f>
        <v/>
      </c>
      <c r="U614">
        <f>S614&amp;"|"&amp;T614</f>
        <v/>
      </c>
      <c r="V614">
        <f>IFERROR(VLOOKUP(IF(I614="ENFASIS",LEFT(M614,FIND("+",M614&amp;"+")-1),J614),Direccion_Grupo!$A$2:$G$100,7,FALSE),"")</f>
        <v/>
      </c>
    </row>
    <row r="615">
      <c r="A615" t="n">
        <v>39</v>
      </c>
      <c r="B615" t="inlineStr">
        <is>
          <t>Puches Ana Milena</t>
        </is>
      </c>
      <c r="C615" t="inlineStr">
        <is>
          <t>MARTES</t>
        </is>
      </c>
      <c r="D615" t="n">
        <v>8</v>
      </c>
      <c r="E615" t="n">
        <v>4</v>
      </c>
      <c r="F615" t="n">
        <v>2</v>
      </c>
      <c r="G615" t="inlineStr">
        <is>
          <t>12:45</t>
        </is>
      </c>
      <c r="H615" t="inlineStr">
        <is>
          <t>13:30</t>
        </is>
      </c>
      <c r="I615" t="inlineStr">
        <is>
          <t>ENFASIS</t>
        </is>
      </c>
      <c r="J615" t="inlineStr"/>
      <c r="K615" t="inlineStr">
        <is>
          <t>ART</t>
        </is>
      </c>
      <c r="L615" t="inlineStr">
        <is>
          <t>0601</t>
        </is>
      </c>
      <c r="M615" t="inlineStr">
        <is>
          <t>0601</t>
        </is>
      </c>
      <c r="N615" t="inlineStr">
        <is>
          <t>Castillo Cuero Daira Eneida (CAS)</t>
        </is>
      </c>
      <c r="O615" t="inlineStr">
        <is>
          <t>PAREJA: comparten el énfasis y alternan por semana</t>
        </is>
      </c>
      <c r="P615" t="inlineStr">
        <is>
          <t>ENFASIS-0601</t>
        </is>
      </c>
      <c r="Q615">
        <f>IF(I615="ENFASIS","ÉNFASIS "&amp;M615,IFERROR(VLOOKUP(J615,Grupos!$A$2:$D$100,4,FALSE),J615))</f>
        <v/>
      </c>
      <c r="R615">
        <f>O615&amp;IF(N615&lt;&gt;"",IF(O615&lt;&gt;""," · ","")&amp;"Con: "&amp;N615,"")</f>
        <v/>
      </c>
      <c r="S615">
        <f>C615&amp;"|"&amp;D615</f>
        <v/>
      </c>
      <c r="T615">
        <f>COUNTIF($S$2:S615,S615)</f>
        <v/>
      </c>
      <c r="U615">
        <f>S615&amp;"|"&amp;T615</f>
        <v/>
      </c>
      <c r="V615">
        <f>IFERROR(VLOOKUP(IF(I615="ENFASIS",LEFT(M615,FIND("+",M615&amp;"+")-1),J615),Direccion_Grupo!$A$2:$G$100,7,FALSE),"")</f>
        <v/>
      </c>
    </row>
    <row r="616">
      <c r="A616" t="n">
        <v>34</v>
      </c>
      <c r="B616" t="inlineStr">
        <is>
          <t>Ordóñez Tenorio Jaime Marcial</t>
        </is>
      </c>
      <c r="C616" t="inlineStr">
        <is>
          <t>MARTES</t>
        </is>
      </c>
      <c r="D616" t="n">
        <v>8</v>
      </c>
      <c r="E616" t="n">
        <v>4</v>
      </c>
      <c r="F616" t="n">
        <v>2</v>
      </c>
      <c r="G616" t="inlineStr">
        <is>
          <t>12:45</t>
        </is>
      </c>
      <c r="H616" t="inlineStr">
        <is>
          <t>13:30</t>
        </is>
      </c>
      <c r="I616" t="inlineStr">
        <is>
          <t>ENFASIS</t>
        </is>
      </c>
      <c r="J616" t="inlineStr"/>
      <c r="K616" t="inlineStr">
        <is>
          <t>CNA</t>
        </is>
      </c>
      <c r="L616" t="inlineStr">
        <is>
          <t>0602</t>
        </is>
      </c>
      <c r="M616" t="inlineStr">
        <is>
          <t>0602</t>
        </is>
      </c>
      <c r="N616" t="inlineStr">
        <is>
          <t>Armero Dájome Jesús (ERD)</t>
        </is>
      </c>
      <c r="O616" t="inlineStr">
        <is>
          <t>PAREJA: comparten el énfasis y alternan por semana</t>
        </is>
      </c>
      <c r="P616" t="inlineStr">
        <is>
          <t>ENFASIS-0602</t>
        </is>
      </c>
      <c r="Q616">
        <f>IF(I616="ENFASIS","ÉNFASIS "&amp;M616,IFERROR(VLOOKUP(J616,Grupos!$A$2:$D$100,4,FALSE),J616))</f>
        <v/>
      </c>
      <c r="R616">
        <f>O616&amp;IF(N616&lt;&gt;"",IF(O616&lt;&gt;""," · ","")&amp;"Con: "&amp;N616,"")</f>
        <v/>
      </c>
      <c r="S616">
        <f>C616&amp;"|"&amp;D616</f>
        <v/>
      </c>
      <c r="T616">
        <f>COUNTIF($S$2:S616,S616)</f>
        <v/>
      </c>
      <c r="U616">
        <f>S616&amp;"|"&amp;T616</f>
        <v/>
      </c>
      <c r="V616">
        <f>IFERROR(VLOOKUP(IF(I616="ENFASIS",LEFT(M616,FIND("+",M616&amp;"+")-1),J616),Direccion_Grupo!$A$2:$G$100,7,FALSE),"")</f>
        <v/>
      </c>
    </row>
    <row r="617">
      <c r="A617" t="n">
        <v>4</v>
      </c>
      <c r="B617" t="inlineStr">
        <is>
          <t>Arizala Castro Roberto Carlos</t>
        </is>
      </c>
      <c r="C617" t="inlineStr">
        <is>
          <t>MARTES</t>
        </is>
      </c>
      <c r="D617" t="n">
        <v>8</v>
      </c>
      <c r="E617" t="n">
        <v>4</v>
      </c>
      <c r="F617" t="n">
        <v>2</v>
      </c>
      <c r="G617" t="inlineStr">
        <is>
          <t>12:45</t>
        </is>
      </c>
      <c r="H617" t="inlineStr">
        <is>
          <t>13:30</t>
        </is>
      </c>
      <c r="I617" t="inlineStr">
        <is>
          <t>ENFASIS</t>
        </is>
      </c>
      <c r="J617" t="inlineStr"/>
      <c r="K617" t="inlineStr">
        <is>
          <t>ERD</t>
        </is>
      </c>
      <c r="L617" t="inlineStr">
        <is>
          <t>0602</t>
        </is>
      </c>
      <c r="M617" t="inlineStr">
        <is>
          <t>0602</t>
        </is>
      </c>
      <c r="N617" t="inlineStr">
        <is>
          <t>Ordóñez Tenorio Jaime Marcial (CNA)</t>
        </is>
      </c>
      <c r="O617" t="inlineStr">
        <is>
          <t>PAREJA: comparten el énfasis y alternan por semana</t>
        </is>
      </c>
      <c r="P617" t="inlineStr">
        <is>
          <t>ENFASIS-0602</t>
        </is>
      </c>
      <c r="Q617">
        <f>IF(I617="ENFASIS","ÉNFASIS "&amp;M617,IFERROR(VLOOKUP(J617,Grupos!$A$2:$D$100,4,FALSE),J617))</f>
        <v/>
      </c>
      <c r="R617">
        <f>O617&amp;IF(N617&lt;&gt;"",IF(O617&lt;&gt;""," · ","")&amp;"Con: "&amp;N617,"")</f>
        <v/>
      </c>
      <c r="S617">
        <f>C617&amp;"|"&amp;D617</f>
        <v/>
      </c>
      <c r="T617">
        <f>COUNTIF($S$2:S617,S617)</f>
        <v/>
      </c>
      <c r="U617">
        <f>S617&amp;"|"&amp;T617</f>
        <v/>
      </c>
      <c r="V617">
        <f>IFERROR(VLOOKUP(IF(I617="ENFASIS",LEFT(M617,FIND("+",M617&amp;"+")-1),J617),Direccion_Grupo!$A$2:$G$100,7,FALSE),"")</f>
        <v/>
      </c>
    </row>
    <row r="618">
      <c r="A618" t="n">
        <v>22</v>
      </c>
      <c r="B618" t="inlineStr">
        <is>
          <t>González Castillo Jólmer Jimy</t>
        </is>
      </c>
      <c r="C618" t="inlineStr">
        <is>
          <t>MARTES</t>
        </is>
      </c>
      <c r="D618" t="n">
        <v>8</v>
      </c>
      <c r="E618" t="n">
        <v>4</v>
      </c>
      <c r="F618" t="n">
        <v>2</v>
      </c>
      <c r="G618" t="inlineStr">
        <is>
          <t>12:45</t>
        </is>
      </c>
      <c r="H618" t="inlineStr">
        <is>
          <t>13:30</t>
        </is>
      </c>
      <c r="I618" t="inlineStr">
        <is>
          <t>ENFASIS</t>
        </is>
      </c>
      <c r="J618" t="inlineStr"/>
      <c r="K618" t="inlineStr">
        <is>
          <t>ERD</t>
        </is>
      </c>
      <c r="L618" t="inlineStr">
        <is>
          <t>0901</t>
        </is>
      </c>
      <c r="M618" t="inlineStr">
        <is>
          <t>0901</t>
        </is>
      </c>
      <c r="N618" t="inlineStr">
        <is>
          <t>Valencia Marínez Saidy Eufemia (ART); Meza Banguera Gladys Alicia (CAS); Lemos Guancha Miriam (CNA)</t>
        </is>
      </c>
      <c r="O618" t="inlineStr">
        <is>
          <t>EQUIPO DE 4: cada docente atiende un grupo de estudiantes en su área</t>
        </is>
      </c>
      <c r="P618" t="inlineStr">
        <is>
          <t>ENFASIS-0901</t>
        </is>
      </c>
      <c r="Q618">
        <f>IF(I618="ENFASIS","ÉNFASIS "&amp;M618,IFERROR(VLOOKUP(J618,Grupos!$A$2:$D$100,4,FALSE),J618))</f>
        <v/>
      </c>
      <c r="R618">
        <f>O618&amp;IF(N618&lt;&gt;"",IF(O618&lt;&gt;""," · ","")&amp;"Con: "&amp;N618,"")</f>
        <v/>
      </c>
      <c r="S618">
        <f>C618&amp;"|"&amp;D618</f>
        <v/>
      </c>
      <c r="T618">
        <f>COUNTIF($S$2:S618,S618)</f>
        <v/>
      </c>
      <c r="U618">
        <f>S618&amp;"|"&amp;T618</f>
        <v/>
      </c>
      <c r="V618">
        <f>IFERROR(VLOOKUP(IF(I618="ENFASIS",LEFT(M618,FIND("+",M618&amp;"+")-1),J618),Direccion_Grupo!$A$2:$G$100,7,FALSE),"")</f>
        <v/>
      </c>
    </row>
    <row r="619">
      <c r="A619" t="n">
        <v>25</v>
      </c>
      <c r="B619" t="inlineStr">
        <is>
          <t>Lemos Guancha Miriam</t>
        </is>
      </c>
      <c r="C619" t="inlineStr">
        <is>
          <t>MARTES</t>
        </is>
      </c>
      <c r="D619" t="n">
        <v>8</v>
      </c>
      <c r="E619" t="n">
        <v>4</v>
      </c>
      <c r="F619" t="n">
        <v>2</v>
      </c>
      <c r="G619" t="inlineStr">
        <is>
          <t>12:45</t>
        </is>
      </c>
      <c r="H619" t="inlineStr">
        <is>
          <t>13:30</t>
        </is>
      </c>
      <c r="I619" t="inlineStr">
        <is>
          <t>ENFASIS</t>
        </is>
      </c>
      <c r="J619" t="inlineStr"/>
      <c r="K619" t="inlineStr">
        <is>
          <t>CNA</t>
        </is>
      </c>
      <c r="L619" t="inlineStr">
        <is>
          <t>0901</t>
        </is>
      </c>
      <c r="M619" t="inlineStr">
        <is>
          <t>0901</t>
        </is>
      </c>
      <c r="N619" t="inlineStr">
        <is>
          <t>Valencia Marínez Saidy Eufemia (ART); Meza Banguera Gladys Alicia (CAS); González Castillo Jólmer Jimy (ERD)</t>
        </is>
      </c>
      <c r="O619" t="inlineStr">
        <is>
          <t>EQUIPO DE 4: cada docente atiende un grupo de estudiantes en su área</t>
        </is>
      </c>
      <c r="P619" t="inlineStr">
        <is>
          <t>ENFASIS-0901</t>
        </is>
      </c>
      <c r="Q619">
        <f>IF(I619="ENFASIS","ÉNFASIS "&amp;M619,IFERROR(VLOOKUP(J619,Grupos!$A$2:$D$100,4,FALSE),J619))</f>
        <v/>
      </c>
      <c r="R619">
        <f>O619&amp;IF(N619&lt;&gt;"",IF(O619&lt;&gt;""," · ","")&amp;"Con: "&amp;N619,"")</f>
        <v/>
      </c>
      <c r="S619">
        <f>C619&amp;"|"&amp;D619</f>
        <v/>
      </c>
      <c r="T619">
        <f>COUNTIF($S$2:S619,S619)</f>
        <v/>
      </c>
      <c r="U619">
        <f>S619&amp;"|"&amp;T619</f>
        <v/>
      </c>
      <c r="V619">
        <f>IFERROR(VLOOKUP(IF(I619="ENFASIS",LEFT(M619,FIND("+",M619&amp;"+")-1),J619),Direccion_Grupo!$A$2:$G$100,7,FALSE),"")</f>
        <v/>
      </c>
    </row>
    <row r="620">
      <c r="A620" t="n">
        <v>28</v>
      </c>
      <c r="B620" t="inlineStr">
        <is>
          <t>Meza Banguera Gladys Alicia</t>
        </is>
      </c>
      <c r="C620" t="inlineStr">
        <is>
          <t>MARTES</t>
        </is>
      </c>
      <c r="D620" t="n">
        <v>8</v>
      </c>
      <c r="E620" t="n">
        <v>4</v>
      </c>
      <c r="F620" t="n">
        <v>2</v>
      </c>
      <c r="G620" t="inlineStr">
        <is>
          <t>12:45</t>
        </is>
      </c>
      <c r="H620" t="inlineStr">
        <is>
          <t>13:30</t>
        </is>
      </c>
      <c r="I620" t="inlineStr">
        <is>
          <t>ENFASIS</t>
        </is>
      </c>
      <c r="J620" t="inlineStr"/>
      <c r="K620" t="inlineStr">
        <is>
          <t>CAS</t>
        </is>
      </c>
      <c r="L620" t="inlineStr">
        <is>
          <t>0901</t>
        </is>
      </c>
      <c r="M620" t="inlineStr">
        <is>
          <t>0901</t>
        </is>
      </c>
      <c r="N620" t="inlineStr">
        <is>
          <t>Valencia Marínez Saidy Eufemia (ART); González Castillo Jólmer Jimy (ERD); Lemos Guancha Miriam (CNA)</t>
        </is>
      </c>
      <c r="O620" t="inlineStr">
        <is>
          <t>EQUIPO DE 4: cada docente atiende un grupo de estudiantes en su área</t>
        </is>
      </c>
      <c r="P620" t="inlineStr">
        <is>
          <t>ENFASIS-0901</t>
        </is>
      </c>
      <c r="Q620">
        <f>IF(I620="ENFASIS","ÉNFASIS "&amp;M620,IFERROR(VLOOKUP(J620,Grupos!$A$2:$D$100,4,FALSE),J620))</f>
        <v/>
      </c>
      <c r="R620">
        <f>O620&amp;IF(N620&lt;&gt;"",IF(O620&lt;&gt;""," · ","")&amp;"Con: "&amp;N620,"")</f>
        <v/>
      </c>
      <c r="S620">
        <f>C620&amp;"|"&amp;D620</f>
        <v/>
      </c>
      <c r="T620">
        <f>COUNTIF($S$2:S620,S620)</f>
        <v/>
      </c>
      <c r="U620">
        <f>S620&amp;"|"&amp;T620</f>
        <v/>
      </c>
      <c r="V620">
        <f>IFERROR(VLOOKUP(IF(I620="ENFASIS",LEFT(M620,FIND("+",M620&amp;"+")-1),J620),Direccion_Grupo!$A$2:$G$100,7,FALSE),"")</f>
        <v/>
      </c>
    </row>
    <row r="621">
      <c r="A621" t="n">
        <v>49</v>
      </c>
      <c r="B621" t="inlineStr">
        <is>
          <t>Valencia Marínez Saidy Eufemia</t>
        </is>
      </c>
      <c r="C621" t="inlineStr">
        <is>
          <t>MARTES</t>
        </is>
      </c>
      <c r="D621" t="n">
        <v>8</v>
      </c>
      <c r="E621" t="n">
        <v>4</v>
      </c>
      <c r="F621" t="n">
        <v>2</v>
      </c>
      <c r="G621" t="inlineStr">
        <is>
          <t>12:45</t>
        </is>
      </c>
      <c r="H621" t="inlineStr">
        <is>
          <t>13:30</t>
        </is>
      </c>
      <c r="I621" t="inlineStr">
        <is>
          <t>ENFASIS</t>
        </is>
      </c>
      <c r="J621" t="inlineStr"/>
      <c r="K621" t="inlineStr">
        <is>
          <t>ART</t>
        </is>
      </c>
      <c r="L621" t="inlineStr">
        <is>
          <t>0901</t>
        </is>
      </c>
      <c r="M621" t="inlineStr">
        <is>
          <t>0901</t>
        </is>
      </c>
      <c r="N621" t="inlineStr">
        <is>
          <t>Meza Banguera Gladys Alicia (CAS); González Castillo Jólmer Jimy (ERD); Lemos Guancha Miriam (CNA)</t>
        </is>
      </c>
      <c r="O621" t="inlineStr">
        <is>
          <t>EQUIPO DE 4: cada docente atiende un grupo de estudiantes en su área</t>
        </is>
      </c>
      <c r="P621" t="inlineStr">
        <is>
          <t>ENFASIS-0901</t>
        </is>
      </c>
      <c r="Q621">
        <f>IF(I621="ENFASIS","ÉNFASIS "&amp;M621,IFERROR(VLOOKUP(J621,Grupos!$A$2:$D$100,4,FALSE),J621))</f>
        <v/>
      </c>
      <c r="R621">
        <f>O621&amp;IF(N621&lt;&gt;"",IF(O621&lt;&gt;""," · ","")&amp;"Con: "&amp;N621,"")</f>
        <v/>
      </c>
      <c r="S621">
        <f>C621&amp;"|"&amp;D621</f>
        <v/>
      </c>
      <c r="T621">
        <f>COUNTIF($S$2:S621,S621)</f>
        <v/>
      </c>
      <c r="U621">
        <f>S621&amp;"|"&amp;T621</f>
        <v/>
      </c>
      <c r="V621">
        <f>IFERROR(VLOOKUP(IF(I621="ENFASIS",LEFT(M621,FIND("+",M621&amp;"+")-1),J621),Direccion_Grupo!$A$2:$G$100,7,FALSE),"")</f>
        <v/>
      </c>
    </row>
    <row r="622">
      <c r="A622" t="n">
        <v>3</v>
      </c>
      <c r="B622" t="inlineStr">
        <is>
          <t>Arboleda Ortiz Luz América</t>
        </is>
      </c>
      <c r="C622" t="inlineStr">
        <is>
          <t>MARTES</t>
        </is>
      </c>
      <c r="D622" t="n">
        <v>8</v>
      </c>
      <c r="E622" t="n">
        <v>4</v>
      </c>
      <c r="F622" t="n">
        <v>2</v>
      </c>
      <c r="G622" t="inlineStr">
        <is>
          <t>12:45</t>
        </is>
      </c>
      <c r="H622" t="inlineStr">
        <is>
          <t>13:30</t>
        </is>
      </c>
      <c r="I622" t="inlineStr">
        <is>
          <t>ENFASIS</t>
        </is>
      </c>
      <c r="J622" t="inlineStr"/>
      <c r="K622" t="inlineStr">
        <is>
          <t>ART</t>
        </is>
      </c>
      <c r="L622" t="inlineStr">
        <is>
          <t>D5-10°</t>
        </is>
      </c>
      <c r="M622" t="inlineStr">
        <is>
          <t>1001</t>
        </is>
      </c>
      <c r="N622" t="inlineStr">
        <is>
          <t>Montaño Anchico Favio Héctor (CAS); Ramírez Guerra Jimmy Eduardo (ERD); Villota Rubio Héctor Hugo (CNA)</t>
        </is>
      </c>
      <c r="O622" t="inlineStr">
        <is>
          <t>EQUIPO DE 4: cada docente atiende un grupo de estudiantes en su área</t>
        </is>
      </c>
      <c r="P622" t="inlineStr">
        <is>
          <t>ENFASIS-D5-10°</t>
        </is>
      </c>
      <c r="Q622">
        <f>IF(I622="ENFASIS","ÉNFASIS "&amp;M622,IFERROR(VLOOKUP(J622,Grupos!$A$2:$D$100,4,FALSE),J622))</f>
        <v/>
      </c>
      <c r="R622">
        <f>O622&amp;IF(N622&lt;&gt;"",IF(O622&lt;&gt;""," · ","")&amp;"Con: "&amp;N622,"")</f>
        <v/>
      </c>
      <c r="S622">
        <f>C622&amp;"|"&amp;D622</f>
        <v/>
      </c>
      <c r="T622">
        <f>COUNTIF($S$2:S622,S622)</f>
        <v/>
      </c>
      <c r="U622">
        <f>S622&amp;"|"&amp;T622</f>
        <v/>
      </c>
      <c r="V622">
        <f>IFERROR(VLOOKUP(IF(I622="ENFASIS",LEFT(M622,FIND("+",M622&amp;"+")-1),J622),Direccion_Grupo!$A$2:$G$100,7,FALSE),"")</f>
        <v/>
      </c>
    </row>
    <row r="623">
      <c r="A623" t="n">
        <v>30</v>
      </c>
      <c r="B623" t="inlineStr">
        <is>
          <t>Montaño Anchico Favio Héctor</t>
        </is>
      </c>
      <c r="C623" t="inlineStr">
        <is>
          <t>MARTES</t>
        </is>
      </c>
      <c r="D623" t="n">
        <v>8</v>
      </c>
      <c r="E623" t="n">
        <v>4</v>
      </c>
      <c r="F623" t="n">
        <v>2</v>
      </c>
      <c r="G623" t="inlineStr">
        <is>
          <t>12:45</t>
        </is>
      </c>
      <c r="H623" t="inlineStr">
        <is>
          <t>13:30</t>
        </is>
      </c>
      <c r="I623" t="inlineStr">
        <is>
          <t>ENFASIS</t>
        </is>
      </c>
      <c r="J623" t="inlineStr"/>
      <c r="K623" t="inlineStr">
        <is>
          <t>CAS</t>
        </is>
      </c>
      <c r="L623" t="inlineStr">
        <is>
          <t>D5-10°</t>
        </is>
      </c>
      <c r="M623" t="inlineStr">
        <is>
          <t>1001</t>
        </is>
      </c>
      <c r="N623" t="inlineStr">
        <is>
          <t>Arboleda Ortiz Luz América (ART); Ramírez Guerra Jimmy Eduardo (ERD); Villota Rubio Héctor Hugo (CNA)</t>
        </is>
      </c>
      <c r="O623" t="inlineStr">
        <is>
          <t>EQUIPO DE 4: cada docente atiende un grupo de estudiantes en su área</t>
        </is>
      </c>
      <c r="P623" t="inlineStr">
        <is>
          <t>ENFASIS-D5-10°</t>
        </is>
      </c>
      <c r="Q623">
        <f>IF(I623="ENFASIS","ÉNFASIS "&amp;M623,IFERROR(VLOOKUP(J623,Grupos!$A$2:$D$100,4,FALSE),J623))</f>
        <v/>
      </c>
      <c r="R623">
        <f>O623&amp;IF(N623&lt;&gt;"",IF(O623&lt;&gt;""," · ","")&amp;"Con: "&amp;N623,"")</f>
        <v/>
      </c>
      <c r="S623">
        <f>C623&amp;"|"&amp;D623</f>
        <v/>
      </c>
      <c r="T623">
        <f>COUNTIF($S$2:S623,S623)</f>
        <v/>
      </c>
      <c r="U623">
        <f>S623&amp;"|"&amp;T623</f>
        <v/>
      </c>
      <c r="V623">
        <f>IFERROR(VLOOKUP(IF(I623="ENFASIS",LEFT(M623,FIND("+",M623&amp;"+")-1),J623),Direccion_Grupo!$A$2:$G$100,7,FALSE),"")</f>
        <v/>
      </c>
    </row>
    <row r="624">
      <c r="A624" t="n">
        <v>43</v>
      </c>
      <c r="B624" t="inlineStr">
        <is>
          <t>Ramírez Guerra Jimmy Eduardo</t>
        </is>
      </c>
      <c r="C624" t="inlineStr">
        <is>
          <t>MARTES</t>
        </is>
      </c>
      <c r="D624" t="n">
        <v>8</v>
      </c>
      <c r="E624" t="n">
        <v>4</v>
      </c>
      <c r="F624" t="n">
        <v>2</v>
      </c>
      <c r="G624" t="inlineStr">
        <is>
          <t>12:45</t>
        </is>
      </c>
      <c r="H624" t="inlineStr">
        <is>
          <t>13:30</t>
        </is>
      </c>
      <c r="I624" t="inlineStr">
        <is>
          <t>ENFASIS</t>
        </is>
      </c>
      <c r="J624" t="inlineStr"/>
      <c r="K624" t="inlineStr">
        <is>
          <t>ERD</t>
        </is>
      </c>
      <c r="L624" t="inlineStr">
        <is>
          <t>D5-10°</t>
        </is>
      </c>
      <c r="M624" t="inlineStr">
        <is>
          <t>1001</t>
        </is>
      </c>
      <c r="N624" t="inlineStr">
        <is>
          <t>Arboleda Ortiz Luz América (ART); Montaño Anchico Favio Héctor (CAS); Villota Rubio Héctor Hugo (CNA)</t>
        </is>
      </c>
      <c r="O624" t="inlineStr">
        <is>
          <t>EQUIPO DE 4: cada docente atiende un grupo de estudiantes en su área</t>
        </is>
      </c>
      <c r="P624" t="inlineStr">
        <is>
          <t>ENFASIS-D5-10°</t>
        </is>
      </c>
      <c r="Q624">
        <f>IF(I624="ENFASIS","ÉNFASIS "&amp;M624,IFERROR(VLOOKUP(J624,Grupos!$A$2:$D$100,4,FALSE),J624))</f>
        <v/>
      </c>
      <c r="R624">
        <f>O624&amp;IF(N624&lt;&gt;"",IF(O624&lt;&gt;""," · ","")&amp;"Con: "&amp;N624,"")</f>
        <v/>
      </c>
      <c r="S624">
        <f>C624&amp;"|"&amp;D624</f>
        <v/>
      </c>
      <c r="T624">
        <f>COUNTIF($S$2:S624,S624)</f>
        <v/>
      </c>
      <c r="U624">
        <f>S624&amp;"|"&amp;T624</f>
        <v/>
      </c>
      <c r="V624">
        <f>IFERROR(VLOOKUP(IF(I624="ENFASIS",LEFT(M624,FIND("+",M624&amp;"+")-1),J624),Direccion_Grupo!$A$2:$G$100,7,FALSE),"")</f>
        <v/>
      </c>
    </row>
    <row r="625">
      <c r="A625" t="n">
        <v>53</v>
      </c>
      <c r="B625" t="inlineStr">
        <is>
          <t>Villota Rubio Héctor Hugo</t>
        </is>
      </c>
      <c r="C625" t="inlineStr">
        <is>
          <t>MARTES</t>
        </is>
      </c>
      <c r="D625" t="n">
        <v>8</v>
      </c>
      <c r="E625" t="n">
        <v>4</v>
      </c>
      <c r="F625" t="n">
        <v>2</v>
      </c>
      <c r="G625" t="inlineStr">
        <is>
          <t>12:45</t>
        </is>
      </c>
      <c r="H625" t="inlineStr">
        <is>
          <t>13:30</t>
        </is>
      </c>
      <c r="I625" t="inlineStr">
        <is>
          <t>ENFASIS</t>
        </is>
      </c>
      <c r="J625" t="inlineStr"/>
      <c r="K625" t="inlineStr">
        <is>
          <t>CNA</t>
        </is>
      </c>
      <c r="L625" t="inlineStr">
        <is>
          <t>D5-10°</t>
        </is>
      </c>
      <c r="M625" t="inlineStr">
        <is>
          <t>1001</t>
        </is>
      </c>
      <c r="N625" t="inlineStr">
        <is>
          <t>Arboleda Ortiz Luz América (ART); Montaño Anchico Favio Héctor (CAS); Ramírez Guerra Jimmy Eduardo (ERD)</t>
        </is>
      </c>
      <c r="O625" t="inlineStr">
        <is>
          <t>EQUIPO DE 4: cada docente atiende un grupo de estudiantes en su área</t>
        </is>
      </c>
      <c r="P625" t="inlineStr">
        <is>
          <t>ENFASIS-D5-10°</t>
        </is>
      </c>
      <c r="Q625">
        <f>IF(I625="ENFASIS","ÉNFASIS "&amp;M625,IFERROR(VLOOKUP(J625,Grupos!$A$2:$D$100,4,FALSE),J625))</f>
        <v/>
      </c>
      <c r="R625">
        <f>O625&amp;IF(N625&lt;&gt;"",IF(O625&lt;&gt;""," · ","")&amp;"Con: "&amp;N625,"")</f>
        <v/>
      </c>
      <c r="S625">
        <f>C625&amp;"|"&amp;D625</f>
        <v/>
      </c>
      <c r="T625">
        <f>COUNTIF($S$2:S625,S625)</f>
        <v/>
      </c>
      <c r="U625">
        <f>S625&amp;"|"&amp;T625</f>
        <v/>
      </c>
      <c r="V625">
        <f>IFERROR(VLOOKUP(IF(I625="ENFASIS",LEFT(M625,FIND("+",M625&amp;"+")-1),J625),Direccion_Grupo!$A$2:$G$100,7,FALSE),"")</f>
        <v/>
      </c>
    </row>
    <row r="626">
      <c r="A626" t="n">
        <v>23</v>
      </c>
      <c r="B626" t="inlineStr">
        <is>
          <t>Landázuri Quiñones María Elia</t>
        </is>
      </c>
      <c r="C626" t="inlineStr">
        <is>
          <t>MIERCOLES</t>
        </is>
      </c>
      <c r="D626" t="n">
        <v>1</v>
      </c>
      <c r="E626" t="n">
        <v>1</v>
      </c>
      <c r="F626" t="n">
        <v>1</v>
      </c>
      <c r="G626" t="inlineStr">
        <is>
          <t>06:30</t>
        </is>
      </c>
      <c r="H626" t="inlineStr">
        <is>
          <t>07:15</t>
        </is>
      </c>
      <c r="I626" t="inlineStr">
        <is>
          <t>AREAS_MULTIPLES</t>
        </is>
      </c>
      <c r="J626" t="inlineStr">
        <is>
          <t>0101</t>
        </is>
      </c>
      <c r="K626" t="inlineStr">
        <is>
          <t>ÁREAS MÚLTIPLES</t>
        </is>
      </c>
      <c r="L626" t="inlineStr"/>
      <c r="M626" t="inlineStr"/>
      <c r="N626" t="inlineStr"/>
      <c r="O626" t="inlineStr">
        <is>
          <t>Maestro de aula: todas las áreas con su grupo</t>
        </is>
      </c>
      <c r="P626" t="inlineStr"/>
      <c r="Q626">
        <f>IF(I626="ENFASIS","ÉNFASIS "&amp;M626,IFERROR(VLOOKUP(J626,Grupos!$A$2:$D$100,4,FALSE),J626))</f>
        <v/>
      </c>
      <c r="R626">
        <f>O626&amp;IF(N626&lt;&gt;"",IF(O626&lt;&gt;""," · ","")&amp;"Con: "&amp;N626,"")</f>
        <v/>
      </c>
      <c r="S626">
        <f>C626&amp;"|"&amp;D626</f>
        <v/>
      </c>
      <c r="T626">
        <f>COUNTIF($S$2:S626,S626)</f>
        <v/>
      </c>
      <c r="U626">
        <f>S626&amp;"|"&amp;T626</f>
        <v/>
      </c>
      <c r="V626">
        <f>IFERROR(VLOOKUP(IF(I626="ENFASIS",LEFT(M626,FIND("+",M626&amp;"+")-1),J626),Direccion_Grupo!$A$2:$G$100,7,FALSE),"")</f>
        <v/>
      </c>
    </row>
    <row r="627">
      <c r="A627" t="n">
        <v>45</v>
      </c>
      <c r="B627" t="inlineStr">
        <is>
          <t>Sinisterra Ana Lucía</t>
        </is>
      </c>
      <c r="C627" t="inlineStr">
        <is>
          <t>MIERCOLES</t>
        </is>
      </c>
      <c r="D627" t="n">
        <v>1</v>
      </c>
      <c r="E627" t="n">
        <v>1</v>
      </c>
      <c r="F627" t="n">
        <v>1</v>
      </c>
      <c r="G627" t="inlineStr">
        <is>
          <t>06:30</t>
        </is>
      </c>
      <c r="H627" t="inlineStr">
        <is>
          <t>07:15</t>
        </is>
      </c>
      <c r="I627" t="inlineStr">
        <is>
          <t>AREAS_MULTIPLES</t>
        </is>
      </c>
      <c r="J627" t="inlineStr">
        <is>
          <t>0102</t>
        </is>
      </c>
      <c r="K627" t="inlineStr">
        <is>
          <t>ÁREAS MÚLTIPLES</t>
        </is>
      </c>
      <c r="L627" t="inlineStr"/>
      <c r="M627" t="inlineStr"/>
      <c r="N627" t="inlineStr"/>
      <c r="O627" t="inlineStr">
        <is>
          <t>Maestro de aula: todas las áreas con su grupo</t>
        </is>
      </c>
      <c r="P627" t="inlineStr"/>
      <c r="Q627">
        <f>IF(I627="ENFASIS","ÉNFASIS "&amp;M627,IFERROR(VLOOKUP(J627,Grupos!$A$2:$D$100,4,FALSE),J627))</f>
        <v/>
      </c>
      <c r="R627">
        <f>O627&amp;IF(N627&lt;&gt;"",IF(O627&lt;&gt;""," · ","")&amp;"Con: "&amp;N627,"")</f>
        <v/>
      </c>
      <c r="S627">
        <f>C627&amp;"|"&amp;D627</f>
        <v/>
      </c>
      <c r="T627">
        <f>COUNTIF($S$2:S627,S627)</f>
        <v/>
      </c>
      <c r="U627">
        <f>S627&amp;"|"&amp;T627</f>
        <v/>
      </c>
      <c r="V627">
        <f>IFERROR(VLOOKUP(IF(I627="ENFASIS",LEFT(M627,FIND("+",M627&amp;"+")-1),J627),Direccion_Grupo!$A$2:$G$100,7,FALSE),"")</f>
        <v/>
      </c>
    </row>
    <row r="628">
      <c r="A628" t="n">
        <v>13</v>
      </c>
      <c r="B628" t="inlineStr">
        <is>
          <t>Cortés Salazar María Ebelice</t>
        </is>
      </c>
      <c r="C628" t="inlineStr">
        <is>
          <t>MIERCOLES</t>
        </is>
      </c>
      <c r="D628" t="n">
        <v>1</v>
      </c>
      <c r="E628" t="n">
        <v>1</v>
      </c>
      <c r="F628" t="n">
        <v>1</v>
      </c>
      <c r="G628" t="inlineStr">
        <is>
          <t>06:30</t>
        </is>
      </c>
      <c r="H628" t="inlineStr">
        <is>
          <t>07:15</t>
        </is>
      </c>
      <c r="I628" t="inlineStr">
        <is>
          <t>AREAS_MULTIPLES</t>
        </is>
      </c>
      <c r="J628" t="inlineStr">
        <is>
          <t>0201</t>
        </is>
      </c>
      <c r="K628" t="inlineStr">
        <is>
          <t>ÁREAS MÚLTIPLES</t>
        </is>
      </c>
      <c r="L628" t="inlineStr"/>
      <c r="M628" t="inlineStr"/>
      <c r="N628" t="inlineStr"/>
      <c r="O628" t="inlineStr">
        <is>
          <t>Maestro de aula: todas las áreas con su grupo</t>
        </is>
      </c>
      <c r="P628" t="inlineStr"/>
      <c r="Q628">
        <f>IF(I628="ENFASIS","ÉNFASIS "&amp;M628,IFERROR(VLOOKUP(J628,Grupos!$A$2:$D$100,4,FALSE),J628))</f>
        <v/>
      </c>
      <c r="R628">
        <f>O628&amp;IF(N628&lt;&gt;"",IF(O628&lt;&gt;""," · ","")&amp;"Con: "&amp;N628,"")</f>
        <v/>
      </c>
      <c r="S628">
        <f>C628&amp;"|"&amp;D628</f>
        <v/>
      </c>
      <c r="T628">
        <f>COUNTIF($S$2:S628,S628)</f>
        <v/>
      </c>
      <c r="U628">
        <f>S628&amp;"|"&amp;T628</f>
        <v/>
      </c>
      <c r="V628">
        <f>IFERROR(VLOOKUP(IF(I628="ENFASIS",LEFT(M628,FIND("+",M628&amp;"+")-1),J628),Direccion_Grupo!$A$2:$G$100,7,FALSE),"")</f>
        <v/>
      </c>
    </row>
    <row r="629">
      <c r="A629" t="n">
        <v>21</v>
      </c>
      <c r="B629" t="inlineStr">
        <is>
          <t>Garzón Quiñones Sixta Janina</t>
        </is>
      </c>
      <c r="C629" t="inlineStr">
        <is>
          <t>MIERCOLES</t>
        </is>
      </c>
      <c r="D629" t="n">
        <v>1</v>
      </c>
      <c r="E629" t="n">
        <v>1</v>
      </c>
      <c r="F629" t="n">
        <v>1</v>
      </c>
      <c r="G629" t="inlineStr">
        <is>
          <t>06:30</t>
        </is>
      </c>
      <c r="H629" t="inlineStr">
        <is>
          <t>07:15</t>
        </is>
      </c>
      <c r="I629" t="inlineStr">
        <is>
          <t>AREAS_MULTIPLES</t>
        </is>
      </c>
      <c r="J629" t="inlineStr">
        <is>
          <t>0202</t>
        </is>
      </c>
      <c r="K629" t="inlineStr">
        <is>
          <t>ÁREAS MÚLTIPLES</t>
        </is>
      </c>
      <c r="L629" t="inlineStr"/>
      <c r="M629" t="inlineStr"/>
      <c r="N629" t="inlineStr"/>
      <c r="O629" t="inlineStr">
        <is>
          <t>Maestro de aula: todas las áreas con su grupo</t>
        </is>
      </c>
      <c r="P629" t="inlineStr"/>
      <c r="Q629">
        <f>IF(I629="ENFASIS","ÉNFASIS "&amp;M629,IFERROR(VLOOKUP(J629,Grupos!$A$2:$D$100,4,FALSE),J629))</f>
        <v/>
      </c>
      <c r="R629">
        <f>O629&amp;IF(N629&lt;&gt;"",IF(O629&lt;&gt;""," · ","")&amp;"Con: "&amp;N629,"")</f>
        <v/>
      </c>
      <c r="S629">
        <f>C629&amp;"|"&amp;D629</f>
        <v/>
      </c>
      <c r="T629">
        <f>COUNTIF($S$2:S629,S629)</f>
        <v/>
      </c>
      <c r="U629">
        <f>S629&amp;"|"&amp;T629</f>
        <v/>
      </c>
      <c r="V629">
        <f>IFERROR(VLOOKUP(IF(I629="ENFASIS",LEFT(M629,FIND("+",M629&amp;"+")-1),J629),Direccion_Grupo!$A$2:$G$100,7,FALSE),"")</f>
        <v/>
      </c>
    </row>
    <row r="630">
      <c r="A630" t="n">
        <v>46</v>
      </c>
      <c r="B630" t="inlineStr">
        <is>
          <t>Tenorio Cuero Lucy Bivian</t>
        </is>
      </c>
      <c r="C630" t="inlineStr">
        <is>
          <t>MIERCOLES</t>
        </is>
      </c>
      <c r="D630" t="n">
        <v>1</v>
      </c>
      <c r="E630" t="n">
        <v>1</v>
      </c>
      <c r="F630" t="n">
        <v>1</v>
      </c>
      <c r="G630" t="inlineStr">
        <is>
          <t>06:30</t>
        </is>
      </c>
      <c r="H630" t="inlineStr">
        <is>
          <t>07:15</t>
        </is>
      </c>
      <c r="I630" t="inlineStr">
        <is>
          <t>AREAS_MULTIPLES</t>
        </is>
      </c>
      <c r="J630" t="inlineStr">
        <is>
          <t>0203</t>
        </is>
      </c>
      <c r="K630" t="inlineStr">
        <is>
          <t>ÁREAS MÚLTIPLES</t>
        </is>
      </c>
      <c r="L630" t="inlineStr"/>
      <c r="M630" t="inlineStr"/>
      <c r="N630" t="inlineStr"/>
      <c r="O630" t="inlineStr">
        <is>
          <t>Maestro de aula: todas las áreas con su grupo</t>
        </is>
      </c>
      <c r="P630" t="inlineStr"/>
      <c r="Q630">
        <f>IF(I630="ENFASIS","ÉNFASIS "&amp;M630,IFERROR(VLOOKUP(J630,Grupos!$A$2:$D$100,4,FALSE),J630))</f>
        <v/>
      </c>
      <c r="R630">
        <f>O630&amp;IF(N630&lt;&gt;"",IF(O630&lt;&gt;""," · ","")&amp;"Con: "&amp;N630,"")</f>
        <v/>
      </c>
      <c r="S630">
        <f>C630&amp;"|"&amp;D630</f>
        <v/>
      </c>
      <c r="T630">
        <f>COUNTIF($S$2:S630,S630)</f>
        <v/>
      </c>
      <c r="U630">
        <f>S630&amp;"|"&amp;T630</f>
        <v/>
      </c>
      <c r="V630">
        <f>IFERROR(VLOOKUP(IF(I630="ENFASIS",LEFT(M630,FIND("+",M630&amp;"+")-1),J630),Direccion_Grupo!$A$2:$G$100,7,FALSE),"")</f>
        <v/>
      </c>
    </row>
    <row r="631">
      <c r="A631" t="n">
        <v>48</v>
      </c>
      <c r="B631" t="inlineStr">
        <is>
          <t>Torres Segura Encarnación</t>
        </is>
      </c>
      <c r="C631" t="inlineStr">
        <is>
          <t>MIERCOLES</t>
        </is>
      </c>
      <c r="D631" t="n">
        <v>1</v>
      </c>
      <c r="E631" t="n">
        <v>1</v>
      </c>
      <c r="F631" t="n">
        <v>1</v>
      </c>
      <c r="G631" t="inlineStr">
        <is>
          <t>06:30</t>
        </is>
      </c>
      <c r="H631" t="inlineStr">
        <is>
          <t>07:15</t>
        </is>
      </c>
      <c r="I631" t="inlineStr">
        <is>
          <t>AREAS_MULTIPLES</t>
        </is>
      </c>
      <c r="J631" t="inlineStr">
        <is>
          <t>0301</t>
        </is>
      </c>
      <c r="K631" t="inlineStr">
        <is>
          <t>ÁREAS MÚLTIPLES</t>
        </is>
      </c>
      <c r="L631" t="inlineStr"/>
      <c r="M631" t="inlineStr"/>
      <c r="N631" t="inlineStr"/>
      <c r="O631" t="inlineStr">
        <is>
          <t>Maestro de aula: todas las áreas con su grupo</t>
        </is>
      </c>
      <c r="P631" t="inlineStr"/>
      <c r="Q631">
        <f>IF(I631="ENFASIS","ÉNFASIS "&amp;M631,IFERROR(VLOOKUP(J631,Grupos!$A$2:$D$100,4,FALSE),J631))</f>
        <v/>
      </c>
      <c r="R631">
        <f>O631&amp;IF(N631&lt;&gt;"",IF(O631&lt;&gt;""," · ","")&amp;"Con: "&amp;N631,"")</f>
        <v/>
      </c>
      <c r="S631">
        <f>C631&amp;"|"&amp;D631</f>
        <v/>
      </c>
      <c r="T631">
        <f>COUNTIF($S$2:S631,S631)</f>
        <v/>
      </c>
      <c r="U631">
        <f>S631&amp;"|"&amp;T631</f>
        <v/>
      </c>
      <c r="V631">
        <f>IFERROR(VLOOKUP(IF(I631="ENFASIS",LEFT(M631,FIND("+",M631&amp;"+")-1),J631),Direccion_Grupo!$A$2:$G$100,7,FALSE),"")</f>
        <v/>
      </c>
    </row>
    <row r="632">
      <c r="A632" t="n">
        <v>24</v>
      </c>
      <c r="B632" t="inlineStr">
        <is>
          <t>Landázuri Gallón Teresa</t>
        </is>
      </c>
      <c r="C632" t="inlineStr">
        <is>
          <t>MIERCOLES</t>
        </is>
      </c>
      <c r="D632" t="n">
        <v>1</v>
      </c>
      <c r="E632" t="n">
        <v>1</v>
      </c>
      <c r="F632" t="n">
        <v>1</v>
      </c>
      <c r="G632" t="inlineStr">
        <is>
          <t>06:30</t>
        </is>
      </c>
      <c r="H632" t="inlineStr">
        <is>
          <t>07:15</t>
        </is>
      </c>
      <c r="I632" t="inlineStr">
        <is>
          <t>AREAS_MULTIPLES</t>
        </is>
      </c>
      <c r="J632" t="inlineStr">
        <is>
          <t>0302</t>
        </is>
      </c>
      <c r="K632" t="inlineStr">
        <is>
          <t>ÁREAS MÚLTIPLES</t>
        </is>
      </c>
      <c r="L632" t="inlineStr"/>
      <c r="M632" t="inlineStr"/>
      <c r="N632" t="inlineStr"/>
      <c r="O632" t="inlineStr">
        <is>
          <t>Maestro de aula: todas las áreas con su grupo</t>
        </is>
      </c>
      <c r="P632" t="inlineStr"/>
      <c r="Q632">
        <f>IF(I632="ENFASIS","ÉNFASIS "&amp;M632,IFERROR(VLOOKUP(J632,Grupos!$A$2:$D$100,4,FALSE),J632))</f>
        <v/>
      </c>
      <c r="R632">
        <f>O632&amp;IF(N632&lt;&gt;"",IF(O632&lt;&gt;""," · ","")&amp;"Con: "&amp;N632,"")</f>
        <v/>
      </c>
      <c r="S632">
        <f>C632&amp;"|"&amp;D632</f>
        <v/>
      </c>
      <c r="T632">
        <f>COUNTIF($S$2:S632,S632)</f>
        <v/>
      </c>
      <c r="U632">
        <f>S632&amp;"|"&amp;T632</f>
        <v/>
      </c>
      <c r="V632">
        <f>IFERROR(VLOOKUP(IF(I632="ENFASIS",LEFT(M632,FIND("+",M632&amp;"+")-1),J632),Direccion_Grupo!$A$2:$G$100,7,FALSE),"")</f>
        <v/>
      </c>
    </row>
    <row r="633">
      <c r="A633" t="n">
        <v>55</v>
      </c>
      <c r="B633" t="inlineStr">
        <is>
          <t>Zamora Ordóñez Celia Pastora</t>
        </is>
      </c>
      <c r="C633" t="inlineStr">
        <is>
          <t>MIERCOLES</t>
        </is>
      </c>
      <c r="D633" t="n">
        <v>1</v>
      </c>
      <c r="E633" t="n">
        <v>1</v>
      </c>
      <c r="F633" t="n">
        <v>1</v>
      </c>
      <c r="G633" t="inlineStr">
        <is>
          <t>06:30</t>
        </is>
      </c>
      <c r="H633" t="inlineStr">
        <is>
          <t>07:15</t>
        </is>
      </c>
      <c r="I633" t="inlineStr">
        <is>
          <t>AREAS_MULTIPLES</t>
        </is>
      </c>
      <c r="J633" t="inlineStr">
        <is>
          <t>0401</t>
        </is>
      </c>
      <c r="K633" t="inlineStr">
        <is>
          <t>ÁREAS MÚLTIPLES</t>
        </is>
      </c>
      <c r="L633" t="inlineStr"/>
      <c r="M633" t="inlineStr"/>
      <c r="N633" t="inlineStr"/>
      <c r="O633" t="inlineStr">
        <is>
          <t>Maestro de aula: todas las áreas con su grupo</t>
        </is>
      </c>
      <c r="P633" t="inlineStr"/>
      <c r="Q633">
        <f>IF(I633="ENFASIS","ÉNFASIS "&amp;M633,IFERROR(VLOOKUP(J633,Grupos!$A$2:$D$100,4,FALSE),J633))</f>
        <v/>
      </c>
      <c r="R633">
        <f>O633&amp;IF(N633&lt;&gt;"",IF(O633&lt;&gt;""," · ","")&amp;"Con: "&amp;N633,"")</f>
        <v/>
      </c>
      <c r="S633">
        <f>C633&amp;"|"&amp;D633</f>
        <v/>
      </c>
      <c r="T633">
        <f>COUNTIF($S$2:S633,S633)</f>
        <v/>
      </c>
      <c r="U633">
        <f>S633&amp;"|"&amp;T633</f>
        <v/>
      </c>
      <c r="V633">
        <f>IFERROR(VLOOKUP(IF(I633="ENFASIS",LEFT(M633,FIND("+",M633&amp;"+")-1),J633),Direccion_Grupo!$A$2:$G$100,7,FALSE),"")</f>
        <v/>
      </c>
    </row>
    <row r="634">
      <c r="A634" t="n">
        <v>33</v>
      </c>
      <c r="B634" t="inlineStr">
        <is>
          <t>Núñez Perlaza Elcy</t>
        </is>
      </c>
      <c r="C634" t="inlineStr">
        <is>
          <t>MIERCOLES</t>
        </is>
      </c>
      <c r="D634" t="n">
        <v>1</v>
      </c>
      <c r="E634" t="n">
        <v>1</v>
      </c>
      <c r="F634" t="n">
        <v>1</v>
      </c>
      <c r="G634" t="inlineStr">
        <is>
          <t>06:30</t>
        </is>
      </c>
      <c r="H634" t="inlineStr">
        <is>
          <t>07:15</t>
        </is>
      </c>
      <c r="I634" t="inlineStr">
        <is>
          <t>AREAS_MULTIPLES</t>
        </is>
      </c>
      <c r="J634" t="inlineStr">
        <is>
          <t>0402</t>
        </is>
      </c>
      <c r="K634" t="inlineStr">
        <is>
          <t>ÁREAS MÚLTIPLES</t>
        </is>
      </c>
      <c r="L634" t="inlineStr"/>
      <c r="M634" t="inlineStr"/>
      <c r="N634" t="inlineStr"/>
      <c r="O634" t="inlineStr">
        <is>
          <t>Maestro de aula: todas las áreas con su grupo</t>
        </is>
      </c>
      <c r="P634" t="inlineStr"/>
      <c r="Q634">
        <f>IF(I634="ENFASIS","ÉNFASIS "&amp;M634,IFERROR(VLOOKUP(J634,Grupos!$A$2:$D$100,4,FALSE),J634))</f>
        <v/>
      </c>
      <c r="R634">
        <f>O634&amp;IF(N634&lt;&gt;"",IF(O634&lt;&gt;""," · ","")&amp;"Con: "&amp;N634,"")</f>
        <v/>
      </c>
      <c r="S634">
        <f>C634&amp;"|"&amp;D634</f>
        <v/>
      </c>
      <c r="T634">
        <f>COUNTIF($S$2:S634,S634)</f>
        <v/>
      </c>
      <c r="U634">
        <f>S634&amp;"|"&amp;T634</f>
        <v/>
      </c>
      <c r="V634">
        <f>IFERROR(VLOOKUP(IF(I634="ENFASIS",LEFT(M634,FIND("+",M634&amp;"+")-1),J634),Direccion_Grupo!$A$2:$G$100,7,FALSE),"")</f>
        <v/>
      </c>
    </row>
    <row r="635">
      <c r="A635" t="n">
        <v>14</v>
      </c>
      <c r="B635" t="inlineStr">
        <is>
          <t>Cuéllar Gallo Nemesia</t>
        </is>
      </c>
      <c r="C635" t="inlineStr">
        <is>
          <t>MIERCOLES</t>
        </is>
      </c>
      <c r="D635" t="n">
        <v>1</v>
      </c>
      <c r="E635" t="n">
        <v>1</v>
      </c>
      <c r="F635" t="n">
        <v>1</v>
      </c>
      <c r="G635" t="inlineStr">
        <is>
          <t>06:30</t>
        </is>
      </c>
      <c r="H635" t="inlineStr">
        <is>
          <t>07:15</t>
        </is>
      </c>
      <c r="I635" t="inlineStr">
        <is>
          <t>AREAS_MULTIPLES</t>
        </is>
      </c>
      <c r="J635" t="inlineStr">
        <is>
          <t>0501</t>
        </is>
      </c>
      <c r="K635" t="inlineStr">
        <is>
          <t>ÁREAS MÚLTIPLES</t>
        </is>
      </c>
      <c r="L635" t="inlineStr"/>
      <c r="M635" t="inlineStr"/>
      <c r="N635" t="inlineStr"/>
      <c r="O635" t="inlineStr">
        <is>
          <t>Maestro de aula: todas las áreas con su grupo</t>
        </is>
      </c>
      <c r="P635" t="inlineStr"/>
      <c r="Q635">
        <f>IF(I635="ENFASIS","ÉNFASIS "&amp;M635,IFERROR(VLOOKUP(J635,Grupos!$A$2:$D$100,4,FALSE),J635))</f>
        <v/>
      </c>
      <c r="R635">
        <f>O635&amp;IF(N635&lt;&gt;"",IF(O635&lt;&gt;""," · ","")&amp;"Con: "&amp;N635,"")</f>
        <v/>
      </c>
      <c r="S635">
        <f>C635&amp;"|"&amp;D635</f>
        <v/>
      </c>
      <c r="T635">
        <f>COUNTIF($S$2:S635,S635)</f>
        <v/>
      </c>
      <c r="U635">
        <f>S635&amp;"|"&amp;T635</f>
        <v/>
      </c>
      <c r="V635">
        <f>IFERROR(VLOOKUP(IF(I635="ENFASIS",LEFT(M635,FIND("+",M635&amp;"+")-1),J635),Direccion_Grupo!$A$2:$G$100,7,FALSE),"")</f>
        <v/>
      </c>
    </row>
    <row r="636">
      <c r="A636" t="n">
        <v>11</v>
      </c>
      <c r="B636" t="inlineStr">
        <is>
          <t>Centeno Zúñiga Claudia Patricia</t>
        </is>
      </c>
      <c r="C636" t="inlineStr">
        <is>
          <t>MIERCOLES</t>
        </is>
      </c>
      <c r="D636" t="n">
        <v>1</v>
      </c>
      <c r="E636" t="n">
        <v>1</v>
      </c>
      <c r="F636" t="n">
        <v>1</v>
      </c>
      <c r="G636" t="inlineStr">
        <is>
          <t>06:30</t>
        </is>
      </c>
      <c r="H636" t="inlineStr">
        <is>
          <t>07:15</t>
        </is>
      </c>
      <c r="I636" t="inlineStr">
        <is>
          <t>AREAS_MULTIPLES</t>
        </is>
      </c>
      <c r="J636" t="inlineStr">
        <is>
          <t>0502</t>
        </is>
      </c>
      <c r="K636" t="inlineStr">
        <is>
          <t>ÁREAS MÚLTIPLES</t>
        </is>
      </c>
      <c r="L636" t="inlineStr"/>
      <c r="M636" t="inlineStr"/>
      <c r="N636" t="inlineStr"/>
      <c r="O636" t="inlineStr">
        <is>
          <t>Maestro de aula: todas las áreas con su grupo</t>
        </is>
      </c>
      <c r="P636" t="inlineStr"/>
      <c r="Q636">
        <f>IF(I636="ENFASIS","ÉNFASIS "&amp;M636,IFERROR(VLOOKUP(J636,Grupos!$A$2:$D$100,4,FALSE),J636))</f>
        <v/>
      </c>
      <c r="R636">
        <f>O636&amp;IF(N636&lt;&gt;"",IF(O636&lt;&gt;""," · ","")&amp;"Con: "&amp;N636,"")</f>
        <v/>
      </c>
      <c r="S636">
        <f>C636&amp;"|"&amp;D636</f>
        <v/>
      </c>
      <c r="T636">
        <f>COUNTIF($S$2:S636,S636)</f>
        <v/>
      </c>
      <c r="U636">
        <f>S636&amp;"|"&amp;T636</f>
        <v/>
      </c>
      <c r="V636">
        <f>IFERROR(VLOOKUP(IF(I636="ENFASIS",LEFT(M636,FIND("+",M636&amp;"+")-1),J636),Direccion_Grupo!$A$2:$G$100,7,FALSE),"")</f>
        <v/>
      </c>
    </row>
    <row r="637">
      <c r="A637" t="n">
        <v>32</v>
      </c>
      <c r="B637" t="inlineStr">
        <is>
          <t>Narváez Sánchez Dora Alejandra</t>
        </is>
      </c>
      <c r="C637" t="inlineStr">
        <is>
          <t>MIERCOLES</t>
        </is>
      </c>
      <c r="D637" t="n">
        <v>1</v>
      </c>
      <c r="E637" t="n">
        <v>1</v>
      </c>
      <c r="F637" t="n">
        <v>1</v>
      </c>
      <c r="G637" t="inlineStr">
        <is>
          <t>06:30</t>
        </is>
      </c>
      <c r="H637" t="inlineStr">
        <is>
          <t>07:15</t>
        </is>
      </c>
      <c r="I637" t="inlineStr">
        <is>
          <t>AREAS_MULTIPLES</t>
        </is>
      </c>
      <c r="J637" t="inlineStr">
        <is>
          <t>0503</t>
        </is>
      </c>
      <c r="K637" t="inlineStr">
        <is>
          <t>ÁREAS MÚLTIPLES</t>
        </is>
      </c>
      <c r="L637" t="inlineStr"/>
      <c r="M637" t="inlineStr"/>
      <c r="N637" t="inlineStr"/>
      <c r="O637" t="inlineStr">
        <is>
          <t>Maestro de aula: todas las áreas con su grupo</t>
        </is>
      </c>
      <c r="P637" t="inlineStr"/>
      <c r="Q637">
        <f>IF(I637="ENFASIS","ÉNFASIS "&amp;M637,IFERROR(VLOOKUP(J637,Grupos!$A$2:$D$100,4,FALSE),J637))</f>
        <v/>
      </c>
      <c r="R637">
        <f>O637&amp;IF(N637&lt;&gt;"",IF(O637&lt;&gt;""," · ","")&amp;"Con: "&amp;N637,"")</f>
        <v/>
      </c>
      <c r="S637">
        <f>C637&amp;"|"&amp;D637</f>
        <v/>
      </c>
      <c r="T637">
        <f>COUNTIF($S$2:S637,S637)</f>
        <v/>
      </c>
      <c r="U637">
        <f>S637&amp;"|"&amp;T637</f>
        <v/>
      </c>
      <c r="V637">
        <f>IFERROR(VLOOKUP(IF(I637="ENFASIS",LEFT(M637,FIND("+",M637&amp;"+")-1),J637),Direccion_Grupo!$A$2:$G$100,7,FALSE),"")</f>
        <v/>
      </c>
    </row>
    <row r="638">
      <c r="A638" t="n">
        <v>17</v>
      </c>
      <c r="B638" t="inlineStr">
        <is>
          <t>Escobar Cortés Liliana</t>
        </is>
      </c>
      <c r="C638" t="inlineStr">
        <is>
          <t>MIERCOLES</t>
        </is>
      </c>
      <c r="D638" t="n">
        <v>1</v>
      </c>
      <c r="E638" t="n">
        <v>1</v>
      </c>
      <c r="F638" t="n">
        <v>1</v>
      </c>
      <c r="G638" t="inlineStr">
        <is>
          <t>06:30</t>
        </is>
      </c>
      <c r="H638" t="inlineStr">
        <is>
          <t>07:15</t>
        </is>
      </c>
      <c r="I638" t="inlineStr">
        <is>
          <t>AREAS_MULTIPLES</t>
        </is>
      </c>
      <c r="J638" t="inlineStr">
        <is>
          <t>0504</t>
        </is>
      </c>
      <c r="K638" t="inlineStr">
        <is>
          <t>ÁREAS MÚLTIPLES</t>
        </is>
      </c>
      <c r="L638" t="inlineStr"/>
      <c r="M638" t="inlineStr"/>
      <c r="N638" t="inlineStr"/>
      <c r="O638" t="inlineStr">
        <is>
          <t>Maestro de aula: todas las áreas con su grupo</t>
        </is>
      </c>
      <c r="P638" t="inlineStr"/>
      <c r="Q638">
        <f>IF(I638="ENFASIS","ÉNFASIS "&amp;M638,IFERROR(VLOOKUP(J638,Grupos!$A$2:$D$100,4,FALSE),J638))</f>
        <v/>
      </c>
      <c r="R638">
        <f>O638&amp;IF(N638&lt;&gt;"",IF(O638&lt;&gt;""," · ","")&amp;"Con: "&amp;N638,"")</f>
        <v/>
      </c>
      <c r="S638">
        <f>C638&amp;"|"&amp;D638</f>
        <v/>
      </c>
      <c r="T638">
        <f>COUNTIF($S$2:S638,S638)</f>
        <v/>
      </c>
      <c r="U638">
        <f>S638&amp;"|"&amp;T638</f>
        <v/>
      </c>
      <c r="V638">
        <f>IFERROR(VLOOKUP(IF(I638="ENFASIS",LEFT(M638,FIND("+",M638&amp;"+")-1),J638),Direccion_Grupo!$A$2:$G$100,7,FALSE),"")</f>
        <v/>
      </c>
    </row>
    <row r="639">
      <c r="A639" t="n">
        <v>37</v>
      </c>
      <c r="B639" t="inlineStr">
        <is>
          <t>Prado Quiñones Genís Maribel</t>
        </is>
      </c>
      <c r="C639" t="inlineStr">
        <is>
          <t>MIERCOLES</t>
        </is>
      </c>
      <c r="D639" t="n">
        <v>1</v>
      </c>
      <c r="E639" t="n">
        <v>1</v>
      </c>
      <c r="F639" t="n">
        <v>1</v>
      </c>
      <c r="G639" t="inlineStr">
        <is>
          <t>06:30</t>
        </is>
      </c>
      <c r="H639" t="inlineStr">
        <is>
          <t>07:15</t>
        </is>
      </c>
      <c r="I639" t="inlineStr">
        <is>
          <t>CLASE</t>
        </is>
      </c>
      <c r="J639" t="inlineStr">
        <is>
          <t>0601</t>
        </is>
      </c>
      <c r="K639" t="inlineStr">
        <is>
          <t>ART</t>
        </is>
      </c>
      <c r="L639" t="inlineStr"/>
      <c r="M639" t="inlineStr"/>
      <c r="N639" t="inlineStr"/>
      <c r="O639" t="inlineStr"/>
      <c r="P639" t="inlineStr">
        <is>
          <t>0601-ART</t>
        </is>
      </c>
      <c r="Q639">
        <f>IF(I639="ENFASIS","ÉNFASIS "&amp;M639,IFERROR(VLOOKUP(J639,Grupos!$A$2:$D$100,4,FALSE),J639))</f>
        <v/>
      </c>
      <c r="R639">
        <f>O639&amp;IF(N639&lt;&gt;"",IF(O639&lt;&gt;""," · ","")&amp;"Con: "&amp;N639,"")</f>
        <v/>
      </c>
      <c r="S639">
        <f>C639&amp;"|"&amp;D639</f>
        <v/>
      </c>
      <c r="T639">
        <f>COUNTIF($S$2:S639,S639)</f>
        <v/>
      </c>
      <c r="U639">
        <f>S639&amp;"|"&amp;T639</f>
        <v/>
      </c>
      <c r="V639">
        <f>IFERROR(VLOOKUP(IF(I639="ENFASIS",LEFT(M639,FIND("+",M639&amp;"+")-1),J639),Direccion_Grupo!$A$2:$G$100,7,FALSE),"")</f>
        <v/>
      </c>
    </row>
    <row r="640">
      <c r="A640" t="n">
        <v>57</v>
      </c>
      <c r="B640" t="inlineStr">
        <is>
          <t>Armero Dájome Jesús</t>
        </is>
      </c>
      <c r="C640" t="inlineStr">
        <is>
          <t>MIERCOLES</t>
        </is>
      </c>
      <c r="D640" t="n">
        <v>1</v>
      </c>
      <c r="E640" t="n">
        <v>1</v>
      </c>
      <c r="F640" t="n">
        <v>1</v>
      </c>
      <c r="G640" t="inlineStr">
        <is>
          <t>06:30</t>
        </is>
      </c>
      <c r="H640" t="inlineStr">
        <is>
          <t>07:15</t>
        </is>
      </c>
      <c r="I640" t="inlineStr">
        <is>
          <t>CLASE</t>
        </is>
      </c>
      <c r="J640" t="inlineStr">
        <is>
          <t>0602</t>
        </is>
      </c>
      <c r="K640" t="inlineStr">
        <is>
          <t>ERD</t>
        </is>
      </c>
      <c r="L640" t="inlineStr"/>
      <c r="M640" t="inlineStr"/>
      <c r="N640" t="inlineStr"/>
      <c r="O640" t="inlineStr"/>
      <c r="P640" t="inlineStr">
        <is>
          <t>0602-ERD</t>
        </is>
      </c>
      <c r="Q640">
        <f>IF(I640="ENFASIS","ÉNFASIS "&amp;M640,IFERROR(VLOOKUP(J640,Grupos!$A$2:$D$100,4,FALSE),J640))</f>
        <v/>
      </c>
      <c r="R640">
        <f>O640&amp;IF(N640&lt;&gt;"",IF(O640&lt;&gt;""," · ","")&amp;"Con: "&amp;N640,"")</f>
        <v/>
      </c>
      <c r="S640">
        <f>C640&amp;"|"&amp;D640</f>
        <v/>
      </c>
      <c r="T640">
        <f>COUNTIF($S$2:S640,S640)</f>
        <v/>
      </c>
      <c r="U640">
        <f>S640&amp;"|"&amp;T640</f>
        <v/>
      </c>
      <c r="V640">
        <f>IFERROR(VLOOKUP(IF(I640="ENFASIS",LEFT(M640,FIND("+",M640&amp;"+")-1),J640),Direccion_Grupo!$A$2:$G$100,7,FALSE),"")</f>
        <v/>
      </c>
    </row>
    <row r="641">
      <c r="A641" t="n">
        <v>34</v>
      </c>
      <c r="B641" t="inlineStr">
        <is>
          <t>Ordóñez Tenorio Jaime Marcial</t>
        </is>
      </c>
      <c r="C641" t="inlineStr">
        <is>
          <t>MIERCOLES</t>
        </is>
      </c>
      <c r="D641" t="n">
        <v>1</v>
      </c>
      <c r="E641" t="n">
        <v>1</v>
      </c>
      <c r="F641" t="n">
        <v>1</v>
      </c>
      <c r="G641" t="inlineStr">
        <is>
          <t>06:30</t>
        </is>
      </c>
      <c r="H641" t="inlineStr">
        <is>
          <t>07:15</t>
        </is>
      </c>
      <c r="I641" t="inlineStr">
        <is>
          <t>CLASE</t>
        </is>
      </c>
      <c r="J641" t="inlineStr">
        <is>
          <t>0704</t>
        </is>
      </c>
      <c r="K641" t="inlineStr">
        <is>
          <t>CNA</t>
        </is>
      </c>
      <c r="L641" t="inlineStr"/>
      <c r="M641" t="inlineStr"/>
      <c r="N641" t="inlineStr"/>
      <c r="O641" t="inlineStr"/>
      <c r="P641" t="inlineStr">
        <is>
          <t>0704-CNA</t>
        </is>
      </c>
      <c r="Q641">
        <f>IF(I641="ENFASIS","ÉNFASIS "&amp;M641,IFERROR(VLOOKUP(J641,Grupos!$A$2:$D$100,4,FALSE),J641))</f>
        <v/>
      </c>
      <c r="R641">
        <f>O641&amp;IF(N641&lt;&gt;"",IF(O641&lt;&gt;""," · ","")&amp;"Con: "&amp;N641,"")</f>
        <v/>
      </c>
      <c r="S641">
        <f>C641&amp;"|"&amp;D641</f>
        <v/>
      </c>
      <c r="T641">
        <f>COUNTIF($S$2:S641,S641)</f>
        <v/>
      </c>
      <c r="U641">
        <f>S641&amp;"|"&amp;T641</f>
        <v/>
      </c>
      <c r="V641">
        <f>IFERROR(VLOOKUP(IF(I641="ENFASIS",LEFT(M641,FIND("+",M641&amp;"+")-1),J641),Direccion_Grupo!$A$2:$G$100,7,FALSE),"")</f>
        <v/>
      </c>
    </row>
    <row r="642">
      <c r="A642" t="n">
        <v>51</v>
      </c>
      <c r="B642" t="inlineStr">
        <is>
          <t>Valverde Montaño María Teresa</t>
        </is>
      </c>
      <c r="C642" t="inlineStr">
        <is>
          <t>MIERCOLES</t>
        </is>
      </c>
      <c r="D642" t="n">
        <v>1</v>
      </c>
      <c r="E642" t="n">
        <v>1</v>
      </c>
      <c r="F642" t="n">
        <v>1</v>
      </c>
      <c r="G642" t="inlineStr">
        <is>
          <t>06:30</t>
        </is>
      </c>
      <c r="H642" t="inlineStr">
        <is>
          <t>07:15</t>
        </is>
      </c>
      <c r="I642" t="inlineStr">
        <is>
          <t>CLASE</t>
        </is>
      </c>
      <c r="J642" t="inlineStr">
        <is>
          <t>0801</t>
        </is>
      </c>
      <c r="K642" t="inlineStr">
        <is>
          <t>CAS</t>
        </is>
      </c>
      <c r="L642" t="inlineStr"/>
      <c r="M642" t="inlineStr"/>
      <c r="N642" t="inlineStr"/>
      <c r="O642" t="inlineStr"/>
      <c r="P642" t="inlineStr">
        <is>
          <t>0801-CAS</t>
        </is>
      </c>
      <c r="Q642">
        <f>IF(I642="ENFASIS","ÉNFASIS "&amp;M642,IFERROR(VLOOKUP(J642,Grupos!$A$2:$D$100,4,FALSE),J642))</f>
        <v/>
      </c>
      <c r="R642">
        <f>O642&amp;IF(N642&lt;&gt;"",IF(O642&lt;&gt;""," · ","")&amp;"Con: "&amp;N642,"")</f>
        <v/>
      </c>
      <c r="S642">
        <f>C642&amp;"|"&amp;D642</f>
        <v/>
      </c>
      <c r="T642">
        <f>COUNTIF($S$2:S642,S642)</f>
        <v/>
      </c>
      <c r="U642">
        <f>S642&amp;"|"&amp;T642</f>
        <v/>
      </c>
      <c r="V642">
        <f>IFERROR(VLOOKUP(IF(I642="ENFASIS",LEFT(M642,FIND("+",M642&amp;"+")-1),J642),Direccion_Grupo!$A$2:$G$100,7,FALSE),"")</f>
        <v/>
      </c>
    </row>
    <row r="643">
      <c r="A643" t="n">
        <v>19</v>
      </c>
      <c r="B643" t="inlineStr">
        <is>
          <t>Fernández Vélez Alfredo Enrique</t>
        </is>
      </c>
      <c r="C643" t="inlineStr">
        <is>
          <t>MIERCOLES</t>
        </is>
      </c>
      <c r="D643" t="n">
        <v>1</v>
      </c>
      <c r="E643" t="n">
        <v>1</v>
      </c>
      <c r="F643" t="n">
        <v>1</v>
      </c>
      <c r="G643" t="inlineStr">
        <is>
          <t>06:30</t>
        </is>
      </c>
      <c r="H643" t="inlineStr">
        <is>
          <t>07:15</t>
        </is>
      </c>
      <c r="I643" t="inlineStr">
        <is>
          <t>CLASE</t>
        </is>
      </c>
      <c r="J643" t="inlineStr">
        <is>
          <t>0802</t>
        </is>
      </c>
      <c r="K643" t="inlineStr">
        <is>
          <t>TEI</t>
        </is>
      </c>
      <c r="L643" t="inlineStr"/>
      <c r="M643" t="inlineStr"/>
      <c r="N643" t="inlineStr"/>
      <c r="O643" t="inlineStr"/>
      <c r="P643" t="inlineStr">
        <is>
          <t>0802-TEI</t>
        </is>
      </c>
      <c r="Q643">
        <f>IF(I643="ENFASIS","ÉNFASIS "&amp;M643,IFERROR(VLOOKUP(J643,Grupos!$A$2:$D$100,4,FALSE),J643))</f>
        <v/>
      </c>
      <c r="R643">
        <f>O643&amp;IF(N643&lt;&gt;"",IF(O643&lt;&gt;""," · ","")&amp;"Con: "&amp;N643,"")</f>
        <v/>
      </c>
      <c r="S643">
        <f>C643&amp;"|"&amp;D643</f>
        <v/>
      </c>
      <c r="T643">
        <f>COUNTIF($S$2:S643,S643)</f>
        <v/>
      </c>
      <c r="U643">
        <f>S643&amp;"|"&amp;T643</f>
        <v/>
      </c>
      <c r="V643">
        <f>IFERROR(VLOOKUP(IF(I643="ENFASIS",LEFT(M643,FIND("+",M643&amp;"+")-1),J643),Direccion_Grupo!$A$2:$G$100,7,FALSE),"")</f>
        <v/>
      </c>
    </row>
    <row r="644">
      <c r="A644" t="n">
        <v>5</v>
      </c>
      <c r="B644" t="inlineStr">
        <is>
          <t>Bastidas Valencia Zeneida Judith</t>
        </is>
      </c>
      <c r="C644" t="inlineStr">
        <is>
          <t>MIERCOLES</t>
        </is>
      </c>
      <c r="D644" t="n">
        <v>1</v>
      </c>
      <c r="E644" t="n">
        <v>1</v>
      </c>
      <c r="F644" t="n">
        <v>1</v>
      </c>
      <c r="G644" t="inlineStr">
        <is>
          <t>06:30</t>
        </is>
      </c>
      <c r="H644" t="inlineStr">
        <is>
          <t>07:15</t>
        </is>
      </c>
      <c r="I644" t="inlineStr">
        <is>
          <t>CLASE</t>
        </is>
      </c>
      <c r="J644" t="inlineStr">
        <is>
          <t>0901</t>
        </is>
      </c>
      <c r="K644" t="inlineStr">
        <is>
          <t>MAT</t>
        </is>
      </c>
      <c r="L644" t="inlineStr"/>
      <c r="M644" t="inlineStr"/>
      <c r="N644" t="inlineStr"/>
      <c r="O644" t="inlineStr"/>
      <c r="P644" t="inlineStr">
        <is>
          <t>0901-MAT</t>
        </is>
      </c>
      <c r="Q644">
        <f>IF(I644="ENFASIS","ÉNFASIS "&amp;M644,IFERROR(VLOOKUP(J644,Grupos!$A$2:$D$100,4,FALSE),J644))</f>
        <v/>
      </c>
      <c r="R644">
        <f>O644&amp;IF(N644&lt;&gt;"",IF(O644&lt;&gt;""," · ","")&amp;"Con: "&amp;N644,"")</f>
        <v/>
      </c>
      <c r="S644">
        <f>C644&amp;"|"&amp;D644</f>
        <v/>
      </c>
      <c r="T644">
        <f>COUNTIF($S$2:S644,S644)</f>
        <v/>
      </c>
      <c r="U644">
        <f>S644&amp;"|"&amp;T644</f>
        <v/>
      </c>
      <c r="V644">
        <f>IFERROR(VLOOKUP(IF(I644="ENFASIS",LEFT(M644,FIND("+",M644&amp;"+")-1),J644),Direccion_Grupo!$A$2:$G$100,7,FALSE),"")</f>
        <v/>
      </c>
    </row>
    <row r="645">
      <c r="A645" t="n">
        <v>28</v>
      </c>
      <c r="B645" t="inlineStr">
        <is>
          <t>Meza Banguera Gladys Alicia</t>
        </is>
      </c>
      <c r="C645" t="inlineStr">
        <is>
          <t>MIERCOLES</t>
        </is>
      </c>
      <c r="D645" t="n">
        <v>1</v>
      </c>
      <c r="E645" t="n">
        <v>1</v>
      </c>
      <c r="F645" t="n">
        <v>1</v>
      </c>
      <c r="G645" t="inlineStr">
        <is>
          <t>06:30</t>
        </is>
      </c>
      <c r="H645" t="inlineStr">
        <is>
          <t>07:15</t>
        </is>
      </c>
      <c r="I645" t="inlineStr">
        <is>
          <t>CLASE</t>
        </is>
      </c>
      <c r="J645" t="inlineStr">
        <is>
          <t>0902</t>
        </is>
      </c>
      <c r="K645" t="inlineStr">
        <is>
          <t>CAS</t>
        </is>
      </c>
      <c r="L645" t="inlineStr"/>
      <c r="M645" t="inlineStr"/>
      <c r="N645" t="inlineStr"/>
      <c r="O645" t="inlineStr"/>
      <c r="P645" t="inlineStr">
        <is>
          <t>0902-CAS</t>
        </is>
      </c>
      <c r="Q645">
        <f>IF(I645="ENFASIS","ÉNFASIS "&amp;M645,IFERROR(VLOOKUP(J645,Grupos!$A$2:$D$100,4,FALSE),J645))</f>
        <v/>
      </c>
      <c r="R645">
        <f>O645&amp;IF(N645&lt;&gt;"",IF(O645&lt;&gt;""," · ","")&amp;"Con: "&amp;N645,"")</f>
        <v/>
      </c>
      <c r="S645">
        <f>C645&amp;"|"&amp;D645</f>
        <v/>
      </c>
      <c r="T645">
        <f>COUNTIF($S$2:S645,S645)</f>
        <v/>
      </c>
      <c r="U645">
        <f>S645&amp;"|"&amp;T645</f>
        <v/>
      </c>
      <c r="V645">
        <f>IFERROR(VLOOKUP(IF(I645="ENFASIS",LEFT(M645,FIND("+",M645&amp;"+")-1),J645),Direccion_Grupo!$A$2:$G$100,7,FALSE),"")</f>
        <v/>
      </c>
    </row>
    <row r="646">
      <c r="A646" t="n">
        <v>22</v>
      </c>
      <c r="B646" t="inlineStr">
        <is>
          <t>González Castillo Jólmer Jimy</t>
        </is>
      </c>
      <c r="C646" t="inlineStr">
        <is>
          <t>MIERCOLES</t>
        </is>
      </c>
      <c r="D646" t="n">
        <v>1</v>
      </c>
      <c r="E646" t="n">
        <v>1</v>
      </c>
      <c r="F646" t="n">
        <v>1</v>
      </c>
      <c r="G646" t="inlineStr">
        <is>
          <t>06:30</t>
        </is>
      </c>
      <c r="H646" t="inlineStr">
        <is>
          <t>07:15</t>
        </is>
      </c>
      <c r="I646" t="inlineStr">
        <is>
          <t>CLASE</t>
        </is>
      </c>
      <c r="J646" t="inlineStr">
        <is>
          <t>1001</t>
        </is>
      </c>
      <c r="K646" t="inlineStr">
        <is>
          <t>ERD</t>
        </is>
      </c>
      <c r="L646" t="inlineStr"/>
      <c r="M646" t="inlineStr"/>
      <c r="N646" t="inlineStr"/>
      <c r="O646" t="inlineStr"/>
      <c r="P646" t="inlineStr">
        <is>
          <t>1001-ERD</t>
        </is>
      </c>
      <c r="Q646">
        <f>IF(I646="ENFASIS","ÉNFASIS "&amp;M646,IFERROR(VLOOKUP(J646,Grupos!$A$2:$D$100,4,FALSE),J646))</f>
        <v/>
      </c>
      <c r="R646">
        <f>O646&amp;IF(N646&lt;&gt;"",IF(O646&lt;&gt;""," · ","")&amp;"Con: "&amp;N646,"")</f>
        <v/>
      </c>
      <c r="S646">
        <f>C646&amp;"|"&amp;D646</f>
        <v/>
      </c>
      <c r="T646">
        <f>COUNTIF($S$2:S646,S646)</f>
        <v/>
      </c>
      <c r="U646">
        <f>S646&amp;"|"&amp;T646</f>
        <v/>
      </c>
      <c r="V646">
        <f>IFERROR(VLOOKUP(IF(I646="ENFASIS",LEFT(M646,FIND("+",M646&amp;"+")-1),J646),Direccion_Grupo!$A$2:$G$100,7,FALSE),"")</f>
        <v/>
      </c>
    </row>
    <row r="647">
      <c r="A647" t="n">
        <v>53</v>
      </c>
      <c r="B647" t="inlineStr">
        <is>
          <t>Villota Rubio Héctor Hugo</t>
        </is>
      </c>
      <c r="C647" t="inlineStr">
        <is>
          <t>MIERCOLES</t>
        </is>
      </c>
      <c r="D647" t="n">
        <v>1</v>
      </c>
      <c r="E647" t="n">
        <v>1</v>
      </c>
      <c r="F647" t="n">
        <v>1</v>
      </c>
      <c r="G647" t="inlineStr">
        <is>
          <t>06:30</t>
        </is>
      </c>
      <c r="H647" t="inlineStr">
        <is>
          <t>07:15</t>
        </is>
      </c>
      <c r="I647" t="inlineStr">
        <is>
          <t>CLASE</t>
        </is>
      </c>
      <c r="J647" t="inlineStr">
        <is>
          <t>1002</t>
        </is>
      </c>
      <c r="K647" t="inlineStr">
        <is>
          <t>CNA</t>
        </is>
      </c>
      <c r="L647" t="inlineStr"/>
      <c r="M647" t="inlineStr"/>
      <c r="N647" t="inlineStr"/>
      <c r="O647" t="inlineStr"/>
      <c r="P647" t="inlineStr">
        <is>
          <t>1002-CNA</t>
        </is>
      </c>
      <c r="Q647">
        <f>IF(I647="ENFASIS","ÉNFASIS "&amp;M647,IFERROR(VLOOKUP(J647,Grupos!$A$2:$D$100,4,FALSE),J647))</f>
        <v/>
      </c>
      <c r="R647">
        <f>O647&amp;IF(N647&lt;&gt;"",IF(O647&lt;&gt;""," · ","")&amp;"Con: "&amp;N647,"")</f>
        <v/>
      </c>
      <c r="S647">
        <f>C647&amp;"|"&amp;D647</f>
        <v/>
      </c>
      <c r="T647">
        <f>COUNTIF($S$2:S647,S647)</f>
        <v/>
      </c>
      <c r="U647">
        <f>S647&amp;"|"&amp;T647</f>
        <v/>
      </c>
      <c r="V647">
        <f>IFERROR(VLOOKUP(IF(I647="ENFASIS",LEFT(M647,FIND("+",M647&amp;"+")-1),J647),Direccion_Grupo!$A$2:$G$100,7,FALSE),"")</f>
        <v/>
      </c>
    </row>
    <row r="648">
      <c r="A648" t="n">
        <v>31</v>
      </c>
      <c r="B648" t="inlineStr">
        <is>
          <t>Montaño Arizala Leidis Claudina</t>
        </is>
      </c>
      <c r="C648" t="inlineStr">
        <is>
          <t>MIERCOLES</t>
        </is>
      </c>
      <c r="D648" t="n">
        <v>1</v>
      </c>
      <c r="E648" t="n">
        <v>1</v>
      </c>
      <c r="F648" t="n">
        <v>1</v>
      </c>
      <c r="G648" t="inlineStr">
        <is>
          <t>06:30</t>
        </is>
      </c>
      <c r="H648" t="inlineStr">
        <is>
          <t>07:15</t>
        </is>
      </c>
      <c r="I648" t="inlineStr">
        <is>
          <t>CLASE</t>
        </is>
      </c>
      <c r="J648" t="inlineStr">
        <is>
          <t>1101</t>
        </is>
      </c>
      <c r="K648" t="inlineStr">
        <is>
          <t>ETR</t>
        </is>
      </c>
      <c r="L648" t="inlineStr"/>
      <c r="M648" t="inlineStr"/>
      <c r="N648" t="inlineStr"/>
      <c r="O648" t="inlineStr">
        <is>
          <t>Ética / Religión (alternan cada semana)</t>
        </is>
      </c>
      <c r="P648" t="inlineStr">
        <is>
          <t>1101-ETR</t>
        </is>
      </c>
      <c r="Q648">
        <f>IF(I648="ENFASIS","ÉNFASIS "&amp;M648,IFERROR(VLOOKUP(J648,Grupos!$A$2:$D$100,4,FALSE),J648))</f>
        <v/>
      </c>
      <c r="R648">
        <f>O648&amp;IF(N648&lt;&gt;"",IF(O648&lt;&gt;""," · ","")&amp;"Con: "&amp;N648,"")</f>
        <v/>
      </c>
      <c r="S648">
        <f>C648&amp;"|"&amp;D648</f>
        <v/>
      </c>
      <c r="T648">
        <f>COUNTIF($S$2:S648,S648)</f>
        <v/>
      </c>
      <c r="U648">
        <f>S648&amp;"|"&amp;T648</f>
        <v/>
      </c>
      <c r="V648">
        <f>IFERROR(VLOOKUP(IF(I648="ENFASIS",LEFT(M648,FIND("+",M648&amp;"+")-1),J648),Direccion_Grupo!$A$2:$G$100,7,FALSE),"")</f>
        <v/>
      </c>
    </row>
    <row r="649">
      <c r="A649" t="n">
        <v>3</v>
      </c>
      <c r="B649" t="inlineStr">
        <is>
          <t>Arboleda Ortiz Luz América</t>
        </is>
      </c>
      <c r="C649" t="inlineStr">
        <is>
          <t>MIERCOLES</t>
        </is>
      </c>
      <c r="D649" t="n">
        <v>1</v>
      </c>
      <c r="E649" t="n">
        <v>1</v>
      </c>
      <c r="F649" t="n">
        <v>1</v>
      </c>
      <c r="G649" t="inlineStr">
        <is>
          <t>06:30</t>
        </is>
      </c>
      <c r="H649" t="inlineStr">
        <is>
          <t>07:15</t>
        </is>
      </c>
      <c r="I649" t="inlineStr">
        <is>
          <t>CLASE</t>
        </is>
      </c>
      <c r="J649" t="inlineStr">
        <is>
          <t>1102</t>
        </is>
      </c>
      <c r="K649" t="inlineStr">
        <is>
          <t>ART</t>
        </is>
      </c>
      <c r="L649" t="inlineStr"/>
      <c r="M649" t="inlineStr"/>
      <c r="N649" t="inlineStr"/>
      <c r="O649" t="inlineStr"/>
      <c r="P649" t="inlineStr">
        <is>
          <t>1102-ART</t>
        </is>
      </c>
      <c r="Q649">
        <f>IF(I649="ENFASIS","ÉNFASIS "&amp;M649,IFERROR(VLOOKUP(J649,Grupos!$A$2:$D$100,4,FALSE),J649))</f>
        <v/>
      </c>
      <c r="R649">
        <f>O649&amp;IF(N649&lt;&gt;"",IF(O649&lt;&gt;""," · ","")&amp;"Con: "&amp;N649,"")</f>
        <v/>
      </c>
      <c r="S649">
        <f>C649&amp;"|"&amp;D649</f>
        <v/>
      </c>
      <c r="T649">
        <f>COUNTIF($S$2:S649,S649)</f>
        <v/>
      </c>
      <c r="U649">
        <f>S649&amp;"|"&amp;T649</f>
        <v/>
      </c>
      <c r="V649">
        <f>IFERROR(VLOOKUP(IF(I649="ENFASIS",LEFT(M649,FIND("+",M649&amp;"+")-1),J649),Direccion_Grupo!$A$2:$G$100,7,FALSE),"")</f>
        <v/>
      </c>
    </row>
    <row r="650">
      <c r="A650" t="n">
        <v>44</v>
      </c>
      <c r="B650" t="inlineStr">
        <is>
          <t>Samaniego Angulo Flor Mireya</t>
        </is>
      </c>
      <c r="C650" t="inlineStr">
        <is>
          <t>MIERCOLES</t>
        </is>
      </c>
      <c r="D650" t="n">
        <v>1</v>
      </c>
      <c r="E650" t="n">
        <v>1</v>
      </c>
      <c r="F650" t="n">
        <v>1</v>
      </c>
      <c r="G650" t="inlineStr">
        <is>
          <t>06:30</t>
        </is>
      </c>
      <c r="H650" t="inlineStr">
        <is>
          <t>07:15</t>
        </is>
      </c>
      <c r="I650" t="inlineStr">
        <is>
          <t>CLASE</t>
        </is>
      </c>
      <c r="J650" t="inlineStr">
        <is>
          <t>CS201</t>
        </is>
      </c>
      <c r="K650" t="inlineStr">
        <is>
          <t>ART</t>
        </is>
      </c>
      <c r="L650" t="inlineStr"/>
      <c r="M650" t="inlineStr"/>
      <c r="N650" t="inlineStr"/>
      <c r="O650" t="inlineStr"/>
      <c r="P650" t="inlineStr">
        <is>
          <t>CS201-ART</t>
        </is>
      </c>
      <c r="Q650">
        <f>IF(I650="ENFASIS","ÉNFASIS "&amp;M650,IFERROR(VLOOKUP(J650,Grupos!$A$2:$D$100,4,FALSE),J650))</f>
        <v/>
      </c>
      <c r="R650">
        <f>O650&amp;IF(N650&lt;&gt;"",IF(O650&lt;&gt;""," · ","")&amp;"Con: "&amp;N650,"")</f>
        <v/>
      </c>
      <c r="S650">
        <f>C650&amp;"|"&amp;D650</f>
        <v/>
      </c>
      <c r="T650">
        <f>COUNTIF($S$2:S650,S650)</f>
        <v/>
      </c>
      <c r="U650">
        <f>S650&amp;"|"&amp;T650</f>
        <v/>
      </c>
      <c r="V650">
        <f>IFERROR(VLOOKUP(IF(I650="ENFASIS",LEFT(M650,FIND("+",M650&amp;"+")-1),J650),Direccion_Grupo!$A$2:$G$100,7,FALSE),"")</f>
        <v/>
      </c>
    </row>
    <row r="651">
      <c r="A651" t="n">
        <v>35</v>
      </c>
      <c r="B651" t="inlineStr">
        <is>
          <t>Ortiz Araujo Adiela Carlota</t>
        </is>
      </c>
      <c r="C651" t="inlineStr">
        <is>
          <t>MIERCOLES</t>
        </is>
      </c>
      <c r="D651" t="n">
        <v>1</v>
      </c>
      <c r="E651" t="n">
        <v>1</v>
      </c>
      <c r="F651" t="n">
        <v>1</v>
      </c>
      <c r="G651" t="inlineStr">
        <is>
          <t>06:30</t>
        </is>
      </c>
      <c r="H651" t="inlineStr">
        <is>
          <t>07:15</t>
        </is>
      </c>
      <c r="I651" t="inlineStr">
        <is>
          <t>CLASE</t>
        </is>
      </c>
      <c r="J651" t="inlineStr">
        <is>
          <t>CS202</t>
        </is>
      </c>
      <c r="K651" t="inlineStr">
        <is>
          <t>CSI</t>
        </is>
      </c>
      <c r="L651" t="inlineStr"/>
      <c r="M651" t="inlineStr"/>
      <c r="N651" t="inlineStr"/>
      <c r="O651" t="inlineStr">
        <is>
          <t>Sociales / Inglés (alternan cada semana)</t>
        </is>
      </c>
      <c r="P651" t="inlineStr">
        <is>
          <t>CS202-CSI</t>
        </is>
      </c>
      <c r="Q651">
        <f>IF(I651="ENFASIS","ÉNFASIS "&amp;M651,IFERROR(VLOOKUP(J651,Grupos!$A$2:$D$100,4,FALSE),J651))</f>
        <v/>
      </c>
      <c r="R651">
        <f>O651&amp;IF(N651&lt;&gt;"",IF(O651&lt;&gt;""," · ","")&amp;"Con: "&amp;N651,"")</f>
        <v/>
      </c>
      <c r="S651">
        <f>C651&amp;"|"&amp;D651</f>
        <v/>
      </c>
      <c r="T651">
        <f>COUNTIF($S$2:S651,S651)</f>
        <v/>
      </c>
      <c r="U651">
        <f>S651&amp;"|"&amp;T651</f>
        <v/>
      </c>
      <c r="V651">
        <f>IFERROR(VLOOKUP(IF(I651="ENFASIS",LEFT(M651,FIND("+",M651&amp;"+")-1),J651),Direccion_Grupo!$A$2:$G$100,7,FALSE),"")</f>
        <v/>
      </c>
    </row>
    <row r="652">
      <c r="A652" t="n">
        <v>56</v>
      </c>
      <c r="B652" t="inlineStr">
        <is>
          <t>Ortiz Estacio Martha Cecilia</t>
        </is>
      </c>
      <c r="C652" t="inlineStr">
        <is>
          <t>MIERCOLES</t>
        </is>
      </c>
      <c r="D652" t="n">
        <v>1</v>
      </c>
      <c r="E652" t="n">
        <v>1</v>
      </c>
      <c r="F652" t="n">
        <v>1</v>
      </c>
      <c r="G652" t="inlineStr">
        <is>
          <t>06:30</t>
        </is>
      </c>
      <c r="H652" t="inlineStr">
        <is>
          <t>07:15</t>
        </is>
      </c>
      <c r="I652" t="inlineStr">
        <is>
          <t>TUTORIA</t>
        </is>
      </c>
      <c r="J652" t="inlineStr">
        <is>
          <t>PTAFI</t>
        </is>
      </c>
      <c r="K652" t="inlineStr">
        <is>
          <t>TUTORÍA PTAFI</t>
        </is>
      </c>
      <c r="L652" t="inlineStr"/>
      <c r="M652" t="inlineStr"/>
      <c r="N652" t="inlineStr"/>
      <c r="O652" t="inlineStr">
        <is>
          <t>Jornada 06:30 a 12:00</t>
        </is>
      </c>
      <c r="P652" t="inlineStr"/>
      <c r="Q652">
        <f>IF(I652="ENFASIS","ÉNFASIS "&amp;M652,IFERROR(VLOOKUP(J652,Grupos!$A$2:$D$100,4,FALSE),J652))</f>
        <v/>
      </c>
      <c r="R652">
        <f>O652&amp;IF(N652&lt;&gt;"",IF(O652&lt;&gt;""," · ","")&amp;"Con: "&amp;N652,"")</f>
        <v/>
      </c>
      <c r="S652">
        <f>C652&amp;"|"&amp;D652</f>
        <v/>
      </c>
      <c r="T652">
        <f>COUNTIF($S$2:S652,S652)</f>
        <v/>
      </c>
      <c r="U652">
        <f>S652&amp;"|"&amp;T652</f>
        <v/>
      </c>
      <c r="V652">
        <f>IFERROR(VLOOKUP(IF(I652="ENFASIS",LEFT(M652,FIND("+",M652&amp;"+")-1),J652),Direccion_Grupo!$A$2:$G$100,7,FALSE),"")</f>
        <v/>
      </c>
    </row>
    <row r="653">
      <c r="A653" t="n">
        <v>10</v>
      </c>
      <c r="B653" t="inlineStr">
        <is>
          <t>Castillo Cuero Daira Eneida</t>
        </is>
      </c>
      <c r="C653" t="inlineStr">
        <is>
          <t>MIERCOLES</t>
        </is>
      </c>
      <c r="D653" t="n">
        <v>1</v>
      </c>
      <c r="E653" t="n">
        <v>1</v>
      </c>
      <c r="F653" t="n">
        <v>1</v>
      </c>
      <c r="G653" t="inlineStr">
        <is>
          <t>06:30</t>
        </is>
      </c>
      <c r="H653" t="inlineStr">
        <is>
          <t>07:15</t>
        </is>
      </c>
      <c r="I653" t="inlineStr">
        <is>
          <t>ENFASIS</t>
        </is>
      </c>
      <c r="J653" t="inlineStr"/>
      <c r="K653" t="inlineStr">
        <is>
          <t>CAS</t>
        </is>
      </c>
      <c r="L653" t="inlineStr">
        <is>
          <t>0701</t>
        </is>
      </c>
      <c r="M653" t="inlineStr">
        <is>
          <t>0701</t>
        </is>
      </c>
      <c r="N653" t="inlineStr">
        <is>
          <t>Puches Ana Milena (ART)</t>
        </is>
      </c>
      <c r="O653" t="inlineStr">
        <is>
          <t>PAREJA: comparten el énfasis y alternan por semana</t>
        </is>
      </c>
      <c r="P653" t="inlineStr">
        <is>
          <t>ENFASIS-0701</t>
        </is>
      </c>
      <c r="Q653">
        <f>IF(I653="ENFASIS","ÉNFASIS "&amp;M653,IFERROR(VLOOKUP(J653,Grupos!$A$2:$D$100,4,FALSE),J653))</f>
        <v/>
      </c>
      <c r="R653">
        <f>O653&amp;IF(N653&lt;&gt;"",IF(O653&lt;&gt;""," · ","")&amp;"Con: "&amp;N653,"")</f>
        <v/>
      </c>
      <c r="S653">
        <f>C653&amp;"|"&amp;D653</f>
        <v/>
      </c>
      <c r="T653">
        <f>COUNTIF($S$2:S653,S653)</f>
        <v/>
      </c>
      <c r="U653">
        <f>S653&amp;"|"&amp;T653</f>
        <v/>
      </c>
      <c r="V653">
        <f>IFERROR(VLOOKUP(IF(I653="ENFASIS",LEFT(M653,FIND("+",M653&amp;"+")-1),J653),Direccion_Grupo!$A$2:$G$100,7,FALSE),"")</f>
        <v/>
      </c>
    </row>
    <row r="654">
      <c r="A654" t="n">
        <v>39</v>
      </c>
      <c r="B654" t="inlineStr">
        <is>
          <t>Puches Ana Milena</t>
        </is>
      </c>
      <c r="C654" t="inlineStr">
        <is>
          <t>MIERCOLES</t>
        </is>
      </c>
      <c r="D654" t="n">
        <v>1</v>
      </c>
      <c r="E654" t="n">
        <v>1</v>
      </c>
      <c r="F654" t="n">
        <v>1</v>
      </c>
      <c r="G654" t="inlineStr">
        <is>
          <t>06:30</t>
        </is>
      </c>
      <c r="H654" t="inlineStr">
        <is>
          <t>07:15</t>
        </is>
      </c>
      <c r="I654" t="inlineStr">
        <is>
          <t>ENFASIS</t>
        </is>
      </c>
      <c r="J654" t="inlineStr"/>
      <c r="K654" t="inlineStr">
        <is>
          <t>ART</t>
        </is>
      </c>
      <c r="L654" t="inlineStr">
        <is>
          <t>0701</t>
        </is>
      </c>
      <c r="M654" t="inlineStr">
        <is>
          <t>0701</t>
        </is>
      </c>
      <c r="N654" t="inlineStr">
        <is>
          <t>Castillo Cuero Daira Eneida (CAS)</t>
        </is>
      </c>
      <c r="O654" t="inlineStr">
        <is>
          <t>PAREJA: comparten el énfasis y alternan por semana</t>
        </is>
      </c>
      <c r="P654" t="inlineStr">
        <is>
          <t>ENFASIS-0701</t>
        </is>
      </c>
      <c r="Q654">
        <f>IF(I654="ENFASIS","ÉNFASIS "&amp;M654,IFERROR(VLOOKUP(J654,Grupos!$A$2:$D$100,4,FALSE),J654))</f>
        <v/>
      </c>
      <c r="R654">
        <f>O654&amp;IF(N654&lt;&gt;"",IF(O654&lt;&gt;""," · ","")&amp;"Con: "&amp;N654,"")</f>
        <v/>
      </c>
      <c r="S654">
        <f>C654&amp;"|"&amp;D654</f>
        <v/>
      </c>
      <c r="T654">
        <f>COUNTIF($S$2:S654,S654)</f>
        <v/>
      </c>
      <c r="U654">
        <f>S654&amp;"|"&amp;T654</f>
        <v/>
      </c>
      <c r="V654">
        <f>IFERROR(VLOOKUP(IF(I654="ENFASIS",LEFT(M654,FIND("+",M654&amp;"+")-1),J654),Direccion_Grupo!$A$2:$G$100,7,FALSE),"")</f>
        <v/>
      </c>
    </row>
    <row r="655">
      <c r="A655" t="n">
        <v>12</v>
      </c>
      <c r="B655" t="inlineStr">
        <is>
          <t>Chillambo Quiñones María Rocío</t>
        </is>
      </c>
      <c r="C655" t="inlineStr">
        <is>
          <t>MIERCOLES</t>
        </is>
      </c>
      <c r="D655" t="n">
        <v>1</v>
      </c>
      <c r="E655" t="n">
        <v>1</v>
      </c>
      <c r="F655" t="n">
        <v>1</v>
      </c>
      <c r="G655" t="inlineStr">
        <is>
          <t>06:30</t>
        </is>
      </c>
      <c r="H655" t="inlineStr">
        <is>
          <t>07:15</t>
        </is>
      </c>
      <c r="I655" t="inlineStr">
        <is>
          <t>ENFASIS</t>
        </is>
      </c>
      <c r="J655" t="inlineStr"/>
      <c r="K655" t="inlineStr">
        <is>
          <t>CNA</t>
        </is>
      </c>
      <c r="L655" t="inlineStr">
        <is>
          <t>0702</t>
        </is>
      </c>
      <c r="M655" t="inlineStr">
        <is>
          <t>0702</t>
        </is>
      </c>
      <c r="N655" t="inlineStr">
        <is>
          <t>Cuero Bamba Berte Levi (ERD)</t>
        </is>
      </c>
      <c r="O655" t="inlineStr">
        <is>
          <t>PAREJA: comparten el énfasis y alternan por semana</t>
        </is>
      </c>
      <c r="P655" t="inlineStr">
        <is>
          <t>ENFASIS-0702</t>
        </is>
      </c>
      <c r="Q655">
        <f>IF(I655="ENFASIS","ÉNFASIS "&amp;M655,IFERROR(VLOOKUP(J655,Grupos!$A$2:$D$100,4,FALSE),J655))</f>
        <v/>
      </c>
      <c r="R655">
        <f>O655&amp;IF(N655&lt;&gt;"",IF(O655&lt;&gt;""," · ","")&amp;"Con: "&amp;N655,"")</f>
        <v/>
      </c>
      <c r="S655">
        <f>C655&amp;"|"&amp;D655</f>
        <v/>
      </c>
      <c r="T655">
        <f>COUNTIF($S$2:S655,S655)</f>
        <v/>
      </c>
      <c r="U655">
        <f>S655&amp;"|"&amp;T655</f>
        <v/>
      </c>
      <c r="V655">
        <f>IFERROR(VLOOKUP(IF(I655="ENFASIS",LEFT(M655,FIND("+",M655&amp;"+")-1),J655),Direccion_Grupo!$A$2:$G$100,7,FALSE),"")</f>
        <v/>
      </c>
    </row>
    <row r="656">
      <c r="A656" t="n">
        <v>15</v>
      </c>
      <c r="B656" t="inlineStr">
        <is>
          <t>Cuero Bamba Berte Levi</t>
        </is>
      </c>
      <c r="C656" t="inlineStr">
        <is>
          <t>MIERCOLES</t>
        </is>
      </c>
      <c r="D656" t="n">
        <v>1</v>
      </c>
      <c r="E656" t="n">
        <v>1</v>
      </c>
      <c r="F656" t="n">
        <v>1</v>
      </c>
      <c r="G656" t="inlineStr">
        <is>
          <t>06:30</t>
        </is>
      </c>
      <c r="H656" t="inlineStr">
        <is>
          <t>07:15</t>
        </is>
      </c>
      <c r="I656" t="inlineStr">
        <is>
          <t>ENFASIS</t>
        </is>
      </c>
      <c r="J656" t="inlineStr"/>
      <c r="K656" t="inlineStr">
        <is>
          <t>ERD</t>
        </is>
      </c>
      <c r="L656" t="inlineStr">
        <is>
          <t>0702</t>
        </is>
      </c>
      <c r="M656" t="inlineStr">
        <is>
          <t>0702</t>
        </is>
      </c>
      <c r="N656" t="inlineStr">
        <is>
          <t>Chillambo Quiñones María Rocío (CNA)</t>
        </is>
      </c>
      <c r="O656" t="inlineStr">
        <is>
          <t>PAREJA: comparten el énfasis y alternan por semana</t>
        </is>
      </c>
      <c r="P656" t="inlineStr">
        <is>
          <t>ENFASIS-0702</t>
        </is>
      </c>
      <c r="Q656">
        <f>IF(I656="ENFASIS","ÉNFASIS "&amp;M656,IFERROR(VLOOKUP(J656,Grupos!$A$2:$D$100,4,FALSE),J656))</f>
        <v/>
      </c>
      <c r="R656">
        <f>O656&amp;IF(N656&lt;&gt;"",IF(O656&lt;&gt;""," · ","")&amp;"Con: "&amp;N656,"")</f>
        <v/>
      </c>
      <c r="S656">
        <f>C656&amp;"|"&amp;D656</f>
        <v/>
      </c>
      <c r="T656">
        <f>COUNTIF($S$2:S656,S656)</f>
        <v/>
      </c>
      <c r="U656">
        <f>S656&amp;"|"&amp;T656</f>
        <v/>
      </c>
      <c r="V656">
        <f>IFERROR(VLOOKUP(IF(I656="ENFASIS",LEFT(M656,FIND("+",M656&amp;"+")-1),J656),Direccion_Grupo!$A$2:$G$100,7,FALSE),"")</f>
        <v/>
      </c>
    </row>
    <row r="657">
      <c r="A657" t="n">
        <v>8</v>
      </c>
      <c r="B657" t="inlineStr">
        <is>
          <t>Casanova Quiñones Yoli del Carmen</t>
        </is>
      </c>
      <c r="C657" t="inlineStr">
        <is>
          <t>MIERCOLES</t>
        </is>
      </c>
      <c r="D657" t="n">
        <v>1</v>
      </c>
      <c r="E657" t="n">
        <v>1</v>
      </c>
      <c r="F657" t="n">
        <v>1</v>
      </c>
      <c r="G657" t="inlineStr">
        <is>
          <t>06:30</t>
        </is>
      </c>
      <c r="H657" t="inlineStr">
        <is>
          <t>07:15</t>
        </is>
      </c>
      <c r="I657" t="inlineStr">
        <is>
          <t>ENFASIS</t>
        </is>
      </c>
      <c r="J657" t="inlineStr"/>
      <c r="K657" t="inlineStr">
        <is>
          <t>ETR</t>
        </is>
      </c>
      <c r="L657" t="inlineStr">
        <is>
          <t>0703</t>
        </is>
      </c>
      <c r="M657" t="inlineStr">
        <is>
          <t>0703</t>
        </is>
      </c>
      <c r="N657" t="inlineStr">
        <is>
          <t>Quintero Ramírez María del Carmen (CSI)</t>
        </is>
      </c>
      <c r="O657" t="inlineStr">
        <is>
          <t>PAREJA: comparten el énfasis y alternan por semana</t>
        </is>
      </c>
      <c r="P657" t="inlineStr">
        <is>
          <t>ENFASIS-0703</t>
        </is>
      </c>
      <c r="Q657">
        <f>IF(I657="ENFASIS","ÉNFASIS "&amp;M657,IFERROR(VLOOKUP(J657,Grupos!$A$2:$D$100,4,FALSE),J657))</f>
        <v/>
      </c>
      <c r="R657">
        <f>O657&amp;IF(N657&lt;&gt;"",IF(O657&lt;&gt;""," · ","")&amp;"Con: "&amp;N657,"")</f>
        <v/>
      </c>
      <c r="S657">
        <f>C657&amp;"|"&amp;D657</f>
        <v/>
      </c>
      <c r="T657">
        <f>COUNTIF($S$2:S657,S657)</f>
        <v/>
      </c>
      <c r="U657">
        <f>S657&amp;"|"&amp;T657</f>
        <v/>
      </c>
      <c r="V657">
        <f>IFERROR(VLOOKUP(IF(I657="ENFASIS",LEFT(M657,FIND("+",M657&amp;"+")-1),J657),Direccion_Grupo!$A$2:$G$100,7,FALSE),"")</f>
        <v/>
      </c>
    </row>
    <row r="658">
      <c r="A658" t="n">
        <v>41</v>
      </c>
      <c r="B658" t="inlineStr">
        <is>
          <t>Quintero Ramírez María del Carmen</t>
        </is>
      </c>
      <c r="C658" t="inlineStr">
        <is>
          <t>MIERCOLES</t>
        </is>
      </c>
      <c r="D658" t="n">
        <v>1</v>
      </c>
      <c r="E658" t="n">
        <v>1</v>
      </c>
      <c r="F658" t="n">
        <v>1</v>
      </c>
      <c r="G658" t="inlineStr">
        <is>
          <t>06:30</t>
        </is>
      </c>
      <c r="H658" t="inlineStr">
        <is>
          <t>07:15</t>
        </is>
      </c>
      <c r="I658" t="inlineStr">
        <is>
          <t>ENFASIS</t>
        </is>
      </c>
      <c r="J658" t="inlineStr"/>
      <c r="K658" t="inlineStr">
        <is>
          <t>CSI</t>
        </is>
      </c>
      <c r="L658" t="inlineStr">
        <is>
          <t>0703</t>
        </is>
      </c>
      <c r="M658" t="inlineStr">
        <is>
          <t>0703</t>
        </is>
      </c>
      <c r="N658" t="inlineStr">
        <is>
          <t>Casanova Quiñones Yoli del Carmen (ETR)</t>
        </is>
      </c>
      <c r="O658" t="inlineStr">
        <is>
          <t>PAREJA: comparten el énfasis y alternan por semana</t>
        </is>
      </c>
      <c r="P658" t="inlineStr">
        <is>
          <t>ENFASIS-0703</t>
        </is>
      </c>
      <c r="Q658">
        <f>IF(I658="ENFASIS","ÉNFASIS "&amp;M658,IFERROR(VLOOKUP(J658,Grupos!$A$2:$D$100,4,FALSE),J658))</f>
        <v/>
      </c>
      <c r="R658">
        <f>O658&amp;IF(N658&lt;&gt;"",IF(O658&lt;&gt;""," · ","")&amp;"Con: "&amp;N658,"")</f>
        <v/>
      </c>
      <c r="S658">
        <f>C658&amp;"|"&amp;D658</f>
        <v/>
      </c>
      <c r="T658">
        <f>COUNTIF($S$2:S658,S658)</f>
        <v/>
      </c>
      <c r="U658">
        <f>S658&amp;"|"&amp;T658</f>
        <v/>
      </c>
      <c r="V658">
        <f>IFERROR(VLOOKUP(IF(I658="ENFASIS",LEFT(M658,FIND("+",M658&amp;"+")-1),J658),Direccion_Grupo!$A$2:$G$100,7,FALSE),"")</f>
        <v/>
      </c>
    </row>
    <row r="659">
      <c r="A659" t="n">
        <v>20</v>
      </c>
      <c r="B659" t="inlineStr">
        <is>
          <t>García Gobea Saydi Magali</t>
        </is>
      </c>
      <c r="C659" t="inlineStr">
        <is>
          <t>MIERCOLES</t>
        </is>
      </c>
      <c r="D659" t="n">
        <v>1</v>
      </c>
      <c r="E659" t="n">
        <v>1</v>
      </c>
      <c r="F659" t="n">
        <v>1</v>
      </c>
      <c r="G659" t="inlineStr">
        <is>
          <t>06:30</t>
        </is>
      </c>
      <c r="H659" t="inlineStr">
        <is>
          <t>07:15</t>
        </is>
      </c>
      <c r="I659" t="inlineStr">
        <is>
          <t>ENFASIS</t>
        </is>
      </c>
      <c r="J659" t="inlineStr"/>
      <c r="K659" t="inlineStr">
        <is>
          <t>CSI</t>
        </is>
      </c>
      <c r="L659" t="inlineStr">
        <is>
          <t>CS101</t>
        </is>
      </c>
      <c r="M659" t="inlineStr">
        <is>
          <t>CS101</t>
        </is>
      </c>
      <c r="N659" t="inlineStr">
        <is>
          <t>Lozano Torres Amanda Inés (ETR)</t>
        </is>
      </c>
      <c r="O659" t="inlineStr">
        <is>
          <t>PAREJA: comparten el énfasis y alternan por semana</t>
        </is>
      </c>
      <c r="P659" t="inlineStr">
        <is>
          <t>ENFASIS-CS101</t>
        </is>
      </c>
      <c r="Q659">
        <f>IF(I659="ENFASIS","ÉNFASIS "&amp;M659,IFERROR(VLOOKUP(J659,Grupos!$A$2:$D$100,4,FALSE),J659))</f>
        <v/>
      </c>
      <c r="R659">
        <f>O659&amp;IF(N659&lt;&gt;"",IF(O659&lt;&gt;""," · ","")&amp;"Con: "&amp;N659,"")</f>
        <v/>
      </c>
      <c r="S659">
        <f>C659&amp;"|"&amp;D659</f>
        <v/>
      </c>
      <c r="T659">
        <f>COUNTIF($S$2:S659,S659)</f>
        <v/>
      </c>
      <c r="U659">
        <f>S659&amp;"|"&amp;T659</f>
        <v/>
      </c>
      <c r="V659">
        <f>IFERROR(VLOOKUP(IF(I659="ENFASIS",LEFT(M659,FIND("+",M659&amp;"+")-1),J659),Direccion_Grupo!$A$2:$G$100,7,FALSE),"")</f>
        <v/>
      </c>
    </row>
    <row r="660">
      <c r="A660" t="n">
        <v>26</v>
      </c>
      <c r="B660" t="inlineStr">
        <is>
          <t>Lozano Torres Amanda Inés</t>
        </is>
      </c>
      <c r="C660" t="inlineStr">
        <is>
          <t>MIERCOLES</t>
        </is>
      </c>
      <c r="D660" t="n">
        <v>1</v>
      </c>
      <c r="E660" t="n">
        <v>1</v>
      </c>
      <c r="F660" t="n">
        <v>1</v>
      </c>
      <c r="G660" t="inlineStr">
        <is>
          <t>06:30</t>
        </is>
      </c>
      <c r="H660" t="inlineStr">
        <is>
          <t>07:15</t>
        </is>
      </c>
      <c r="I660" t="inlineStr">
        <is>
          <t>ENFASIS</t>
        </is>
      </c>
      <c r="J660" t="inlineStr"/>
      <c r="K660" t="inlineStr">
        <is>
          <t>ETR</t>
        </is>
      </c>
      <c r="L660" t="inlineStr">
        <is>
          <t>CS101</t>
        </is>
      </c>
      <c r="M660" t="inlineStr">
        <is>
          <t>CS101</t>
        </is>
      </c>
      <c r="N660" t="inlineStr">
        <is>
          <t>García Gobea Saydi Magali (CSI)</t>
        </is>
      </c>
      <c r="O660" t="inlineStr">
        <is>
          <t>PAREJA: comparten el énfasis y alternan por semana</t>
        </is>
      </c>
      <c r="P660" t="inlineStr">
        <is>
          <t>ENFASIS-CS101</t>
        </is>
      </c>
      <c r="Q660">
        <f>IF(I660="ENFASIS","ÉNFASIS "&amp;M660,IFERROR(VLOOKUP(J660,Grupos!$A$2:$D$100,4,FALSE),J660))</f>
        <v/>
      </c>
      <c r="R660">
        <f>O660&amp;IF(N660&lt;&gt;"",IF(O660&lt;&gt;""," · ","")&amp;"Con: "&amp;N660,"")</f>
        <v/>
      </c>
      <c r="S660">
        <f>C660&amp;"|"&amp;D660</f>
        <v/>
      </c>
      <c r="T660">
        <f>COUNTIF($S$2:S660,S660)</f>
        <v/>
      </c>
      <c r="U660">
        <f>S660&amp;"|"&amp;T660</f>
        <v/>
      </c>
      <c r="V660">
        <f>IFERROR(VLOOKUP(IF(I660="ENFASIS",LEFT(M660,FIND("+",M660&amp;"+")-1),J660),Direccion_Grupo!$A$2:$G$100,7,FALSE),"")</f>
        <v/>
      </c>
    </row>
    <row r="661">
      <c r="A661" t="n">
        <v>1</v>
      </c>
      <c r="B661" t="inlineStr">
        <is>
          <t>Aguirre Riascos Jorge Andrés</t>
        </is>
      </c>
      <c r="C661" t="inlineStr">
        <is>
          <t>MIERCOLES</t>
        </is>
      </c>
      <c r="D661" t="n">
        <v>1</v>
      </c>
      <c r="E661" t="n">
        <v>1</v>
      </c>
      <c r="F661" t="n">
        <v>1</v>
      </c>
      <c r="G661" t="inlineStr">
        <is>
          <t>06:30</t>
        </is>
      </c>
      <c r="H661" t="inlineStr">
        <is>
          <t>07:15</t>
        </is>
      </c>
      <c r="I661" t="inlineStr">
        <is>
          <t>ENFASIS</t>
        </is>
      </c>
      <c r="J661" t="inlineStr"/>
      <c r="K661" t="inlineStr">
        <is>
          <t>TEI</t>
        </is>
      </c>
      <c r="L661" t="inlineStr">
        <is>
          <t>CS102</t>
        </is>
      </c>
      <c r="M661" t="inlineStr">
        <is>
          <t>CS102</t>
        </is>
      </c>
      <c r="N661" t="inlineStr">
        <is>
          <t>Vásquez Valencia Segundo Leoncio (MAT)</t>
        </is>
      </c>
      <c r="O661" t="inlineStr">
        <is>
          <t>PAREJA: comparten el énfasis y alternan por semana</t>
        </is>
      </c>
      <c r="P661" t="inlineStr">
        <is>
          <t>ENFASIS-CS102</t>
        </is>
      </c>
      <c r="Q661">
        <f>IF(I661="ENFASIS","ÉNFASIS "&amp;M661,IFERROR(VLOOKUP(J661,Grupos!$A$2:$D$100,4,FALSE),J661))</f>
        <v/>
      </c>
      <c r="R661">
        <f>O661&amp;IF(N661&lt;&gt;"",IF(O661&lt;&gt;""," · ","")&amp;"Con: "&amp;N661,"")</f>
        <v/>
      </c>
      <c r="S661">
        <f>C661&amp;"|"&amp;D661</f>
        <v/>
      </c>
      <c r="T661">
        <f>COUNTIF($S$2:S661,S661)</f>
        <v/>
      </c>
      <c r="U661">
        <f>S661&amp;"|"&amp;T661</f>
        <v/>
      </c>
      <c r="V661">
        <f>IFERROR(VLOOKUP(IF(I661="ENFASIS",LEFT(M661,FIND("+",M661&amp;"+")-1),J661),Direccion_Grupo!$A$2:$G$100,7,FALSE),"")</f>
        <v/>
      </c>
    </row>
    <row r="662">
      <c r="A662" t="n">
        <v>52</v>
      </c>
      <c r="B662" t="inlineStr">
        <is>
          <t>Vásquez Valencia Segundo Leoncio</t>
        </is>
      </c>
      <c r="C662" t="inlineStr">
        <is>
          <t>MIERCOLES</t>
        </is>
      </c>
      <c r="D662" t="n">
        <v>1</v>
      </c>
      <c r="E662" t="n">
        <v>1</v>
      </c>
      <c r="F662" t="n">
        <v>1</v>
      </c>
      <c r="G662" t="inlineStr">
        <is>
          <t>06:30</t>
        </is>
      </c>
      <c r="H662" t="inlineStr">
        <is>
          <t>07:15</t>
        </is>
      </c>
      <c r="I662" t="inlineStr">
        <is>
          <t>ENFASIS</t>
        </is>
      </c>
      <c r="J662" t="inlineStr"/>
      <c r="K662" t="inlineStr">
        <is>
          <t>MAT</t>
        </is>
      </c>
      <c r="L662" t="inlineStr">
        <is>
          <t>CS102</t>
        </is>
      </c>
      <c r="M662" t="inlineStr">
        <is>
          <t>CS102</t>
        </is>
      </c>
      <c r="N662" t="inlineStr">
        <is>
          <t>Aguirre Riascos Jorge Andrés (TEI)</t>
        </is>
      </c>
      <c r="O662" t="inlineStr">
        <is>
          <t>PAREJA: comparten el énfasis y alternan por semana</t>
        </is>
      </c>
      <c r="P662" t="inlineStr">
        <is>
          <t>ENFASIS-CS102</t>
        </is>
      </c>
      <c r="Q662">
        <f>IF(I662="ENFASIS","ÉNFASIS "&amp;M662,IFERROR(VLOOKUP(J662,Grupos!$A$2:$D$100,4,FALSE),J662))</f>
        <v/>
      </c>
      <c r="R662">
        <f>O662&amp;IF(N662&lt;&gt;"",IF(O662&lt;&gt;""," · ","")&amp;"Con: "&amp;N662,"")</f>
        <v/>
      </c>
      <c r="S662">
        <f>C662&amp;"|"&amp;D662</f>
        <v/>
      </c>
      <c r="T662">
        <f>COUNTIF($S$2:S662,S662)</f>
        <v/>
      </c>
      <c r="U662">
        <f>S662&amp;"|"&amp;T662</f>
        <v/>
      </c>
      <c r="V662">
        <f>IFERROR(VLOOKUP(IF(I662="ENFASIS",LEFT(M662,FIND("+",M662&amp;"+")-1),J662),Direccion_Grupo!$A$2:$G$100,7,FALSE),"")</f>
        <v/>
      </c>
    </row>
    <row r="663">
      <c r="A663" t="n">
        <v>23</v>
      </c>
      <c r="B663" t="inlineStr">
        <is>
          <t>Landázuri Quiñones María Elia</t>
        </is>
      </c>
      <c r="C663" t="inlineStr">
        <is>
          <t>MIERCOLES</t>
        </is>
      </c>
      <c r="D663" t="n">
        <v>2</v>
      </c>
      <c r="E663" t="n">
        <v>1</v>
      </c>
      <c r="F663" t="n">
        <v>2</v>
      </c>
      <c r="G663" t="inlineStr">
        <is>
          <t>07:15</t>
        </is>
      </c>
      <c r="H663" t="inlineStr">
        <is>
          <t>08:00</t>
        </is>
      </c>
      <c r="I663" t="inlineStr">
        <is>
          <t>AREAS_MULTIPLES</t>
        </is>
      </c>
      <c r="J663" t="inlineStr">
        <is>
          <t>0101</t>
        </is>
      </c>
      <c r="K663" t="inlineStr">
        <is>
          <t>ÁREAS MÚLTIPLES</t>
        </is>
      </c>
      <c r="L663" t="inlineStr"/>
      <c r="M663" t="inlineStr"/>
      <c r="N663" t="inlineStr"/>
      <c r="O663" t="inlineStr">
        <is>
          <t>Maestro de aula: todas las áreas con su grupo</t>
        </is>
      </c>
      <c r="P663" t="inlineStr"/>
      <c r="Q663">
        <f>IF(I663="ENFASIS","ÉNFASIS "&amp;M663,IFERROR(VLOOKUP(J663,Grupos!$A$2:$D$100,4,FALSE),J663))</f>
        <v/>
      </c>
      <c r="R663">
        <f>O663&amp;IF(N663&lt;&gt;"",IF(O663&lt;&gt;""," · ","")&amp;"Con: "&amp;N663,"")</f>
        <v/>
      </c>
      <c r="S663">
        <f>C663&amp;"|"&amp;D663</f>
        <v/>
      </c>
      <c r="T663">
        <f>COUNTIF($S$2:S663,S663)</f>
        <v/>
      </c>
      <c r="U663">
        <f>S663&amp;"|"&amp;T663</f>
        <v/>
      </c>
      <c r="V663">
        <f>IFERROR(VLOOKUP(IF(I663="ENFASIS",LEFT(M663,FIND("+",M663&amp;"+")-1),J663),Direccion_Grupo!$A$2:$G$100,7,FALSE),"")</f>
        <v/>
      </c>
    </row>
    <row r="664">
      <c r="A664" t="n">
        <v>45</v>
      </c>
      <c r="B664" t="inlineStr">
        <is>
          <t>Sinisterra Ana Lucía</t>
        </is>
      </c>
      <c r="C664" t="inlineStr">
        <is>
          <t>MIERCOLES</t>
        </is>
      </c>
      <c r="D664" t="n">
        <v>2</v>
      </c>
      <c r="E664" t="n">
        <v>1</v>
      </c>
      <c r="F664" t="n">
        <v>2</v>
      </c>
      <c r="G664" t="inlineStr">
        <is>
          <t>07:15</t>
        </is>
      </c>
      <c r="H664" t="inlineStr">
        <is>
          <t>08:00</t>
        </is>
      </c>
      <c r="I664" t="inlineStr">
        <is>
          <t>AREAS_MULTIPLES</t>
        </is>
      </c>
      <c r="J664" t="inlineStr">
        <is>
          <t>0102</t>
        </is>
      </c>
      <c r="K664" t="inlineStr">
        <is>
          <t>ÁREAS MÚLTIPLES</t>
        </is>
      </c>
      <c r="L664" t="inlineStr"/>
      <c r="M664" t="inlineStr"/>
      <c r="N664" t="inlineStr"/>
      <c r="O664" t="inlineStr">
        <is>
          <t>Maestro de aula: todas las áreas con su grupo</t>
        </is>
      </c>
      <c r="P664" t="inlineStr"/>
      <c r="Q664">
        <f>IF(I664="ENFASIS","ÉNFASIS "&amp;M664,IFERROR(VLOOKUP(J664,Grupos!$A$2:$D$100,4,FALSE),J664))</f>
        <v/>
      </c>
      <c r="R664">
        <f>O664&amp;IF(N664&lt;&gt;"",IF(O664&lt;&gt;""," · ","")&amp;"Con: "&amp;N664,"")</f>
        <v/>
      </c>
      <c r="S664">
        <f>C664&amp;"|"&amp;D664</f>
        <v/>
      </c>
      <c r="T664">
        <f>COUNTIF($S$2:S664,S664)</f>
        <v/>
      </c>
      <c r="U664">
        <f>S664&amp;"|"&amp;T664</f>
        <v/>
      </c>
      <c r="V664">
        <f>IFERROR(VLOOKUP(IF(I664="ENFASIS",LEFT(M664,FIND("+",M664&amp;"+")-1),J664),Direccion_Grupo!$A$2:$G$100,7,FALSE),"")</f>
        <v/>
      </c>
    </row>
    <row r="665">
      <c r="A665" t="n">
        <v>13</v>
      </c>
      <c r="B665" t="inlineStr">
        <is>
          <t>Cortés Salazar María Ebelice</t>
        </is>
      </c>
      <c r="C665" t="inlineStr">
        <is>
          <t>MIERCOLES</t>
        </is>
      </c>
      <c r="D665" t="n">
        <v>2</v>
      </c>
      <c r="E665" t="n">
        <v>1</v>
      </c>
      <c r="F665" t="n">
        <v>2</v>
      </c>
      <c r="G665" t="inlineStr">
        <is>
          <t>07:15</t>
        </is>
      </c>
      <c r="H665" t="inlineStr">
        <is>
          <t>08:00</t>
        </is>
      </c>
      <c r="I665" t="inlineStr">
        <is>
          <t>AREAS_MULTIPLES</t>
        </is>
      </c>
      <c r="J665" t="inlineStr">
        <is>
          <t>0201</t>
        </is>
      </c>
      <c r="K665" t="inlineStr">
        <is>
          <t>ÁREAS MÚLTIPLES</t>
        </is>
      </c>
      <c r="L665" t="inlineStr"/>
      <c r="M665" t="inlineStr"/>
      <c r="N665" t="inlineStr"/>
      <c r="O665" t="inlineStr">
        <is>
          <t>Maestro de aula: todas las áreas con su grupo</t>
        </is>
      </c>
      <c r="P665" t="inlineStr"/>
      <c r="Q665">
        <f>IF(I665="ENFASIS","ÉNFASIS "&amp;M665,IFERROR(VLOOKUP(J665,Grupos!$A$2:$D$100,4,FALSE),J665))</f>
        <v/>
      </c>
      <c r="R665">
        <f>O665&amp;IF(N665&lt;&gt;"",IF(O665&lt;&gt;""," · ","")&amp;"Con: "&amp;N665,"")</f>
        <v/>
      </c>
      <c r="S665">
        <f>C665&amp;"|"&amp;D665</f>
        <v/>
      </c>
      <c r="T665">
        <f>COUNTIF($S$2:S665,S665)</f>
        <v/>
      </c>
      <c r="U665">
        <f>S665&amp;"|"&amp;T665</f>
        <v/>
      </c>
      <c r="V665">
        <f>IFERROR(VLOOKUP(IF(I665="ENFASIS",LEFT(M665,FIND("+",M665&amp;"+")-1),J665),Direccion_Grupo!$A$2:$G$100,7,FALSE),"")</f>
        <v/>
      </c>
    </row>
    <row r="666">
      <c r="A666" t="n">
        <v>21</v>
      </c>
      <c r="B666" t="inlineStr">
        <is>
          <t>Garzón Quiñones Sixta Janina</t>
        </is>
      </c>
      <c r="C666" t="inlineStr">
        <is>
          <t>MIERCOLES</t>
        </is>
      </c>
      <c r="D666" t="n">
        <v>2</v>
      </c>
      <c r="E666" t="n">
        <v>1</v>
      </c>
      <c r="F666" t="n">
        <v>2</v>
      </c>
      <c r="G666" t="inlineStr">
        <is>
          <t>07:15</t>
        </is>
      </c>
      <c r="H666" t="inlineStr">
        <is>
          <t>08:00</t>
        </is>
      </c>
      <c r="I666" t="inlineStr">
        <is>
          <t>AREAS_MULTIPLES</t>
        </is>
      </c>
      <c r="J666" t="inlineStr">
        <is>
          <t>0202</t>
        </is>
      </c>
      <c r="K666" t="inlineStr">
        <is>
          <t>ÁREAS MÚLTIPLES</t>
        </is>
      </c>
      <c r="L666" t="inlineStr"/>
      <c r="M666" t="inlineStr"/>
      <c r="N666" t="inlineStr"/>
      <c r="O666" t="inlineStr">
        <is>
          <t>Maestro de aula: todas las áreas con su grupo</t>
        </is>
      </c>
      <c r="P666" t="inlineStr"/>
      <c r="Q666">
        <f>IF(I666="ENFASIS","ÉNFASIS "&amp;M666,IFERROR(VLOOKUP(J666,Grupos!$A$2:$D$100,4,FALSE),J666))</f>
        <v/>
      </c>
      <c r="R666">
        <f>O666&amp;IF(N666&lt;&gt;"",IF(O666&lt;&gt;""," · ","")&amp;"Con: "&amp;N666,"")</f>
        <v/>
      </c>
      <c r="S666">
        <f>C666&amp;"|"&amp;D666</f>
        <v/>
      </c>
      <c r="T666">
        <f>COUNTIF($S$2:S666,S666)</f>
        <v/>
      </c>
      <c r="U666">
        <f>S666&amp;"|"&amp;T666</f>
        <v/>
      </c>
      <c r="V666">
        <f>IFERROR(VLOOKUP(IF(I666="ENFASIS",LEFT(M666,FIND("+",M666&amp;"+")-1),J666),Direccion_Grupo!$A$2:$G$100,7,FALSE),"")</f>
        <v/>
      </c>
    </row>
    <row r="667">
      <c r="A667" t="n">
        <v>46</v>
      </c>
      <c r="B667" t="inlineStr">
        <is>
          <t>Tenorio Cuero Lucy Bivian</t>
        </is>
      </c>
      <c r="C667" t="inlineStr">
        <is>
          <t>MIERCOLES</t>
        </is>
      </c>
      <c r="D667" t="n">
        <v>2</v>
      </c>
      <c r="E667" t="n">
        <v>1</v>
      </c>
      <c r="F667" t="n">
        <v>2</v>
      </c>
      <c r="G667" t="inlineStr">
        <is>
          <t>07:15</t>
        </is>
      </c>
      <c r="H667" t="inlineStr">
        <is>
          <t>08:00</t>
        </is>
      </c>
      <c r="I667" t="inlineStr">
        <is>
          <t>AREAS_MULTIPLES</t>
        </is>
      </c>
      <c r="J667" t="inlineStr">
        <is>
          <t>0203</t>
        </is>
      </c>
      <c r="K667" t="inlineStr">
        <is>
          <t>ÁREAS MÚLTIPLES</t>
        </is>
      </c>
      <c r="L667" t="inlineStr"/>
      <c r="M667" t="inlineStr"/>
      <c r="N667" t="inlineStr"/>
      <c r="O667" t="inlineStr">
        <is>
          <t>Maestro de aula: todas las áreas con su grupo</t>
        </is>
      </c>
      <c r="P667" t="inlineStr"/>
      <c r="Q667">
        <f>IF(I667="ENFASIS","ÉNFASIS "&amp;M667,IFERROR(VLOOKUP(J667,Grupos!$A$2:$D$100,4,FALSE),J667))</f>
        <v/>
      </c>
      <c r="R667">
        <f>O667&amp;IF(N667&lt;&gt;"",IF(O667&lt;&gt;""," · ","")&amp;"Con: "&amp;N667,"")</f>
        <v/>
      </c>
      <c r="S667">
        <f>C667&amp;"|"&amp;D667</f>
        <v/>
      </c>
      <c r="T667">
        <f>COUNTIF($S$2:S667,S667)</f>
        <v/>
      </c>
      <c r="U667">
        <f>S667&amp;"|"&amp;T667</f>
        <v/>
      </c>
      <c r="V667">
        <f>IFERROR(VLOOKUP(IF(I667="ENFASIS",LEFT(M667,FIND("+",M667&amp;"+")-1),J667),Direccion_Grupo!$A$2:$G$100,7,FALSE),"")</f>
        <v/>
      </c>
    </row>
    <row r="668">
      <c r="A668" t="n">
        <v>48</v>
      </c>
      <c r="B668" t="inlineStr">
        <is>
          <t>Torres Segura Encarnación</t>
        </is>
      </c>
      <c r="C668" t="inlineStr">
        <is>
          <t>MIERCOLES</t>
        </is>
      </c>
      <c r="D668" t="n">
        <v>2</v>
      </c>
      <c r="E668" t="n">
        <v>1</v>
      </c>
      <c r="F668" t="n">
        <v>2</v>
      </c>
      <c r="G668" t="inlineStr">
        <is>
          <t>07:15</t>
        </is>
      </c>
      <c r="H668" t="inlineStr">
        <is>
          <t>08:00</t>
        </is>
      </c>
      <c r="I668" t="inlineStr">
        <is>
          <t>AREAS_MULTIPLES</t>
        </is>
      </c>
      <c r="J668" t="inlineStr">
        <is>
          <t>0301</t>
        </is>
      </c>
      <c r="K668" t="inlineStr">
        <is>
          <t>ÁREAS MÚLTIPLES</t>
        </is>
      </c>
      <c r="L668" t="inlineStr"/>
      <c r="M668" t="inlineStr"/>
      <c r="N668" t="inlineStr"/>
      <c r="O668" t="inlineStr">
        <is>
          <t>Maestro de aula: todas las áreas con su grupo</t>
        </is>
      </c>
      <c r="P668" t="inlineStr"/>
      <c r="Q668">
        <f>IF(I668="ENFASIS","ÉNFASIS "&amp;M668,IFERROR(VLOOKUP(J668,Grupos!$A$2:$D$100,4,FALSE),J668))</f>
        <v/>
      </c>
      <c r="R668">
        <f>O668&amp;IF(N668&lt;&gt;"",IF(O668&lt;&gt;""," · ","")&amp;"Con: "&amp;N668,"")</f>
        <v/>
      </c>
      <c r="S668">
        <f>C668&amp;"|"&amp;D668</f>
        <v/>
      </c>
      <c r="T668">
        <f>COUNTIF($S$2:S668,S668)</f>
        <v/>
      </c>
      <c r="U668">
        <f>S668&amp;"|"&amp;T668</f>
        <v/>
      </c>
      <c r="V668">
        <f>IFERROR(VLOOKUP(IF(I668="ENFASIS",LEFT(M668,FIND("+",M668&amp;"+")-1),J668),Direccion_Grupo!$A$2:$G$100,7,FALSE),"")</f>
        <v/>
      </c>
    </row>
    <row r="669">
      <c r="A669" t="n">
        <v>24</v>
      </c>
      <c r="B669" t="inlineStr">
        <is>
          <t>Landázuri Gallón Teresa</t>
        </is>
      </c>
      <c r="C669" t="inlineStr">
        <is>
          <t>MIERCOLES</t>
        </is>
      </c>
      <c r="D669" t="n">
        <v>2</v>
      </c>
      <c r="E669" t="n">
        <v>1</v>
      </c>
      <c r="F669" t="n">
        <v>2</v>
      </c>
      <c r="G669" t="inlineStr">
        <is>
          <t>07:15</t>
        </is>
      </c>
      <c r="H669" t="inlineStr">
        <is>
          <t>08:00</t>
        </is>
      </c>
      <c r="I669" t="inlineStr">
        <is>
          <t>AREAS_MULTIPLES</t>
        </is>
      </c>
      <c r="J669" t="inlineStr">
        <is>
          <t>0302</t>
        </is>
      </c>
      <c r="K669" t="inlineStr">
        <is>
          <t>ÁREAS MÚLTIPLES</t>
        </is>
      </c>
      <c r="L669" t="inlineStr"/>
      <c r="M669" t="inlineStr"/>
      <c r="N669" t="inlineStr"/>
      <c r="O669" t="inlineStr">
        <is>
          <t>Maestro de aula: todas las áreas con su grupo</t>
        </is>
      </c>
      <c r="P669" t="inlineStr"/>
      <c r="Q669">
        <f>IF(I669="ENFASIS","ÉNFASIS "&amp;M669,IFERROR(VLOOKUP(J669,Grupos!$A$2:$D$100,4,FALSE),J669))</f>
        <v/>
      </c>
      <c r="R669">
        <f>O669&amp;IF(N669&lt;&gt;"",IF(O669&lt;&gt;""," · ","")&amp;"Con: "&amp;N669,"")</f>
        <v/>
      </c>
      <c r="S669">
        <f>C669&amp;"|"&amp;D669</f>
        <v/>
      </c>
      <c r="T669">
        <f>COUNTIF($S$2:S669,S669)</f>
        <v/>
      </c>
      <c r="U669">
        <f>S669&amp;"|"&amp;T669</f>
        <v/>
      </c>
      <c r="V669">
        <f>IFERROR(VLOOKUP(IF(I669="ENFASIS",LEFT(M669,FIND("+",M669&amp;"+")-1),J669),Direccion_Grupo!$A$2:$G$100,7,FALSE),"")</f>
        <v/>
      </c>
    </row>
    <row r="670">
      <c r="A670" t="n">
        <v>55</v>
      </c>
      <c r="B670" t="inlineStr">
        <is>
          <t>Zamora Ordóñez Celia Pastora</t>
        </is>
      </c>
      <c r="C670" t="inlineStr">
        <is>
          <t>MIERCOLES</t>
        </is>
      </c>
      <c r="D670" t="n">
        <v>2</v>
      </c>
      <c r="E670" t="n">
        <v>1</v>
      </c>
      <c r="F670" t="n">
        <v>2</v>
      </c>
      <c r="G670" t="inlineStr">
        <is>
          <t>07:15</t>
        </is>
      </c>
      <c r="H670" t="inlineStr">
        <is>
          <t>08:00</t>
        </is>
      </c>
      <c r="I670" t="inlineStr">
        <is>
          <t>AREAS_MULTIPLES</t>
        </is>
      </c>
      <c r="J670" t="inlineStr">
        <is>
          <t>0401</t>
        </is>
      </c>
      <c r="K670" t="inlineStr">
        <is>
          <t>ÁREAS MÚLTIPLES</t>
        </is>
      </c>
      <c r="L670" t="inlineStr"/>
      <c r="M670" t="inlineStr"/>
      <c r="N670" t="inlineStr"/>
      <c r="O670" t="inlineStr">
        <is>
          <t>Maestro de aula: todas las áreas con su grupo</t>
        </is>
      </c>
      <c r="P670" t="inlineStr"/>
      <c r="Q670">
        <f>IF(I670="ENFASIS","ÉNFASIS "&amp;M670,IFERROR(VLOOKUP(J670,Grupos!$A$2:$D$100,4,FALSE),J670))</f>
        <v/>
      </c>
      <c r="R670">
        <f>O670&amp;IF(N670&lt;&gt;"",IF(O670&lt;&gt;""," · ","")&amp;"Con: "&amp;N670,"")</f>
        <v/>
      </c>
      <c r="S670">
        <f>C670&amp;"|"&amp;D670</f>
        <v/>
      </c>
      <c r="T670">
        <f>COUNTIF($S$2:S670,S670)</f>
        <v/>
      </c>
      <c r="U670">
        <f>S670&amp;"|"&amp;T670</f>
        <v/>
      </c>
      <c r="V670">
        <f>IFERROR(VLOOKUP(IF(I670="ENFASIS",LEFT(M670,FIND("+",M670&amp;"+")-1),J670),Direccion_Grupo!$A$2:$G$100,7,FALSE),"")</f>
        <v/>
      </c>
    </row>
    <row r="671">
      <c r="A671" t="n">
        <v>33</v>
      </c>
      <c r="B671" t="inlineStr">
        <is>
          <t>Núñez Perlaza Elcy</t>
        </is>
      </c>
      <c r="C671" t="inlineStr">
        <is>
          <t>MIERCOLES</t>
        </is>
      </c>
      <c r="D671" t="n">
        <v>2</v>
      </c>
      <c r="E671" t="n">
        <v>1</v>
      </c>
      <c r="F671" t="n">
        <v>2</v>
      </c>
      <c r="G671" t="inlineStr">
        <is>
          <t>07:15</t>
        </is>
      </c>
      <c r="H671" t="inlineStr">
        <is>
          <t>08:00</t>
        </is>
      </c>
      <c r="I671" t="inlineStr">
        <is>
          <t>AREAS_MULTIPLES</t>
        </is>
      </c>
      <c r="J671" t="inlineStr">
        <is>
          <t>0402</t>
        </is>
      </c>
      <c r="K671" t="inlineStr">
        <is>
          <t>ÁREAS MÚLTIPLES</t>
        </is>
      </c>
      <c r="L671" t="inlineStr"/>
      <c r="M671" t="inlineStr"/>
      <c r="N671" t="inlineStr"/>
      <c r="O671" t="inlineStr">
        <is>
          <t>Maestro de aula: todas las áreas con su grupo</t>
        </is>
      </c>
      <c r="P671" t="inlineStr"/>
      <c r="Q671">
        <f>IF(I671="ENFASIS","ÉNFASIS "&amp;M671,IFERROR(VLOOKUP(J671,Grupos!$A$2:$D$100,4,FALSE),J671))</f>
        <v/>
      </c>
      <c r="R671">
        <f>O671&amp;IF(N671&lt;&gt;"",IF(O671&lt;&gt;""," · ","")&amp;"Con: "&amp;N671,"")</f>
        <v/>
      </c>
      <c r="S671">
        <f>C671&amp;"|"&amp;D671</f>
        <v/>
      </c>
      <c r="T671">
        <f>COUNTIF($S$2:S671,S671)</f>
        <v/>
      </c>
      <c r="U671">
        <f>S671&amp;"|"&amp;T671</f>
        <v/>
      </c>
      <c r="V671">
        <f>IFERROR(VLOOKUP(IF(I671="ENFASIS",LEFT(M671,FIND("+",M671&amp;"+")-1),J671),Direccion_Grupo!$A$2:$G$100,7,FALSE),"")</f>
        <v/>
      </c>
    </row>
    <row r="672">
      <c r="A672" t="n">
        <v>14</v>
      </c>
      <c r="B672" t="inlineStr">
        <is>
          <t>Cuéllar Gallo Nemesia</t>
        </is>
      </c>
      <c r="C672" t="inlineStr">
        <is>
          <t>MIERCOLES</t>
        </is>
      </c>
      <c r="D672" t="n">
        <v>2</v>
      </c>
      <c r="E672" t="n">
        <v>1</v>
      </c>
      <c r="F672" t="n">
        <v>2</v>
      </c>
      <c r="G672" t="inlineStr">
        <is>
          <t>07:15</t>
        </is>
      </c>
      <c r="H672" t="inlineStr">
        <is>
          <t>08:00</t>
        </is>
      </c>
      <c r="I672" t="inlineStr">
        <is>
          <t>AREAS_MULTIPLES</t>
        </is>
      </c>
      <c r="J672" t="inlineStr">
        <is>
          <t>0501</t>
        </is>
      </c>
      <c r="K672" t="inlineStr">
        <is>
          <t>ÁREAS MÚLTIPLES</t>
        </is>
      </c>
      <c r="L672" t="inlineStr"/>
      <c r="M672" t="inlineStr"/>
      <c r="N672" t="inlineStr"/>
      <c r="O672" t="inlineStr">
        <is>
          <t>Maestro de aula: todas las áreas con su grupo</t>
        </is>
      </c>
      <c r="P672" t="inlineStr"/>
      <c r="Q672">
        <f>IF(I672="ENFASIS","ÉNFASIS "&amp;M672,IFERROR(VLOOKUP(J672,Grupos!$A$2:$D$100,4,FALSE),J672))</f>
        <v/>
      </c>
      <c r="R672">
        <f>O672&amp;IF(N672&lt;&gt;"",IF(O672&lt;&gt;""," · ","")&amp;"Con: "&amp;N672,"")</f>
        <v/>
      </c>
      <c r="S672">
        <f>C672&amp;"|"&amp;D672</f>
        <v/>
      </c>
      <c r="T672">
        <f>COUNTIF($S$2:S672,S672)</f>
        <v/>
      </c>
      <c r="U672">
        <f>S672&amp;"|"&amp;T672</f>
        <v/>
      </c>
      <c r="V672">
        <f>IFERROR(VLOOKUP(IF(I672="ENFASIS",LEFT(M672,FIND("+",M672&amp;"+")-1),J672),Direccion_Grupo!$A$2:$G$100,7,FALSE),"")</f>
        <v/>
      </c>
    </row>
    <row r="673">
      <c r="A673" t="n">
        <v>11</v>
      </c>
      <c r="B673" t="inlineStr">
        <is>
          <t>Centeno Zúñiga Claudia Patricia</t>
        </is>
      </c>
      <c r="C673" t="inlineStr">
        <is>
          <t>MIERCOLES</t>
        </is>
      </c>
      <c r="D673" t="n">
        <v>2</v>
      </c>
      <c r="E673" t="n">
        <v>1</v>
      </c>
      <c r="F673" t="n">
        <v>2</v>
      </c>
      <c r="G673" t="inlineStr">
        <is>
          <t>07:15</t>
        </is>
      </c>
      <c r="H673" t="inlineStr">
        <is>
          <t>08:00</t>
        </is>
      </c>
      <c r="I673" t="inlineStr">
        <is>
          <t>AREAS_MULTIPLES</t>
        </is>
      </c>
      <c r="J673" t="inlineStr">
        <is>
          <t>0502</t>
        </is>
      </c>
      <c r="K673" t="inlineStr">
        <is>
          <t>ÁREAS MÚLTIPLES</t>
        </is>
      </c>
      <c r="L673" t="inlineStr"/>
      <c r="M673" t="inlineStr"/>
      <c r="N673" t="inlineStr"/>
      <c r="O673" t="inlineStr">
        <is>
          <t>Maestro de aula: todas las áreas con su grupo</t>
        </is>
      </c>
      <c r="P673" t="inlineStr"/>
      <c r="Q673">
        <f>IF(I673="ENFASIS","ÉNFASIS "&amp;M673,IFERROR(VLOOKUP(J673,Grupos!$A$2:$D$100,4,FALSE),J673))</f>
        <v/>
      </c>
      <c r="R673">
        <f>O673&amp;IF(N673&lt;&gt;"",IF(O673&lt;&gt;""," · ","")&amp;"Con: "&amp;N673,"")</f>
        <v/>
      </c>
      <c r="S673">
        <f>C673&amp;"|"&amp;D673</f>
        <v/>
      </c>
      <c r="T673">
        <f>COUNTIF($S$2:S673,S673)</f>
        <v/>
      </c>
      <c r="U673">
        <f>S673&amp;"|"&amp;T673</f>
        <v/>
      </c>
      <c r="V673">
        <f>IFERROR(VLOOKUP(IF(I673="ENFASIS",LEFT(M673,FIND("+",M673&amp;"+")-1),J673),Direccion_Grupo!$A$2:$G$100,7,FALSE),"")</f>
        <v/>
      </c>
    </row>
    <row r="674">
      <c r="A674" t="n">
        <v>32</v>
      </c>
      <c r="B674" t="inlineStr">
        <is>
          <t>Narváez Sánchez Dora Alejandra</t>
        </is>
      </c>
      <c r="C674" t="inlineStr">
        <is>
          <t>MIERCOLES</t>
        </is>
      </c>
      <c r="D674" t="n">
        <v>2</v>
      </c>
      <c r="E674" t="n">
        <v>1</v>
      </c>
      <c r="F674" t="n">
        <v>2</v>
      </c>
      <c r="G674" t="inlineStr">
        <is>
          <t>07:15</t>
        </is>
      </c>
      <c r="H674" t="inlineStr">
        <is>
          <t>08:00</t>
        </is>
      </c>
      <c r="I674" t="inlineStr">
        <is>
          <t>AREAS_MULTIPLES</t>
        </is>
      </c>
      <c r="J674" t="inlineStr">
        <is>
          <t>0503</t>
        </is>
      </c>
      <c r="K674" t="inlineStr">
        <is>
          <t>ÁREAS MÚLTIPLES</t>
        </is>
      </c>
      <c r="L674" t="inlineStr"/>
      <c r="M674" t="inlineStr"/>
      <c r="N674" t="inlineStr"/>
      <c r="O674" t="inlineStr">
        <is>
          <t>Maestro de aula: todas las áreas con su grupo</t>
        </is>
      </c>
      <c r="P674" t="inlineStr"/>
      <c r="Q674">
        <f>IF(I674="ENFASIS","ÉNFASIS "&amp;M674,IFERROR(VLOOKUP(J674,Grupos!$A$2:$D$100,4,FALSE),J674))</f>
        <v/>
      </c>
      <c r="R674">
        <f>O674&amp;IF(N674&lt;&gt;"",IF(O674&lt;&gt;""," · ","")&amp;"Con: "&amp;N674,"")</f>
        <v/>
      </c>
      <c r="S674">
        <f>C674&amp;"|"&amp;D674</f>
        <v/>
      </c>
      <c r="T674">
        <f>COUNTIF($S$2:S674,S674)</f>
        <v/>
      </c>
      <c r="U674">
        <f>S674&amp;"|"&amp;T674</f>
        <v/>
      </c>
      <c r="V674">
        <f>IFERROR(VLOOKUP(IF(I674="ENFASIS",LEFT(M674,FIND("+",M674&amp;"+")-1),J674),Direccion_Grupo!$A$2:$G$100,7,FALSE),"")</f>
        <v/>
      </c>
    </row>
    <row r="675">
      <c r="A675" t="n">
        <v>17</v>
      </c>
      <c r="B675" t="inlineStr">
        <is>
          <t>Escobar Cortés Liliana</t>
        </is>
      </c>
      <c r="C675" t="inlineStr">
        <is>
          <t>MIERCOLES</t>
        </is>
      </c>
      <c r="D675" t="n">
        <v>2</v>
      </c>
      <c r="E675" t="n">
        <v>1</v>
      </c>
      <c r="F675" t="n">
        <v>2</v>
      </c>
      <c r="G675" t="inlineStr">
        <is>
          <t>07:15</t>
        </is>
      </c>
      <c r="H675" t="inlineStr">
        <is>
          <t>08:00</t>
        </is>
      </c>
      <c r="I675" t="inlineStr">
        <is>
          <t>AREAS_MULTIPLES</t>
        </is>
      </c>
      <c r="J675" t="inlineStr">
        <is>
          <t>0504</t>
        </is>
      </c>
      <c r="K675" t="inlineStr">
        <is>
          <t>ÁREAS MÚLTIPLES</t>
        </is>
      </c>
      <c r="L675" t="inlineStr"/>
      <c r="M675" t="inlineStr"/>
      <c r="N675" t="inlineStr"/>
      <c r="O675" t="inlineStr">
        <is>
          <t>Maestro de aula: todas las áreas con su grupo</t>
        </is>
      </c>
      <c r="P675" t="inlineStr"/>
      <c r="Q675">
        <f>IF(I675="ENFASIS","ÉNFASIS "&amp;M675,IFERROR(VLOOKUP(J675,Grupos!$A$2:$D$100,4,FALSE),J675))</f>
        <v/>
      </c>
      <c r="R675">
        <f>O675&amp;IF(N675&lt;&gt;"",IF(O675&lt;&gt;""," · ","")&amp;"Con: "&amp;N675,"")</f>
        <v/>
      </c>
      <c r="S675">
        <f>C675&amp;"|"&amp;D675</f>
        <v/>
      </c>
      <c r="T675">
        <f>COUNTIF($S$2:S675,S675)</f>
        <v/>
      </c>
      <c r="U675">
        <f>S675&amp;"|"&amp;T675</f>
        <v/>
      </c>
      <c r="V675">
        <f>IFERROR(VLOOKUP(IF(I675="ENFASIS",LEFT(M675,FIND("+",M675&amp;"+")-1),J675),Direccion_Grupo!$A$2:$G$100,7,FALSE),"")</f>
        <v/>
      </c>
    </row>
    <row r="676">
      <c r="A676" t="n">
        <v>37</v>
      </c>
      <c r="B676" t="inlineStr">
        <is>
          <t>Prado Quiñones Genís Maribel</t>
        </is>
      </c>
      <c r="C676" t="inlineStr">
        <is>
          <t>MIERCOLES</t>
        </is>
      </c>
      <c r="D676" t="n">
        <v>2</v>
      </c>
      <c r="E676" t="n">
        <v>1</v>
      </c>
      <c r="F676" t="n">
        <v>2</v>
      </c>
      <c r="G676" t="inlineStr">
        <is>
          <t>07:15</t>
        </is>
      </c>
      <c r="H676" t="inlineStr">
        <is>
          <t>08:00</t>
        </is>
      </c>
      <c r="I676" t="inlineStr">
        <is>
          <t>CLASE</t>
        </is>
      </c>
      <c r="J676" t="inlineStr">
        <is>
          <t>0601</t>
        </is>
      </c>
      <c r="K676" t="inlineStr">
        <is>
          <t>ART</t>
        </is>
      </c>
      <c r="L676" t="inlineStr"/>
      <c r="M676" t="inlineStr"/>
      <c r="N676" t="inlineStr"/>
      <c r="O676" t="inlineStr"/>
      <c r="P676" t="inlineStr">
        <is>
          <t>0601-ART</t>
        </is>
      </c>
      <c r="Q676">
        <f>IF(I676="ENFASIS","ÉNFASIS "&amp;M676,IFERROR(VLOOKUP(J676,Grupos!$A$2:$D$100,4,FALSE),J676))</f>
        <v/>
      </c>
      <c r="R676">
        <f>O676&amp;IF(N676&lt;&gt;"",IF(O676&lt;&gt;""," · ","")&amp;"Con: "&amp;N676,"")</f>
        <v/>
      </c>
      <c r="S676">
        <f>C676&amp;"|"&amp;D676</f>
        <v/>
      </c>
      <c r="T676">
        <f>COUNTIF($S$2:S676,S676)</f>
        <v/>
      </c>
      <c r="U676">
        <f>S676&amp;"|"&amp;T676</f>
        <v/>
      </c>
      <c r="V676">
        <f>IFERROR(VLOOKUP(IF(I676="ENFASIS",LEFT(M676,FIND("+",M676&amp;"+")-1),J676),Direccion_Grupo!$A$2:$G$100,7,FALSE),"")</f>
        <v/>
      </c>
    </row>
    <row r="677">
      <c r="A677" t="n">
        <v>57</v>
      </c>
      <c r="B677" t="inlineStr">
        <is>
          <t>Armero Dájome Jesús</t>
        </is>
      </c>
      <c r="C677" t="inlineStr">
        <is>
          <t>MIERCOLES</t>
        </is>
      </c>
      <c r="D677" t="n">
        <v>2</v>
      </c>
      <c r="E677" t="n">
        <v>1</v>
      </c>
      <c r="F677" t="n">
        <v>2</v>
      </c>
      <c r="G677" t="inlineStr">
        <is>
          <t>07:15</t>
        </is>
      </c>
      <c r="H677" t="inlineStr">
        <is>
          <t>08:00</t>
        </is>
      </c>
      <c r="I677" t="inlineStr">
        <is>
          <t>CLASE</t>
        </is>
      </c>
      <c r="J677" t="inlineStr">
        <is>
          <t>0602</t>
        </is>
      </c>
      <c r="K677" t="inlineStr">
        <is>
          <t>ERD</t>
        </is>
      </c>
      <c r="L677" t="inlineStr"/>
      <c r="M677" t="inlineStr"/>
      <c r="N677" t="inlineStr"/>
      <c r="O677" t="inlineStr"/>
      <c r="P677" t="inlineStr">
        <is>
          <t>0602-ERD</t>
        </is>
      </c>
      <c r="Q677">
        <f>IF(I677="ENFASIS","ÉNFASIS "&amp;M677,IFERROR(VLOOKUP(J677,Grupos!$A$2:$D$100,4,FALSE),J677))</f>
        <v/>
      </c>
      <c r="R677">
        <f>O677&amp;IF(N677&lt;&gt;"",IF(O677&lt;&gt;""," · ","")&amp;"Con: "&amp;N677,"")</f>
        <v/>
      </c>
      <c r="S677">
        <f>C677&amp;"|"&amp;D677</f>
        <v/>
      </c>
      <c r="T677">
        <f>COUNTIF($S$2:S677,S677)</f>
        <v/>
      </c>
      <c r="U677">
        <f>S677&amp;"|"&amp;T677</f>
        <v/>
      </c>
      <c r="V677">
        <f>IFERROR(VLOOKUP(IF(I677="ENFASIS",LEFT(M677,FIND("+",M677&amp;"+")-1),J677),Direccion_Grupo!$A$2:$G$100,7,FALSE),"")</f>
        <v/>
      </c>
    </row>
    <row r="678">
      <c r="A678" t="n">
        <v>34</v>
      </c>
      <c r="B678" t="inlineStr">
        <is>
          <t>Ordóñez Tenorio Jaime Marcial</t>
        </is>
      </c>
      <c r="C678" t="inlineStr">
        <is>
          <t>MIERCOLES</t>
        </is>
      </c>
      <c r="D678" t="n">
        <v>2</v>
      </c>
      <c r="E678" t="n">
        <v>1</v>
      </c>
      <c r="F678" t="n">
        <v>2</v>
      </c>
      <c r="G678" t="inlineStr">
        <is>
          <t>07:15</t>
        </is>
      </c>
      <c r="H678" t="inlineStr">
        <is>
          <t>08:00</t>
        </is>
      </c>
      <c r="I678" t="inlineStr">
        <is>
          <t>CLASE</t>
        </is>
      </c>
      <c r="J678" t="inlineStr">
        <is>
          <t>0704</t>
        </is>
      </c>
      <c r="K678" t="inlineStr">
        <is>
          <t>CNA</t>
        </is>
      </c>
      <c r="L678" t="inlineStr"/>
      <c r="M678" t="inlineStr"/>
      <c r="N678" t="inlineStr"/>
      <c r="O678" t="inlineStr"/>
      <c r="P678" t="inlineStr">
        <is>
          <t>0704-CNA</t>
        </is>
      </c>
      <c r="Q678">
        <f>IF(I678="ENFASIS","ÉNFASIS "&amp;M678,IFERROR(VLOOKUP(J678,Grupos!$A$2:$D$100,4,FALSE),J678))</f>
        <v/>
      </c>
      <c r="R678">
        <f>O678&amp;IF(N678&lt;&gt;"",IF(O678&lt;&gt;""," · ","")&amp;"Con: "&amp;N678,"")</f>
        <v/>
      </c>
      <c r="S678">
        <f>C678&amp;"|"&amp;D678</f>
        <v/>
      </c>
      <c r="T678">
        <f>COUNTIF($S$2:S678,S678)</f>
        <v/>
      </c>
      <c r="U678">
        <f>S678&amp;"|"&amp;T678</f>
        <v/>
      </c>
      <c r="V678">
        <f>IFERROR(VLOOKUP(IF(I678="ENFASIS",LEFT(M678,FIND("+",M678&amp;"+")-1),J678),Direccion_Grupo!$A$2:$G$100,7,FALSE),"")</f>
        <v/>
      </c>
    </row>
    <row r="679">
      <c r="A679" t="n">
        <v>51</v>
      </c>
      <c r="B679" t="inlineStr">
        <is>
          <t>Valverde Montaño María Teresa</t>
        </is>
      </c>
      <c r="C679" t="inlineStr">
        <is>
          <t>MIERCOLES</t>
        </is>
      </c>
      <c r="D679" t="n">
        <v>2</v>
      </c>
      <c r="E679" t="n">
        <v>1</v>
      </c>
      <c r="F679" t="n">
        <v>2</v>
      </c>
      <c r="G679" t="inlineStr">
        <is>
          <t>07:15</t>
        </is>
      </c>
      <c r="H679" t="inlineStr">
        <is>
          <t>08:00</t>
        </is>
      </c>
      <c r="I679" t="inlineStr">
        <is>
          <t>CLASE</t>
        </is>
      </c>
      <c r="J679" t="inlineStr">
        <is>
          <t>0801</t>
        </is>
      </c>
      <c r="K679" t="inlineStr">
        <is>
          <t>CAS</t>
        </is>
      </c>
      <c r="L679" t="inlineStr"/>
      <c r="M679" t="inlineStr"/>
      <c r="N679" t="inlineStr"/>
      <c r="O679" t="inlineStr"/>
      <c r="P679" t="inlineStr">
        <is>
          <t>0801-CAS</t>
        </is>
      </c>
      <c r="Q679">
        <f>IF(I679="ENFASIS","ÉNFASIS "&amp;M679,IFERROR(VLOOKUP(J679,Grupos!$A$2:$D$100,4,FALSE),J679))</f>
        <v/>
      </c>
      <c r="R679">
        <f>O679&amp;IF(N679&lt;&gt;"",IF(O679&lt;&gt;""," · ","")&amp;"Con: "&amp;N679,"")</f>
        <v/>
      </c>
      <c r="S679">
        <f>C679&amp;"|"&amp;D679</f>
        <v/>
      </c>
      <c r="T679">
        <f>COUNTIF($S$2:S679,S679)</f>
        <v/>
      </c>
      <c r="U679">
        <f>S679&amp;"|"&amp;T679</f>
        <v/>
      </c>
      <c r="V679">
        <f>IFERROR(VLOOKUP(IF(I679="ENFASIS",LEFT(M679,FIND("+",M679&amp;"+")-1),J679),Direccion_Grupo!$A$2:$G$100,7,FALSE),"")</f>
        <v/>
      </c>
    </row>
    <row r="680">
      <c r="A680" t="n">
        <v>19</v>
      </c>
      <c r="B680" t="inlineStr">
        <is>
          <t>Fernández Vélez Alfredo Enrique</t>
        </is>
      </c>
      <c r="C680" t="inlineStr">
        <is>
          <t>MIERCOLES</t>
        </is>
      </c>
      <c r="D680" t="n">
        <v>2</v>
      </c>
      <c r="E680" t="n">
        <v>1</v>
      </c>
      <c r="F680" t="n">
        <v>2</v>
      </c>
      <c r="G680" t="inlineStr">
        <is>
          <t>07:15</t>
        </is>
      </c>
      <c r="H680" t="inlineStr">
        <is>
          <t>08:00</t>
        </is>
      </c>
      <c r="I680" t="inlineStr">
        <is>
          <t>CLASE</t>
        </is>
      </c>
      <c r="J680" t="inlineStr">
        <is>
          <t>0802</t>
        </is>
      </c>
      <c r="K680" t="inlineStr">
        <is>
          <t>TEI</t>
        </is>
      </c>
      <c r="L680" t="inlineStr"/>
      <c r="M680" t="inlineStr"/>
      <c r="N680" t="inlineStr"/>
      <c r="O680" t="inlineStr"/>
      <c r="P680" t="inlineStr">
        <is>
          <t>0802-TEI</t>
        </is>
      </c>
      <c r="Q680">
        <f>IF(I680="ENFASIS","ÉNFASIS "&amp;M680,IFERROR(VLOOKUP(J680,Grupos!$A$2:$D$100,4,FALSE),J680))</f>
        <v/>
      </c>
      <c r="R680">
        <f>O680&amp;IF(N680&lt;&gt;"",IF(O680&lt;&gt;""," · ","")&amp;"Con: "&amp;N680,"")</f>
        <v/>
      </c>
      <c r="S680">
        <f>C680&amp;"|"&amp;D680</f>
        <v/>
      </c>
      <c r="T680">
        <f>COUNTIF($S$2:S680,S680)</f>
        <v/>
      </c>
      <c r="U680">
        <f>S680&amp;"|"&amp;T680</f>
        <v/>
      </c>
      <c r="V680">
        <f>IFERROR(VLOOKUP(IF(I680="ENFASIS",LEFT(M680,FIND("+",M680&amp;"+")-1),J680),Direccion_Grupo!$A$2:$G$100,7,FALSE),"")</f>
        <v/>
      </c>
    </row>
    <row r="681">
      <c r="A681" t="n">
        <v>5</v>
      </c>
      <c r="B681" t="inlineStr">
        <is>
          <t>Bastidas Valencia Zeneida Judith</t>
        </is>
      </c>
      <c r="C681" t="inlineStr">
        <is>
          <t>MIERCOLES</t>
        </is>
      </c>
      <c r="D681" t="n">
        <v>2</v>
      </c>
      <c r="E681" t="n">
        <v>1</v>
      </c>
      <c r="F681" t="n">
        <v>2</v>
      </c>
      <c r="G681" t="inlineStr">
        <is>
          <t>07:15</t>
        </is>
      </c>
      <c r="H681" t="inlineStr">
        <is>
          <t>08:00</t>
        </is>
      </c>
      <c r="I681" t="inlineStr">
        <is>
          <t>CLASE</t>
        </is>
      </c>
      <c r="J681" t="inlineStr">
        <is>
          <t>0901</t>
        </is>
      </c>
      <c r="K681" t="inlineStr">
        <is>
          <t>MAT</t>
        </is>
      </c>
      <c r="L681" t="inlineStr"/>
      <c r="M681" t="inlineStr"/>
      <c r="N681" t="inlineStr"/>
      <c r="O681" t="inlineStr"/>
      <c r="P681" t="inlineStr">
        <is>
          <t>0901-MAT</t>
        </is>
      </c>
      <c r="Q681">
        <f>IF(I681="ENFASIS","ÉNFASIS "&amp;M681,IFERROR(VLOOKUP(J681,Grupos!$A$2:$D$100,4,FALSE),J681))</f>
        <v/>
      </c>
      <c r="R681">
        <f>O681&amp;IF(N681&lt;&gt;"",IF(O681&lt;&gt;""," · ","")&amp;"Con: "&amp;N681,"")</f>
        <v/>
      </c>
      <c r="S681">
        <f>C681&amp;"|"&amp;D681</f>
        <v/>
      </c>
      <c r="T681">
        <f>COUNTIF($S$2:S681,S681)</f>
        <v/>
      </c>
      <c r="U681">
        <f>S681&amp;"|"&amp;T681</f>
        <v/>
      </c>
      <c r="V681">
        <f>IFERROR(VLOOKUP(IF(I681="ENFASIS",LEFT(M681,FIND("+",M681&amp;"+")-1),J681),Direccion_Grupo!$A$2:$G$100,7,FALSE),"")</f>
        <v/>
      </c>
    </row>
    <row r="682">
      <c r="A682" t="n">
        <v>28</v>
      </c>
      <c r="B682" t="inlineStr">
        <is>
          <t>Meza Banguera Gladys Alicia</t>
        </is>
      </c>
      <c r="C682" t="inlineStr">
        <is>
          <t>MIERCOLES</t>
        </is>
      </c>
      <c r="D682" t="n">
        <v>2</v>
      </c>
      <c r="E682" t="n">
        <v>1</v>
      </c>
      <c r="F682" t="n">
        <v>2</v>
      </c>
      <c r="G682" t="inlineStr">
        <is>
          <t>07:15</t>
        </is>
      </c>
      <c r="H682" t="inlineStr">
        <is>
          <t>08:00</t>
        </is>
      </c>
      <c r="I682" t="inlineStr">
        <is>
          <t>CLASE</t>
        </is>
      </c>
      <c r="J682" t="inlineStr">
        <is>
          <t>0902</t>
        </is>
      </c>
      <c r="K682" t="inlineStr">
        <is>
          <t>CAS</t>
        </is>
      </c>
      <c r="L682" t="inlineStr"/>
      <c r="M682" t="inlineStr"/>
      <c r="N682" t="inlineStr"/>
      <c r="O682" t="inlineStr"/>
      <c r="P682" t="inlineStr">
        <is>
          <t>0902-CAS</t>
        </is>
      </c>
      <c r="Q682">
        <f>IF(I682="ENFASIS","ÉNFASIS "&amp;M682,IFERROR(VLOOKUP(J682,Grupos!$A$2:$D$100,4,FALSE),J682))</f>
        <v/>
      </c>
      <c r="R682">
        <f>O682&amp;IF(N682&lt;&gt;"",IF(O682&lt;&gt;""," · ","")&amp;"Con: "&amp;N682,"")</f>
        <v/>
      </c>
      <c r="S682">
        <f>C682&amp;"|"&amp;D682</f>
        <v/>
      </c>
      <c r="T682">
        <f>COUNTIF($S$2:S682,S682)</f>
        <v/>
      </c>
      <c r="U682">
        <f>S682&amp;"|"&amp;T682</f>
        <v/>
      </c>
      <c r="V682">
        <f>IFERROR(VLOOKUP(IF(I682="ENFASIS",LEFT(M682,FIND("+",M682&amp;"+")-1),J682),Direccion_Grupo!$A$2:$G$100,7,FALSE),"")</f>
        <v/>
      </c>
    </row>
    <row r="683">
      <c r="A683" t="n">
        <v>22</v>
      </c>
      <c r="B683" t="inlineStr">
        <is>
          <t>González Castillo Jólmer Jimy</t>
        </is>
      </c>
      <c r="C683" t="inlineStr">
        <is>
          <t>MIERCOLES</t>
        </is>
      </c>
      <c r="D683" t="n">
        <v>2</v>
      </c>
      <c r="E683" t="n">
        <v>1</v>
      </c>
      <c r="F683" t="n">
        <v>2</v>
      </c>
      <c r="G683" t="inlineStr">
        <is>
          <t>07:15</t>
        </is>
      </c>
      <c r="H683" t="inlineStr">
        <is>
          <t>08:00</t>
        </is>
      </c>
      <c r="I683" t="inlineStr">
        <is>
          <t>CLASE</t>
        </is>
      </c>
      <c r="J683" t="inlineStr">
        <is>
          <t>1001</t>
        </is>
      </c>
      <c r="K683" t="inlineStr">
        <is>
          <t>ERD</t>
        </is>
      </c>
      <c r="L683" t="inlineStr"/>
      <c r="M683" t="inlineStr"/>
      <c r="N683" t="inlineStr"/>
      <c r="O683" t="inlineStr"/>
      <c r="P683" t="inlineStr">
        <is>
          <t>1001-ERD</t>
        </is>
      </c>
      <c r="Q683">
        <f>IF(I683="ENFASIS","ÉNFASIS "&amp;M683,IFERROR(VLOOKUP(J683,Grupos!$A$2:$D$100,4,FALSE),J683))</f>
        <v/>
      </c>
      <c r="R683">
        <f>O683&amp;IF(N683&lt;&gt;"",IF(O683&lt;&gt;""," · ","")&amp;"Con: "&amp;N683,"")</f>
        <v/>
      </c>
      <c r="S683">
        <f>C683&amp;"|"&amp;D683</f>
        <v/>
      </c>
      <c r="T683">
        <f>COUNTIF($S$2:S683,S683)</f>
        <v/>
      </c>
      <c r="U683">
        <f>S683&amp;"|"&amp;T683</f>
        <v/>
      </c>
      <c r="V683">
        <f>IFERROR(VLOOKUP(IF(I683="ENFASIS",LEFT(M683,FIND("+",M683&amp;"+")-1),J683),Direccion_Grupo!$A$2:$G$100,7,FALSE),"")</f>
        <v/>
      </c>
    </row>
    <row r="684">
      <c r="A684" t="n">
        <v>53</v>
      </c>
      <c r="B684" t="inlineStr">
        <is>
          <t>Villota Rubio Héctor Hugo</t>
        </is>
      </c>
      <c r="C684" t="inlineStr">
        <is>
          <t>MIERCOLES</t>
        </is>
      </c>
      <c r="D684" t="n">
        <v>2</v>
      </c>
      <c r="E684" t="n">
        <v>1</v>
      </c>
      <c r="F684" t="n">
        <v>2</v>
      </c>
      <c r="G684" t="inlineStr">
        <is>
          <t>07:15</t>
        </is>
      </c>
      <c r="H684" t="inlineStr">
        <is>
          <t>08:00</t>
        </is>
      </c>
      <c r="I684" t="inlineStr">
        <is>
          <t>CLASE</t>
        </is>
      </c>
      <c r="J684" t="inlineStr">
        <is>
          <t>1002</t>
        </is>
      </c>
      <c r="K684" t="inlineStr">
        <is>
          <t>CNA</t>
        </is>
      </c>
      <c r="L684" t="inlineStr"/>
      <c r="M684" t="inlineStr"/>
      <c r="N684" t="inlineStr"/>
      <c r="O684" t="inlineStr"/>
      <c r="P684" t="inlineStr">
        <is>
          <t>1002-CNA</t>
        </is>
      </c>
      <c r="Q684">
        <f>IF(I684="ENFASIS","ÉNFASIS "&amp;M684,IFERROR(VLOOKUP(J684,Grupos!$A$2:$D$100,4,FALSE),J684))</f>
        <v/>
      </c>
      <c r="R684">
        <f>O684&amp;IF(N684&lt;&gt;"",IF(O684&lt;&gt;""," · ","")&amp;"Con: "&amp;N684,"")</f>
        <v/>
      </c>
      <c r="S684">
        <f>C684&amp;"|"&amp;D684</f>
        <v/>
      </c>
      <c r="T684">
        <f>COUNTIF($S$2:S684,S684)</f>
        <v/>
      </c>
      <c r="U684">
        <f>S684&amp;"|"&amp;T684</f>
        <v/>
      </c>
      <c r="V684">
        <f>IFERROR(VLOOKUP(IF(I684="ENFASIS",LEFT(M684,FIND("+",M684&amp;"+")-1),J684),Direccion_Grupo!$A$2:$G$100,7,FALSE),"")</f>
        <v/>
      </c>
    </row>
    <row r="685">
      <c r="A685" t="n">
        <v>31</v>
      </c>
      <c r="B685" t="inlineStr">
        <is>
          <t>Montaño Arizala Leidis Claudina</t>
        </is>
      </c>
      <c r="C685" t="inlineStr">
        <is>
          <t>MIERCOLES</t>
        </is>
      </c>
      <c r="D685" t="n">
        <v>2</v>
      </c>
      <c r="E685" t="n">
        <v>1</v>
      </c>
      <c r="F685" t="n">
        <v>2</v>
      </c>
      <c r="G685" t="inlineStr">
        <is>
          <t>07:15</t>
        </is>
      </c>
      <c r="H685" t="inlineStr">
        <is>
          <t>08:00</t>
        </is>
      </c>
      <c r="I685" t="inlineStr">
        <is>
          <t>CLASE</t>
        </is>
      </c>
      <c r="J685" t="inlineStr">
        <is>
          <t>1101</t>
        </is>
      </c>
      <c r="K685" t="inlineStr">
        <is>
          <t>ETR</t>
        </is>
      </c>
      <c r="L685" t="inlineStr"/>
      <c r="M685" t="inlineStr"/>
      <c r="N685" t="inlineStr"/>
      <c r="O685" t="inlineStr">
        <is>
          <t>Ética / Religión (alternan cada semana)</t>
        </is>
      </c>
      <c r="P685" t="inlineStr">
        <is>
          <t>1101-ETR</t>
        </is>
      </c>
      <c r="Q685">
        <f>IF(I685="ENFASIS","ÉNFASIS "&amp;M685,IFERROR(VLOOKUP(J685,Grupos!$A$2:$D$100,4,FALSE),J685))</f>
        <v/>
      </c>
      <c r="R685">
        <f>O685&amp;IF(N685&lt;&gt;"",IF(O685&lt;&gt;""," · ","")&amp;"Con: "&amp;N685,"")</f>
        <v/>
      </c>
      <c r="S685">
        <f>C685&amp;"|"&amp;D685</f>
        <v/>
      </c>
      <c r="T685">
        <f>COUNTIF($S$2:S685,S685)</f>
        <v/>
      </c>
      <c r="U685">
        <f>S685&amp;"|"&amp;T685</f>
        <v/>
      </c>
      <c r="V685">
        <f>IFERROR(VLOOKUP(IF(I685="ENFASIS",LEFT(M685,FIND("+",M685&amp;"+")-1),J685),Direccion_Grupo!$A$2:$G$100,7,FALSE),"")</f>
        <v/>
      </c>
    </row>
    <row r="686">
      <c r="A686" t="n">
        <v>3</v>
      </c>
      <c r="B686" t="inlineStr">
        <is>
          <t>Arboleda Ortiz Luz América</t>
        </is>
      </c>
      <c r="C686" t="inlineStr">
        <is>
          <t>MIERCOLES</t>
        </is>
      </c>
      <c r="D686" t="n">
        <v>2</v>
      </c>
      <c r="E686" t="n">
        <v>1</v>
      </c>
      <c r="F686" t="n">
        <v>2</v>
      </c>
      <c r="G686" t="inlineStr">
        <is>
          <t>07:15</t>
        </is>
      </c>
      <c r="H686" t="inlineStr">
        <is>
          <t>08:00</t>
        </is>
      </c>
      <c r="I686" t="inlineStr">
        <is>
          <t>CLASE</t>
        </is>
      </c>
      <c r="J686" t="inlineStr">
        <is>
          <t>1102</t>
        </is>
      </c>
      <c r="K686" t="inlineStr">
        <is>
          <t>ART</t>
        </is>
      </c>
      <c r="L686" t="inlineStr"/>
      <c r="M686" t="inlineStr"/>
      <c r="N686" t="inlineStr"/>
      <c r="O686" t="inlineStr"/>
      <c r="P686" t="inlineStr">
        <is>
          <t>1102-ART</t>
        </is>
      </c>
      <c r="Q686">
        <f>IF(I686="ENFASIS","ÉNFASIS "&amp;M686,IFERROR(VLOOKUP(J686,Grupos!$A$2:$D$100,4,FALSE),J686))</f>
        <v/>
      </c>
      <c r="R686">
        <f>O686&amp;IF(N686&lt;&gt;"",IF(O686&lt;&gt;""," · ","")&amp;"Con: "&amp;N686,"")</f>
        <v/>
      </c>
      <c r="S686">
        <f>C686&amp;"|"&amp;D686</f>
        <v/>
      </c>
      <c r="T686">
        <f>COUNTIF($S$2:S686,S686)</f>
        <v/>
      </c>
      <c r="U686">
        <f>S686&amp;"|"&amp;T686</f>
        <v/>
      </c>
      <c r="V686">
        <f>IFERROR(VLOOKUP(IF(I686="ENFASIS",LEFT(M686,FIND("+",M686&amp;"+")-1),J686),Direccion_Grupo!$A$2:$G$100,7,FALSE),"")</f>
        <v/>
      </c>
    </row>
    <row r="687">
      <c r="A687" t="n">
        <v>44</v>
      </c>
      <c r="B687" t="inlineStr">
        <is>
          <t>Samaniego Angulo Flor Mireya</t>
        </is>
      </c>
      <c r="C687" t="inlineStr">
        <is>
          <t>MIERCOLES</t>
        </is>
      </c>
      <c r="D687" t="n">
        <v>2</v>
      </c>
      <c r="E687" t="n">
        <v>1</v>
      </c>
      <c r="F687" t="n">
        <v>2</v>
      </c>
      <c r="G687" t="inlineStr">
        <is>
          <t>07:15</t>
        </is>
      </c>
      <c r="H687" t="inlineStr">
        <is>
          <t>08:00</t>
        </is>
      </c>
      <c r="I687" t="inlineStr">
        <is>
          <t>CLASE</t>
        </is>
      </c>
      <c r="J687" t="inlineStr">
        <is>
          <t>CS201</t>
        </is>
      </c>
      <c r="K687" t="inlineStr">
        <is>
          <t>ART</t>
        </is>
      </c>
      <c r="L687" t="inlineStr"/>
      <c r="M687" t="inlineStr"/>
      <c r="N687" t="inlineStr"/>
      <c r="O687" t="inlineStr"/>
      <c r="P687" t="inlineStr">
        <is>
          <t>CS201-ART</t>
        </is>
      </c>
      <c r="Q687">
        <f>IF(I687="ENFASIS","ÉNFASIS "&amp;M687,IFERROR(VLOOKUP(J687,Grupos!$A$2:$D$100,4,FALSE),J687))</f>
        <v/>
      </c>
      <c r="R687">
        <f>O687&amp;IF(N687&lt;&gt;"",IF(O687&lt;&gt;""," · ","")&amp;"Con: "&amp;N687,"")</f>
        <v/>
      </c>
      <c r="S687">
        <f>C687&amp;"|"&amp;D687</f>
        <v/>
      </c>
      <c r="T687">
        <f>COUNTIF($S$2:S687,S687)</f>
        <v/>
      </c>
      <c r="U687">
        <f>S687&amp;"|"&amp;T687</f>
        <v/>
      </c>
      <c r="V687">
        <f>IFERROR(VLOOKUP(IF(I687="ENFASIS",LEFT(M687,FIND("+",M687&amp;"+")-1),J687),Direccion_Grupo!$A$2:$G$100,7,FALSE),"")</f>
        <v/>
      </c>
    </row>
    <row r="688">
      <c r="A688" t="n">
        <v>35</v>
      </c>
      <c r="B688" t="inlineStr">
        <is>
          <t>Ortiz Araujo Adiela Carlota</t>
        </is>
      </c>
      <c r="C688" t="inlineStr">
        <is>
          <t>MIERCOLES</t>
        </is>
      </c>
      <c r="D688" t="n">
        <v>2</v>
      </c>
      <c r="E688" t="n">
        <v>1</v>
      </c>
      <c r="F688" t="n">
        <v>2</v>
      </c>
      <c r="G688" t="inlineStr">
        <is>
          <t>07:15</t>
        </is>
      </c>
      <c r="H688" t="inlineStr">
        <is>
          <t>08:00</t>
        </is>
      </c>
      <c r="I688" t="inlineStr">
        <is>
          <t>CLASE</t>
        </is>
      </c>
      <c r="J688" t="inlineStr">
        <is>
          <t>CS202</t>
        </is>
      </c>
      <c r="K688" t="inlineStr">
        <is>
          <t>CSI</t>
        </is>
      </c>
      <c r="L688" t="inlineStr"/>
      <c r="M688" t="inlineStr"/>
      <c r="N688" t="inlineStr"/>
      <c r="O688" t="inlineStr">
        <is>
          <t>Sociales / Inglés (alternan cada semana)</t>
        </is>
      </c>
      <c r="P688" t="inlineStr">
        <is>
          <t>CS202-CSI</t>
        </is>
      </c>
      <c r="Q688">
        <f>IF(I688="ENFASIS","ÉNFASIS "&amp;M688,IFERROR(VLOOKUP(J688,Grupos!$A$2:$D$100,4,FALSE),J688))</f>
        <v/>
      </c>
      <c r="R688">
        <f>O688&amp;IF(N688&lt;&gt;"",IF(O688&lt;&gt;""," · ","")&amp;"Con: "&amp;N688,"")</f>
        <v/>
      </c>
      <c r="S688">
        <f>C688&amp;"|"&amp;D688</f>
        <v/>
      </c>
      <c r="T688">
        <f>COUNTIF($S$2:S688,S688)</f>
        <v/>
      </c>
      <c r="U688">
        <f>S688&amp;"|"&amp;T688</f>
        <v/>
      </c>
      <c r="V688">
        <f>IFERROR(VLOOKUP(IF(I688="ENFASIS",LEFT(M688,FIND("+",M688&amp;"+")-1),J688),Direccion_Grupo!$A$2:$G$100,7,FALSE),"")</f>
        <v/>
      </c>
    </row>
    <row r="689">
      <c r="A689" t="n">
        <v>7</v>
      </c>
      <c r="B689" t="inlineStr">
        <is>
          <t>Casanova Casanova Johana Andrea</t>
        </is>
      </c>
      <c r="C689" t="inlineStr">
        <is>
          <t>MIERCOLES</t>
        </is>
      </c>
      <c r="D689" t="n">
        <v>2</v>
      </c>
      <c r="E689" t="n">
        <v>1</v>
      </c>
      <c r="F689" t="n">
        <v>2</v>
      </c>
      <c r="G689" t="inlineStr">
        <is>
          <t>07:15</t>
        </is>
      </c>
      <c r="H689" t="inlineStr">
        <is>
          <t>08:00</t>
        </is>
      </c>
      <c r="I689" t="inlineStr">
        <is>
          <t>ORIENTACION</t>
        </is>
      </c>
      <c r="J689" t="inlineStr">
        <is>
          <t>ORIENT</t>
        </is>
      </c>
      <c r="K689" t="inlineStr">
        <is>
          <t>ORIENTACIÓN ESCOLAR</t>
        </is>
      </c>
      <c r="L689" t="inlineStr"/>
      <c r="M689" t="inlineStr"/>
      <c r="N689" t="inlineStr"/>
      <c r="O689" t="inlineStr">
        <is>
          <t>Jornada 07:30 a 14:30</t>
        </is>
      </c>
      <c r="P689" t="inlineStr"/>
      <c r="Q689">
        <f>IF(I689="ENFASIS","ÉNFASIS "&amp;M689,IFERROR(VLOOKUP(J689,Grupos!$A$2:$D$100,4,FALSE),J689))</f>
        <v/>
      </c>
      <c r="R689">
        <f>O689&amp;IF(N689&lt;&gt;"",IF(O689&lt;&gt;""," · ","")&amp;"Con: "&amp;N689,"")</f>
        <v/>
      </c>
      <c r="S689">
        <f>C689&amp;"|"&amp;D689</f>
        <v/>
      </c>
      <c r="T689">
        <f>COUNTIF($S$2:S689,S689)</f>
        <v/>
      </c>
      <c r="U689">
        <f>S689&amp;"|"&amp;T689</f>
        <v/>
      </c>
      <c r="V689">
        <f>IFERROR(VLOOKUP(IF(I689="ENFASIS",LEFT(M689,FIND("+",M689&amp;"+")-1),J689),Direccion_Grupo!$A$2:$G$100,7,FALSE),"")</f>
        <v/>
      </c>
    </row>
    <row r="690">
      <c r="A690" t="n">
        <v>56</v>
      </c>
      <c r="B690" t="inlineStr">
        <is>
          <t>Ortiz Estacio Martha Cecilia</t>
        </is>
      </c>
      <c r="C690" t="inlineStr">
        <is>
          <t>MIERCOLES</t>
        </is>
      </c>
      <c r="D690" t="n">
        <v>2</v>
      </c>
      <c r="E690" t="n">
        <v>1</v>
      </c>
      <c r="F690" t="n">
        <v>2</v>
      </c>
      <c r="G690" t="inlineStr">
        <is>
          <t>07:15</t>
        </is>
      </c>
      <c r="H690" t="inlineStr">
        <is>
          <t>08:00</t>
        </is>
      </c>
      <c r="I690" t="inlineStr">
        <is>
          <t>TUTORIA</t>
        </is>
      </c>
      <c r="J690" t="inlineStr">
        <is>
          <t>PTAFI</t>
        </is>
      </c>
      <c r="K690" t="inlineStr">
        <is>
          <t>TUTORÍA PTAFI</t>
        </is>
      </c>
      <c r="L690" t="inlineStr"/>
      <c r="M690" t="inlineStr"/>
      <c r="N690" t="inlineStr"/>
      <c r="O690" t="inlineStr">
        <is>
          <t>Jornada 06:30 a 12:00</t>
        </is>
      </c>
      <c r="P690" t="inlineStr"/>
      <c r="Q690">
        <f>IF(I690="ENFASIS","ÉNFASIS "&amp;M690,IFERROR(VLOOKUP(J690,Grupos!$A$2:$D$100,4,FALSE),J690))</f>
        <v/>
      </c>
      <c r="R690">
        <f>O690&amp;IF(N690&lt;&gt;"",IF(O690&lt;&gt;""," · ","")&amp;"Con: "&amp;N690,"")</f>
        <v/>
      </c>
      <c r="S690">
        <f>C690&amp;"|"&amp;D690</f>
        <v/>
      </c>
      <c r="T690">
        <f>COUNTIF($S$2:S690,S690)</f>
        <v/>
      </c>
      <c r="U690">
        <f>S690&amp;"|"&amp;T690</f>
        <v/>
      </c>
      <c r="V690">
        <f>IFERROR(VLOOKUP(IF(I690="ENFASIS",LEFT(M690,FIND("+",M690&amp;"+")-1),J690),Direccion_Grupo!$A$2:$G$100,7,FALSE),"")</f>
        <v/>
      </c>
    </row>
    <row r="691">
      <c r="A691" t="n">
        <v>10</v>
      </c>
      <c r="B691" t="inlineStr">
        <is>
          <t>Castillo Cuero Daira Eneida</t>
        </is>
      </c>
      <c r="C691" t="inlineStr">
        <is>
          <t>MIERCOLES</t>
        </is>
      </c>
      <c r="D691" t="n">
        <v>2</v>
      </c>
      <c r="E691" t="n">
        <v>1</v>
      </c>
      <c r="F691" t="n">
        <v>2</v>
      </c>
      <c r="G691" t="inlineStr">
        <is>
          <t>07:15</t>
        </is>
      </c>
      <c r="H691" t="inlineStr">
        <is>
          <t>08:00</t>
        </is>
      </c>
      <c r="I691" t="inlineStr">
        <is>
          <t>ENFASIS</t>
        </is>
      </c>
      <c r="J691" t="inlineStr"/>
      <c r="K691" t="inlineStr">
        <is>
          <t>CAS</t>
        </is>
      </c>
      <c r="L691" t="inlineStr">
        <is>
          <t>0701</t>
        </is>
      </c>
      <c r="M691" t="inlineStr">
        <is>
          <t>0701</t>
        </is>
      </c>
      <c r="N691" t="inlineStr">
        <is>
          <t>Puches Ana Milena (ART)</t>
        </is>
      </c>
      <c r="O691" t="inlineStr">
        <is>
          <t>PAREJA: comparten el énfasis y alternan por semana</t>
        </is>
      </c>
      <c r="P691" t="inlineStr">
        <is>
          <t>ENFASIS-0701</t>
        </is>
      </c>
      <c r="Q691">
        <f>IF(I691="ENFASIS","ÉNFASIS "&amp;M691,IFERROR(VLOOKUP(J691,Grupos!$A$2:$D$100,4,FALSE),J691))</f>
        <v/>
      </c>
      <c r="R691">
        <f>O691&amp;IF(N691&lt;&gt;"",IF(O691&lt;&gt;""," · ","")&amp;"Con: "&amp;N691,"")</f>
        <v/>
      </c>
      <c r="S691">
        <f>C691&amp;"|"&amp;D691</f>
        <v/>
      </c>
      <c r="T691">
        <f>COUNTIF($S$2:S691,S691)</f>
        <v/>
      </c>
      <c r="U691">
        <f>S691&amp;"|"&amp;T691</f>
        <v/>
      </c>
      <c r="V691">
        <f>IFERROR(VLOOKUP(IF(I691="ENFASIS",LEFT(M691,FIND("+",M691&amp;"+")-1),J691),Direccion_Grupo!$A$2:$G$100,7,FALSE),"")</f>
        <v/>
      </c>
    </row>
    <row r="692">
      <c r="A692" t="n">
        <v>39</v>
      </c>
      <c r="B692" t="inlineStr">
        <is>
          <t>Puches Ana Milena</t>
        </is>
      </c>
      <c r="C692" t="inlineStr">
        <is>
          <t>MIERCOLES</t>
        </is>
      </c>
      <c r="D692" t="n">
        <v>2</v>
      </c>
      <c r="E692" t="n">
        <v>1</v>
      </c>
      <c r="F692" t="n">
        <v>2</v>
      </c>
      <c r="G692" t="inlineStr">
        <is>
          <t>07:15</t>
        </is>
      </c>
      <c r="H692" t="inlineStr">
        <is>
          <t>08:00</t>
        </is>
      </c>
      <c r="I692" t="inlineStr">
        <is>
          <t>ENFASIS</t>
        </is>
      </c>
      <c r="J692" t="inlineStr"/>
      <c r="K692" t="inlineStr">
        <is>
          <t>ART</t>
        </is>
      </c>
      <c r="L692" t="inlineStr">
        <is>
          <t>0701</t>
        </is>
      </c>
      <c r="M692" t="inlineStr">
        <is>
          <t>0701</t>
        </is>
      </c>
      <c r="N692" t="inlineStr">
        <is>
          <t>Castillo Cuero Daira Eneida (CAS)</t>
        </is>
      </c>
      <c r="O692" t="inlineStr">
        <is>
          <t>PAREJA: comparten el énfasis y alternan por semana</t>
        </is>
      </c>
      <c r="P692" t="inlineStr">
        <is>
          <t>ENFASIS-0701</t>
        </is>
      </c>
      <c r="Q692">
        <f>IF(I692="ENFASIS","ÉNFASIS "&amp;M692,IFERROR(VLOOKUP(J692,Grupos!$A$2:$D$100,4,FALSE),J692))</f>
        <v/>
      </c>
      <c r="R692">
        <f>O692&amp;IF(N692&lt;&gt;"",IF(O692&lt;&gt;""," · ","")&amp;"Con: "&amp;N692,"")</f>
        <v/>
      </c>
      <c r="S692">
        <f>C692&amp;"|"&amp;D692</f>
        <v/>
      </c>
      <c r="T692">
        <f>COUNTIF($S$2:S692,S692)</f>
        <v/>
      </c>
      <c r="U692">
        <f>S692&amp;"|"&amp;T692</f>
        <v/>
      </c>
      <c r="V692">
        <f>IFERROR(VLOOKUP(IF(I692="ENFASIS",LEFT(M692,FIND("+",M692&amp;"+")-1),J692),Direccion_Grupo!$A$2:$G$100,7,FALSE),"")</f>
        <v/>
      </c>
    </row>
    <row r="693">
      <c r="A693" t="n">
        <v>12</v>
      </c>
      <c r="B693" t="inlineStr">
        <is>
          <t>Chillambo Quiñones María Rocío</t>
        </is>
      </c>
      <c r="C693" t="inlineStr">
        <is>
          <t>MIERCOLES</t>
        </is>
      </c>
      <c r="D693" t="n">
        <v>2</v>
      </c>
      <c r="E693" t="n">
        <v>1</v>
      </c>
      <c r="F693" t="n">
        <v>2</v>
      </c>
      <c r="G693" t="inlineStr">
        <is>
          <t>07:15</t>
        </is>
      </c>
      <c r="H693" t="inlineStr">
        <is>
          <t>08:00</t>
        </is>
      </c>
      <c r="I693" t="inlineStr">
        <is>
          <t>ENFASIS</t>
        </is>
      </c>
      <c r="J693" t="inlineStr"/>
      <c r="K693" t="inlineStr">
        <is>
          <t>CNA</t>
        </is>
      </c>
      <c r="L693" t="inlineStr">
        <is>
          <t>0702</t>
        </is>
      </c>
      <c r="M693" t="inlineStr">
        <is>
          <t>0702</t>
        </is>
      </c>
      <c r="N693" t="inlineStr">
        <is>
          <t>Cuero Bamba Berte Levi (ERD)</t>
        </is>
      </c>
      <c r="O693" t="inlineStr">
        <is>
          <t>PAREJA: comparten el énfasis y alternan por semana</t>
        </is>
      </c>
      <c r="P693" t="inlineStr">
        <is>
          <t>ENFASIS-0702</t>
        </is>
      </c>
      <c r="Q693">
        <f>IF(I693="ENFASIS","ÉNFASIS "&amp;M693,IFERROR(VLOOKUP(J693,Grupos!$A$2:$D$100,4,FALSE),J693))</f>
        <v/>
      </c>
      <c r="R693">
        <f>O693&amp;IF(N693&lt;&gt;"",IF(O693&lt;&gt;""," · ","")&amp;"Con: "&amp;N693,"")</f>
        <v/>
      </c>
      <c r="S693">
        <f>C693&amp;"|"&amp;D693</f>
        <v/>
      </c>
      <c r="T693">
        <f>COUNTIF($S$2:S693,S693)</f>
        <v/>
      </c>
      <c r="U693">
        <f>S693&amp;"|"&amp;T693</f>
        <v/>
      </c>
      <c r="V693">
        <f>IFERROR(VLOOKUP(IF(I693="ENFASIS",LEFT(M693,FIND("+",M693&amp;"+")-1),J693),Direccion_Grupo!$A$2:$G$100,7,FALSE),"")</f>
        <v/>
      </c>
    </row>
    <row r="694">
      <c r="A694" t="n">
        <v>15</v>
      </c>
      <c r="B694" t="inlineStr">
        <is>
          <t>Cuero Bamba Berte Levi</t>
        </is>
      </c>
      <c r="C694" t="inlineStr">
        <is>
          <t>MIERCOLES</t>
        </is>
      </c>
      <c r="D694" t="n">
        <v>2</v>
      </c>
      <c r="E694" t="n">
        <v>1</v>
      </c>
      <c r="F694" t="n">
        <v>2</v>
      </c>
      <c r="G694" t="inlineStr">
        <is>
          <t>07:15</t>
        </is>
      </c>
      <c r="H694" t="inlineStr">
        <is>
          <t>08:00</t>
        </is>
      </c>
      <c r="I694" t="inlineStr">
        <is>
          <t>ENFASIS</t>
        </is>
      </c>
      <c r="J694" t="inlineStr"/>
      <c r="K694" t="inlineStr">
        <is>
          <t>ERD</t>
        </is>
      </c>
      <c r="L694" t="inlineStr">
        <is>
          <t>0702</t>
        </is>
      </c>
      <c r="M694" t="inlineStr">
        <is>
          <t>0702</t>
        </is>
      </c>
      <c r="N694" t="inlineStr">
        <is>
          <t>Chillambo Quiñones María Rocío (CNA)</t>
        </is>
      </c>
      <c r="O694" t="inlineStr">
        <is>
          <t>PAREJA: comparten el énfasis y alternan por semana</t>
        </is>
      </c>
      <c r="P694" t="inlineStr">
        <is>
          <t>ENFASIS-0702</t>
        </is>
      </c>
      <c r="Q694">
        <f>IF(I694="ENFASIS","ÉNFASIS "&amp;M694,IFERROR(VLOOKUP(J694,Grupos!$A$2:$D$100,4,FALSE),J694))</f>
        <v/>
      </c>
      <c r="R694">
        <f>O694&amp;IF(N694&lt;&gt;"",IF(O694&lt;&gt;""," · ","")&amp;"Con: "&amp;N694,"")</f>
        <v/>
      </c>
      <c r="S694">
        <f>C694&amp;"|"&amp;D694</f>
        <v/>
      </c>
      <c r="T694">
        <f>COUNTIF($S$2:S694,S694)</f>
        <v/>
      </c>
      <c r="U694">
        <f>S694&amp;"|"&amp;T694</f>
        <v/>
      </c>
      <c r="V694">
        <f>IFERROR(VLOOKUP(IF(I694="ENFASIS",LEFT(M694,FIND("+",M694&amp;"+")-1),J694),Direccion_Grupo!$A$2:$G$100,7,FALSE),"")</f>
        <v/>
      </c>
    </row>
    <row r="695">
      <c r="A695" t="n">
        <v>8</v>
      </c>
      <c r="B695" t="inlineStr">
        <is>
          <t>Casanova Quiñones Yoli del Carmen</t>
        </is>
      </c>
      <c r="C695" t="inlineStr">
        <is>
          <t>MIERCOLES</t>
        </is>
      </c>
      <c r="D695" t="n">
        <v>2</v>
      </c>
      <c r="E695" t="n">
        <v>1</v>
      </c>
      <c r="F695" t="n">
        <v>2</v>
      </c>
      <c r="G695" t="inlineStr">
        <is>
          <t>07:15</t>
        </is>
      </c>
      <c r="H695" t="inlineStr">
        <is>
          <t>08:00</t>
        </is>
      </c>
      <c r="I695" t="inlineStr">
        <is>
          <t>ENFASIS</t>
        </is>
      </c>
      <c r="J695" t="inlineStr"/>
      <c r="K695" t="inlineStr">
        <is>
          <t>ETR</t>
        </is>
      </c>
      <c r="L695" t="inlineStr">
        <is>
          <t>0703</t>
        </is>
      </c>
      <c r="M695" t="inlineStr">
        <is>
          <t>0703</t>
        </is>
      </c>
      <c r="N695" t="inlineStr">
        <is>
          <t>Quintero Ramírez María del Carmen (CSI)</t>
        </is>
      </c>
      <c r="O695" t="inlineStr">
        <is>
          <t>PAREJA: comparten el énfasis y alternan por semana</t>
        </is>
      </c>
      <c r="P695" t="inlineStr">
        <is>
          <t>ENFASIS-0703</t>
        </is>
      </c>
      <c r="Q695">
        <f>IF(I695="ENFASIS","ÉNFASIS "&amp;M695,IFERROR(VLOOKUP(J695,Grupos!$A$2:$D$100,4,FALSE),J695))</f>
        <v/>
      </c>
      <c r="R695">
        <f>O695&amp;IF(N695&lt;&gt;"",IF(O695&lt;&gt;""," · ","")&amp;"Con: "&amp;N695,"")</f>
        <v/>
      </c>
      <c r="S695">
        <f>C695&amp;"|"&amp;D695</f>
        <v/>
      </c>
      <c r="T695">
        <f>COUNTIF($S$2:S695,S695)</f>
        <v/>
      </c>
      <c r="U695">
        <f>S695&amp;"|"&amp;T695</f>
        <v/>
      </c>
      <c r="V695">
        <f>IFERROR(VLOOKUP(IF(I695="ENFASIS",LEFT(M695,FIND("+",M695&amp;"+")-1),J695),Direccion_Grupo!$A$2:$G$100,7,FALSE),"")</f>
        <v/>
      </c>
    </row>
    <row r="696">
      <c r="A696" t="n">
        <v>41</v>
      </c>
      <c r="B696" t="inlineStr">
        <is>
          <t>Quintero Ramírez María del Carmen</t>
        </is>
      </c>
      <c r="C696" t="inlineStr">
        <is>
          <t>MIERCOLES</t>
        </is>
      </c>
      <c r="D696" t="n">
        <v>2</v>
      </c>
      <c r="E696" t="n">
        <v>1</v>
      </c>
      <c r="F696" t="n">
        <v>2</v>
      </c>
      <c r="G696" t="inlineStr">
        <is>
          <t>07:15</t>
        </is>
      </c>
      <c r="H696" t="inlineStr">
        <is>
          <t>08:00</t>
        </is>
      </c>
      <c r="I696" t="inlineStr">
        <is>
          <t>ENFASIS</t>
        </is>
      </c>
      <c r="J696" t="inlineStr"/>
      <c r="K696" t="inlineStr">
        <is>
          <t>CSI</t>
        </is>
      </c>
      <c r="L696" t="inlineStr">
        <is>
          <t>0703</t>
        </is>
      </c>
      <c r="M696" t="inlineStr">
        <is>
          <t>0703</t>
        </is>
      </c>
      <c r="N696" t="inlineStr">
        <is>
          <t>Casanova Quiñones Yoli del Carmen (ETR)</t>
        </is>
      </c>
      <c r="O696" t="inlineStr">
        <is>
          <t>PAREJA: comparten el énfasis y alternan por semana</t>
        </is>
      </c>
      <c r="P696" t="inlineStr">
        <is>
          <t>ENFASIS-0703</t>
        </is>
      </c>
      <c r="Q696">
        <f>IF(I696="ENFASIS","ÉNFASIS "&amp;M696,IFERROR(VLOOKUP(J696,Grupos!$A$2:$D$100,4,FALSE),J696))</f>
        <v/>
      </c>
      <c r="R696">
        <f>O696&amp;IF(N696&lt;&gt;"",IF(O696&lt;&gt;""," · ","")&amp;"Con: "&amp;N696,"")</f>
        <v/>
      </c>
      <c r="S696">
        <f>C696&amp;"|"&amp;D696</f>
        <v/>
      </c>
      <c r="T696">
        <f>COUNTIF($S$2:S696,S696)</f>
        <v/>
      </c>
      <c r="U696">
        <f>S696&amp;"|"&amp;T696</f>
        <v/>
      </c>
      <c r="V696">
        <f>IFERROR(VLOOKUP(IF(I696="ENFASIS",LEFT(M696,FIND("+",M696&amp;"+")-1),J696),Direccion_Grupo!$A$2:$G$100,7,FALSE),"")</f>
        <v/>
      </c>
    </row>
    <row r="697">
      <c r="A697" t="n">
        <v>20</v>
      </c>
      <c r="B697" t="inlineStr">
        <is>
          <t>García Gobea Saydi Magali</t>
        </is>
      </c>
      <c r="C697" t="inlineStr">
        <is>
          <t>MIERCOLES</t>
        </is>
      </c>
      <c r="D697" t="n">
        <v>2</v>
      </c>
      <c r="E697" t="n">
        <v>1</v>
      </c>
      <c r="F697" t="n">
        <v>2</v>
      </c>
      <c r="G697" t="inlineStr">
        <is>
          <t>07:15</t>
        </is>
      </c>
      <c r="H697" t="inlineStr">
        <is>
          <t>08:00</t>
        </is>
      </c>
      <c r="I697" t="inlineStr">
        <is>
          <t>ENFASIS</t>
        </is>
      </c>
      <c r="J697" t="inlineStr"/>
      <c r="K697" t="inlineStr">
        <is>
          <t>CSI</t>
        </is>
      </c>
      <c r="L697" t="inlineStr">
        <is>
          <t>CS101</t>
        </is>
      </c>
      <c r="M697" t="inlineStr">
        <is>
          <t>CS101</t>
        </is>
      </c>
      <c r="N697" t="inlineStr">
        <is>
          <t>Lozano Torres Amanda Inés (ETR)</t>
        </is>
      </c>
      <c r="O697" t="inlineStr">
        <is>
          <t>PAREJA: comparten el énfasis y alternan por semana</t>
        </is>
      </c>
      <c r="P697" t="inlineStr">
        <is>
          <t>ENFASIS-CS101</t>
        </is>
      </c>
      <c r="Q697">
        <f>IF(I697="ENFASIS","ÉNFASIS "&amp;M697,IFERROR(VLOOKUP(J697,Grupos!$A$2:$D$100,4,FALSE),J697))</f>
        <v/>
      </c>
      <c r="R697">
        <f>O697&amp;IF(N697&lt;&gt;"",IF(O697&lt;&gt;""," · ","")&amp;"Con: "&amp;N697,"")</f>
        <v/>
      </c>
      <c r="S697">
        <f>C697&amp;"|"&amp;D697</f>
        <v/>
      </c>
      <c r="T697">
        <f>COUNTIF($S$2:S697,S697)</f>
        <v/>
      </c>
      <c r="U697">
        <f>S697&amp;"|"&amp;T697</f>
        <v/>
      </c>
      <c r="V697">
        <f>IFERROR(VLOOKUP(IF(I697="ENFASIS",LEFT(M697,FIND("+",M697&amp;"+")-1),J697),Direccion_Grupo!$A$2:$G$100,7,FALSE),"")</f>
        <v/>
      </c>
    </row>
    <row r="698">
      <c r="A698" t="n">
        <v>26</v>
      </c>
      <c r="B698" t="inlineStr">
        <is>
          <t>Lozano Torres Amanda Inés</t>
        </is>
      </c>
      <c r="C698" t="inlineStr">
        <is>
          <t>MIERCOLES</t>
        </is>
      </c>
      <c r="D698" t="n">
        <v>2</v>
      </c>
      <c r="E698" t="n">
        <v>1</v>
      </c>
      <c r="F698" t="n">
        <v>2</v>
      </c>
      <c r="G698" t="inlineStr">
        <is>
          <t>07:15</t>
        </is>
      </c>
      <c r="H698" t="inlineStr">
        <is>
          <t>08:00</t>
        </is>
      </c>
      <c r="I698" t="inlineStr">
        <is>
          <t>ENFASIS</t>
        </is>
      </c>
      <c r="J698" t="inlineStr"/>
      <c r="K698" t="inlineStr">
        <is>
          <t>ETR</t>
        </is>
      </c>
      <c r="L698" t="inlineStr">
        <is>
          <t>CS101</t>
        </is>
      </c>
      <c r="M698" t="inlineStr">
        <is>
          <t>CS101</t>
        </is>
      </c>
      <c r="N698" t="inlineStr">
        <is>
          <t>García Gobea Saydi Magali (CSI)</t>
        </is>
      </c>
      <c r="O698" t="inlineStr">
        <is>
          <t>PAREJA: comparten el énfasis y alternan por semana</t>
        </is>
      </c>
      <c r="P698" t="inlineStr">
        <is>
          <t>ENFASIS-CS101</t>
        </is>
      </c>
      <c r="Q698">
        <f>IF(I698="ENFASIS","ÉNFASIS "&amp;M698,IFERROR(VLOOKUP(J698,Grupos!$A$2:$D$100,4,FALSE),J698))</f>
        <v/>
      </c>
      <c r="R698">
        <f>O698&amp;IF(N698&lt;&gt;"",IF(O698&lt;&gt;""," · ","")&amp;"Con: "&amp;N698,"")</f>
        <v/>
      </c>
      <c r="S698">
        <f>C698&amp;"|"&amp;D698</f>
        <v/>
      </c>
      <c r="T698">
        <f>COUNTIF($S$2:S698,S698)</f>
        <v/>
      </c>
      <c r="U698">
        <f>S698&amp;"|"&amp;T698</f>
        <v/>
      </c>
      <c r="V698">
        <f>IFERROR(VLOOKUP(IF(I698="ENFASIS",LEFT(M698,FIND("+",M698&amp;"+")-1),J698),Direccion_Grupo!$A$2:$G$100,7,FALSE),"")</f>
        <v/>
      </c>
    </row>
    <row r="699">
      <c r="A699" t="n">
        <v>1</v>
      </c>
      <c r="B699" t="inlineStr">
        <is>
          <t>Aguirre Riascos Jorge Andrés</t>
        </is>
      </c>
      <c r="C699" t="inlineStr">
        <is>
          <t>MIERCOLES</t>
        </is>
      </c>
      <c r="D699" t="n">
        <v>2</v>
      </c>
      <c r="E699" t="n">
        <v>1</v>
      </c>
      <c r="F699" t="n">
        <v>2</v>
      </c>
      <c r="G699" t="inlineStr">
        <is>
          <t>07:15</t>
        </is>
      </c>
      <c r="H699" t="inlineStr">
        <is>
          <t>08:00</t>
        </is>
      </c>
      <c r="I699" t="inlineStr">
        <is>
          <t>ENFASIS</t>
        </is>
      </c>
      <c r="J699" t="inlineStr"/>
      <c r="K699" t="inlineStr">
        <is>
          <t>TEI</t>
        </is>
      </c>
      <c r="L699" t="inlineStr">
        <is>
          <t>CS102</t>
        </is>
      </c>
      <c r="M699" t="inlineStr">
        <is>
          <t>CS102</t>
        </is>
      </c>
      <c r="N699" t="inlineStr">
        <is>
          <t>Vásquez Valencia Segundo Leoncio (MAT)</t>
        </is>
      </c>
      <c r="O699" t="inlineStr">
        <is>
          <t>PAREJA: comparten el énfasis y alternan por semana</t>
        </is>
      </c>
      <c r="P699" t="inlineStr">
        <is>
          <t>ENFASIS-CS102</t>
        </is>
      </c>
      <c r="Q699">
        <f>IF(I699="ENFASIS","ÉNFASIS "&amp;M699,IFERROR(VLOOKUP(J699,Grupos!$A$2:$D$100,4,FALSE),J699))</f>
        <v/>
      </c>
      <c r="R699">
        <f>O699&amp;IF(N699&lt;&gt;"",IF(O699&lt;&gt;""," · ","")&amp;"Con: "&amp;N699,"")</f>
        <v/>
      </c>
      <c r="S699">
        <f>C699&amp;"|"&amp;D699</f>
        <v/>
      </c>
      <c r="T699">
        <f>COUNTIF($S$2:S699,S699)</f>
        <v/>
      </c>
      <c r="U699">
        <f>S699&amp;"|"&amp;T699</f>
        <v/>
      </c>
      <c r="V699">
        <f>IFERROR(VLOOKUP(IF(I699="ENFASIS",LEFT(M699,FIND("+",M699&amp;"+")-1),J699),Direccion_Grupo!$A$2:$G$100,7,FALSE),"")</f>
        <v/>
      </c>
    </row>
    <row r="700">
      <c r="A700" t="n">
        <v>52</v>
      </c>
      <c r="B700" t="inlineStr">
        <is>
          <t>Vásquez Valencia Segundo Leoncio</t>
        </is>
      </c>
      <c r="C700" t="inlineStr">
        <is>
          <t>MIERCOLES</t>
        </is>
      </c>
      <c r="D700" t="n">
        <v>2</v>
      </c>
      <c r="E700" t="n">
        <v>1</v>
      </c>
      <c r="F700" t="n">
        <v>2</v>
      </c>
      <c r="G700" t="inlineStr">
        <is>
          <t>07:15</t>
        </is>
      </c>
      <c r="H700" t="inlineStr">
        <is>
          <t>08:00</t>
        </is>
      </c>
      <c r="I700" t="inlineStr">
        <is>
          <t>ENFASIS</t>
        </is>
      </c>
      <c r="J700" t="inlineStr"/>
      <c r="K700" t="inlineStr">
        <is>
          <t>MAT</t>
        </is>
      </c>
      <c r="L700" t="inlineStr">
        <is>
          <t>CS102</t>
        </is>
      </c>
      <c r="M700" t="inlineStr">
        <is>
          <t>CS102</t>
        </is>
      </c>
      <c r="N700" t="inlineStr">
        <is>
          <t>Aguirre Riascos Jorge Andrés (TEI)</t>
        </is>
      </c>
      <c r="O700" t="inlineStr">
        <is>
          <t>PAREJA: comparten el énfasis y alternan por semana</t>
        </is>
      </c>
      <c r="P700" t="inlineStr">
        <is>
          <t>ENFASIS-CS102</t>
        </is>
      </c>
      <c r="Q700">
        <f>IF(I700="ENFASIS","ÉNFASIS "&amp;M700,IFERROR(VLOOKUP(J700,Grupos!$A$2:$D$100,4,FALSE),J700))</f>
        <v/>
      </c>
      <c r="R700">
        <f>O700&amp;IF(N700&lt;&gt;"",IF(O700&lt;&gt;""," · ","")&amp;"Con: "&amp;N700,"")</f>
        <v/>
      </c>
      <c r="S700">
        <f>C700&amp;"|"&amp;D700</f>
        <v/>
      </c>
      <c r="T700">
        <f>COUNTIF($S$2:S700,S700)</f>
        <v/>
      </c>
      <c r="U700">
        <f>S700&amp;"|"&amp;T700</f>
        <v/>
      </c>
      <c r="V700">
        <f>IFERROR(VLOOKUP(IF(I700="ENFASIS",LEFT(M700,FIND("+",M700&amp;"+")-1),J700),Direccion_Grupo!$A$2:$G$100,7,FALSE),"")</f>
        <v/>
      </c>
    </row>
    <row r="701">
      <c r="A701" t="n">
        <v>50</v>
      </c>
      <c r="B701" t="inlineStr">
        <is>
          <t>Valencia Solís Gloria Alexa</t>
        </is>
      </c>
      <c r="C701" t="inlineStr">
        <is>
          <t>MIERCOLES</t>
        </is>
      </c>
      <c r="D701" t="n">
        <v>3</v>
      </c>
      <c r="E701" t="n">
        <v>2</v>
      </c>
      <c r="F701" t="n">
        <v>1</v>
      </c>
      <c r="G701" t="inlineStr">
        <is>
          <t>07:30</t>
        </is>
      </c>
      <c r="H701" t="inlineStr">
        <is>
          <t>08:30</t>
        </is>
      </c>
      <c r="I701" t="inlineStr">
        <is>
          <t>AREAS_MULTIPLES</t>
        </is>
      </c>
      <c r="J701" t="inlineStr">
        <is>
          <t>0001</t>
        </is>
      </c>
      <c r="K701" t="inlineStr">
        <is>
          <t>ÁREAS MÚLTIPLES</t>
        </is>
      </c>
      <c r="L701" t="inlineStr"/>
      <c r="M701" t="inlineStr"/>
      <c r="N701" t="inlineStr"/>
      <c r="O701" t="inlineStr">
        <is>
          <t>Maestro de aula: todas las áreas con su grupo</t>
        </is>
      </c>
      <c r="P701" t="inlineStr"/>
      <c r="Q701">
        <f>IF(I701="ENFASIS","ÉNFASIS "&amp;M701,IFERROR(VLOOKUP(J701,Grupos!$A$2:$D$100,4,FALSE),J701))</f>
        <v/>
      </c>
      <c r="R701">
        <f>O701&amp;IF(N701&lt;&gt;"",IF(O701&lt;&gt;""," · ","")&amp;"Con: "&amp;N701,"")</f>
        <v/>
      </c>
      <c r="S701">
        <f>C701&amp;"|"&amp;D701</f>
        <v/>
      </c>
      <c r="T701">
        <f>COUNTIF($S$2:S701,S701)</f>
        <v/>
      </c>
      <c r="U701">
        <f>S701&amp;"|"&amp;T701</f>
        <v/>
      </c>
      <c r="V701">
        <f>IFERROR(VLOOKUP(IF(I701="ENFASIS",LEFT(M701,FIND("+",M701&amp;"+")-1),J701),Direccion_Grupo!$A$2:$G$100,7,FALSE),"")</f>
        <v/>
      </c>
    </row>
    <row r="702">
      <c r="A702" t="n">
        <v>27</v>
      </c>
      <c r="B702" t="inlineStr">
        <is>
          <t>Martínez Álvarez Andrea Ascención</t>
        </is>
      </c>
      <c r="C702" t="inlineStr">
        <is>
          <t>MIERCOLES</t>
        </is>
      </c>
      <c r="D702" t="n">
        <v>3</v>
      </c>
      <c r="E702" t="n">
        <v>2</v>
      </c>
      <c r="F702" t="n">
        <v>1</v>
      </c>
      <c r="G702" t="inlineStr">
        <is>
          <t>07:30</t>
        </is>
      </c>
      <c r="H702" t="inlineStr">
        <is>
          <t>08:30</t>
        </is>
      </c>
      <c r="I702" t="inlineStr">
        <is>
          <t>AREAS_MULTIPLES</t>
        </is>
      </c>
      <c r="J702" t="inlineStr">
        <is>
          <t>0002</t>
        </is>
      </c>
      <c r="K702" t="inlineStr">
        <is>
          <t>ÁREAS MÚLTIPLES</t>
        </is>
      </c>
      <c r="L702" t="inlineStr"/>
      <c r="M702" t="inlineStr"/>
      <c r="N702" t="inlineStr"/>
      <c r="O702" t="inlineStr">
        <is>
          <t>Maestro de aula: todas las áreas con su grupo</t>
        </is>
      </c>
      <c r="P702" t="inlineStr"/>
      <c r="Q702">
        <f>IF(I702="ENFASIS","ÉNFASIS "&amp;M702,IFERROR(VLOOKUP(J702,Grupos!$A$2:$D$100,4,FALSE),J702))</f>
        <v/>
      </c>
      <c r="R702">
        <f>O702&amp;IF(N702&lt;&gt;"",IF(O702&lt;&gt;""," · ","")&amp;"Con: "&amp;N702,"")</f>
        <v/>
      </c>
      <c r="S702">
        <f>C702&amp;"|"&amp;D702</f>
        <v/>
      </c>
      <c r="T702">
        <f>COUNTIF($S$2:S702,S702)</f>
        <v/>
      </c>
      <c r="U702">
        <f>S702&amp;"|"&amp;T702</f>
        <v/>
      </c>
      <c r="V702">
        <f>IFERROR(VLOOKUP(IF(I702="ENFASIS",LEFT(M702,FIND("+",M702&amp;"+")-1),J702),Direccion_Grupo!$A$2:$G$100,7,FALSE),"")</f>
        <v/>
      </c>
    </row>
    <row r="703">
      <c r="A703" t="n">
        <v>23</v>
      </c>
      <c r="B703" t="inlineStr">
        <is>
          <t>Landázuri Quiñones María Elia</t>
        </is>
      </c>
      <c r="C703" t="inlineStr">
        <is>
          <t>MIERCOLES</t>
        </is>
      </c>
      <c r="D703" t="n">
        <v>3</v>
      </c>
      <c r="E703" t="n">
        <v>2</v>
      </c>
      <c r="F703" t="n">
        <v>1</v>
      </c>
      <c r="G703" t="inlineStr">
        <is>
          <t>08:20</t>
        </is>
      </c>
      <c r="H703" t="inlineStr">
        <is>
          <t>09:05</t>
        </is>
      </c>
      <c r="I703" t="inlineStr">
        <is>
          <t>AREAS_MULTIPLES</t>
        </is>
      </c>
      <c r="J703" t="inlineStr">
        <is>
          <t>0101</t>
        </is>
      </c>
      <c r="K703" t="inlineStr">
        <is>
          <t>ÁREAS MÚLTIPLES</t>
        </is>
      </c>
      <c r="L703" t="inlineStr"/>
      <c r="M703" t="inlineStr"/>
      <c r="N703" t="inlineStr"/>
      <c r="O703" t="inlineStr">
        <is>
          <t>Maestro de aula: todas las áreas con su grupo</t>
        </is>
      </c>
      <c r="P703" t="inlineStr"/>
      <c r="Q703">
        <f>IF(I703="ENFASIS","ÉNFASIS "&amp;M703,IFERROR(VLOOKUP(J703,Grupos!$A$2:$D$100,4,FALSE),J703))</f>
        <v/>
      </c>
      <c r="R703">
        <f>O703&amp;IF(N703&lt;&gt;"",IF(O703&lt;&gt;""," · ","")&amp;"Con: "&amp;N703,"")</f>
        <v/>
      </c>
      <c r="S703">
        <f>C703&amp;"|"&amp;D703</f>
        <v/>
      </c>
      <c r="T703">
        <f>COUNTIF($S$2:S703,S703)</f>
        <v/>
      </c>
      <c r="U703">
        <f>S703&amp;"|"&amp;T703</f>
        <v/>
      </c>
      <c r="V703">
        <f>IFERROR(VLOOKUP(IF(I703="ENFASIS",LEFT(M703,FIND("+",M703&amp;"+")-1),J703),Direccion_Grupo!$A$2:$G$100,7,FALSE),"")</f>
        <v/>
      </c>
    </row>
    <row r="704">
      <c r="A704" t="n">
        <v>45</v>
      </c>
      <c r="B704" t="inlineStr">
        <is>
          <t>Sinisterra Ana Lucía</t>
        </is>
      </c>
      <c r="C704" t="inlineStr">
        <is>
          <t>MIERCOLES</t>
        </is>
      </c>
      <c r="D704" t="n">
        <v>3</v>
      </c>
      <c r="E704" t="n">
        <v>2</v>
      </c>
      <c r="F704" t="n">
        <v>1</v>
      </c>
      <c r="G704" t="inlineStr">
        <is>
          <t>08:20</t>
        </is>
      </c>
      <c r="H704" t="inlineStr">
        <is>
          <t>09:05</t>
        </is>
      </c>
      <c r="I704" t="inlineStr">
        <is>
          <t>AREAS_MULTIPLES</t>
        </is>
      </c>
      <c r="J704" t="inlineStr">
        <is>
          <t>0102</t>
        </is>
      </c>
      <c r="K704" t="inlineStr">
        <is>
          <t>ÁREAS MÚLTIPLES</t>
        </is>
      </c>
      <c r="L704" t="inlineStr"/>
      <c r="M704" t="inlineStr"/>
      <c r="N704" t="inlineStr"/>
      <c r="O704" t="inlineStr">
        <is>
          <t>Maestro de aula: todas las áreas con su grupo</t>
        </is>
      </c>
      <c r="P704" t="inlineStr"/>
      <c r="Q704">
        <f>IF(I704="ENFASIS","ÉNFASIS "&amp;M704,IFERROR(VLOOKUP(J704,Grupos!$A$2:$D$100,4,FALSE),J704))</f>
        <v/>
      </c>
      <c r="R704">
        <f>O704&amp;IF(N704&lt;&gt;"",IF(O704&lt;&gt;""," · ","")&amp;"Con: "&amp;N704,"")</f>
        <v/>
      </c>
      <c r="S704">
        <f>C704&amp;"|"&amp;D704</f>
        <v/>
      </c>
      <c r="T704">
        <f>COUNTIF($S$2:S704,S704)</f>
        <v/>
      </c>
      <c r="U704">
        <f>S704&amp;"|"&amp;T704</f>
        <v/>
      </c>
      <c r="V704">
        <f>IFERROR(VLOOKUP(IF(I704="ENFASIS",LEFT(M704,FIND("+",M704&amp;"+")-1),J704),Direccion_Grupo!$A$2:$G$100,7,FALSE),"")</f>
        <v/>
      </c>
    </row>
    <row r="705">
      <c r="A705" t="n">
        <v>13</v>
      </c>
      <c r="B705" t="inlineStr">
        <is>
          <t>Cortés Salazar María Ebelice</t>
        </is>
      </c>
      <c r="C705" t="inlineStr">
        <is>
          <t>MIERCOLES</t>
        </is>
      </c>
      <c r="D705" t="n">
        <v>3</v>
      </c>
      <c r="E705" t="n">
        <v>2</v>
      </c>
      <c r="F705" t="n">
        <v>1</v>
      </c>
      <c r="G705" t="inlineStr">
        <is>
          <t>08:20</t>
        </is>
      </c>
      <c r="H705" t="inlineStr">
        <is>
          <t>09:05</t>
        </is>
      </c>
      <c r="I705" t="inlineStr">
        <is>
          <t>AREAS_MULTIPLES</t>
        </is>
      </c>
      <c r="J705" t="inlineStr">
        <is>
          <t>0201</t>
        </is>
      </c>
      <c r="K705" t="inlineStr">
        <is>
          <t>ÁREAS MÚLTIPLES</t>
        </is>
      </c>
      <c r="L705" t="inlineStr"/>
      <c r="M705" t="inlineStr"/>
      <c r="N705" t="inlineStr"/>
      <c r="O705" t="inlineStr">
        <is>
          <t>Maestro de aula: todas las áreas con su grupo</t>
        </is>
      </c>
      <c r="P705" t="inlineStr"/>
      <c r="Q705">
        <f>IF(I705="ENFASIS","ÉNFASIS "&amp;M705,IFERROR(VLOOKUP(J705,Grupos!$A$2:$D$100,4,FALSE),J705))</f>
        <v/>
      </c>
      <c r="R705">
        <f>O705&amp;IF(N705&lt;&gt;"",IF(O705&lt;&gt;""," · ","")&amp;"Con: "&amp;N705,"")</f>
        <v/>
      </c>
      <c r="S705">
        <f>C705&amp;"|"&amp;D705</f>
        <v/>
      </c>
      <c r="T705">
        <f>COUNTIF($S$2:S705,S705)</f>
        <v/>
      </c>
      <c r="U705">
        <f>S705&amp;"|"&amp;T705</f>
        <v/>
      </c>
      <c r="V705">
        <f>IFERROR(VLOOKUP(IF(I705="ENFASIS",LEFT(M705,FIND("+",M705&amp;"+")-1),J705),Direccion_Grupo!$A$2:$G$100,7,FALSE),"")</f>
        <v/>
      </c>
    </row>
    <row r="706">
      <c r="A706" t="n">
        <v>21</v>
      </c>
      <c r="B706" t="inlineStr">
        <is>
          <t>Garzón Quiñones Sixta Janina</t>
        </is>
      </c>
      <c r="C706" t="inlineStr">
        <is>
          <t>MIERCOLES</t>
        </is>
      </c>
      <c r="D706" t="n">
        <v>3</v>
      </c>
      <c r="E706" t="n">
        <v>2</v>
      </c>
      <c r="F706" t="n">
        <v>1</v>
      </c>
      <c r="G706" t="inlineStr">
        <is>
          <t>08:20</t>
        </is>
      </c>
      <c r="H706" t="inlineStr">
        <is>
          <t>09:05</t>
        </is>
      </c>
      <c r="I706" t="inlineStr">
        <is>
          <t>AREAS_MULTIPLES</t>
        </is>
      </c>
      <c r="J706" t="inlineStr">
        <is>
          <t>0202</t>
        </is>
      </c>
      <c r="K706" t="inlineStr">
        <is>
          <t>ÁREAS MÚLTIPLES</t>
        </is>
      </c>
      <c r="L706" t="inlineStr"/>
      <c r="M706" t="inlineStr"/>
      <c r="N706" t="inlineStr"/>
      <c r="O706" t="inlineStr">
        <is>
          <t>Maestro de aula: todas las áreas con su grupo</t>
        </is>
      </c>
      <c r="P706" t="inlineStr"/>
      <c r="Q706">
        <f>IF(I706="ENFASIS","ÉNFASIS "&amp;M706,IFERROR(VLOOKUP(J706,Grupos!$A$2:$D$100,4,FALSE),J706))</f>
        <v/>
      </c>
      <c r="R706">
        <f>O706&amp;IF(N706&lt;&gt;"",IF(O706&lt;&gt;""," · ","")&amp;"Con: "&amp;N706,"")</f>
        <v/>
      </c>
      <c r="S706">
        <f>C706&amp;"|"&amp;D706</f>
        <v/>
      </c>
      <c r="T706">
        <f>COUNTIF($S$2:S706,S706)</f>
        <v/>
      </c>
      <c r="U706">
        <f>S706&amp;"|"&amp;T706</f>
        <v/>
      </c>
      <c r="V706">
        <f>IFERROR(VLOOKUP(IF(I706="ENFASIS",LEFT(M706,FIND("+",M706&amp;"+")-1),J706),Direccion_Grupo!$A$2:$G$100,7,FALSE),"")</f>
        <v/>
      </c>
    </row>
    <row r="707">
      <c r="A707" t="n">
        <v>46</v>
      </c>
      <c r="B707" t="inlineStr">
        <is>
          <t>Tenorio Cuero Lucy Bivian</t>
        </is>
      </c>
      <c r="C707" t="inlineStr">
        <is>
          <t>MIERCOLES</t>
        </is>
      </c>
      <c r="D707" t="n">
        <v>3</v>
      </c>
      <c r="E707" t="n">
        <v>2</v>
      </c>
      <c r="F707" t="n">
        <v>1</v>
      </c>
      <c r="G707" t="inlineStr">
        <is>
          <t>08:20</t>
        </is>
      </c>
      <c r="H707" t="inlineStr">
        <is>
          <t>09:05</t>
        </is>
      </c>
      <c r="I707" t="inlineStr">
        <is>
          <t>AREAS_MULTIPLES</t>
        </is>
      </c>
      <c r="J707" t="inlineStr">
        <is>
          <t>0203</t>
        </is>
      </c>
      <c r="K707" t="inlineStr">
        <is>
          <t>ÁREAS MÚLTIPLES</t>
        </is>
      </c>
      <c r="L707" t="inlineStr"/>
      <c r="M707" t="inlineStr"/>
      <c r="N707" t="inlineStr"/>
      <c r="O707" t="inlineStr">
        <is>
          <t>Maestro de aula: todas las áreas con su grupo</t>
        </is>
      </c>
      <c r="P707" t="inlineStr"/>
      <c r="Q707">
        <f>IF(I707="ENFASIS","ÉNFASIS "&amp;M707,IFERROR(VLOOKUP(J707,Grupos!$A$2:$D$100,4,FALSE),J707))</f>
        <v/>
      </c>
      <c r="R707">
        <f>O707&amp;IF(N707&lt;&gt;"",IF(O707&lt;&gt;""," · ","")&amp;"Con: "&amp;N707,"")</f>
        <v/>
      </c>
      <c r="S707">
        <f>C707&amp;"|"&amp;D707</f>
        <v/>
      </c>
      <c r="T707">
        <f>COUNTIF($S$2:S707,S707)</f>
        <v/>
      </c>
      <c r="U707">
        <f>S707&amp;"|"&amp;T707</f>
        <v/>
      </c>
      <c r="V707">
        <f>IFERROR(VLOOKUP(IF(I707="ENFASIS",LEFT(M707,FIND("+",M707&amp;"+")-1),J707),Direccion_Grupo!$A$2:$G$100,7,FALSE),"")</f>
        <v/>
      </c>
    </row>
    <row r="708">
      <c r="A708" t="n">
        <v>48</v>
      </c>
      <c r="B708" t="inlineStr">
        <is>
          <t>Torres Segura Encarnación</t>
        </is>
      </c>
      <c r="C708" t="inlineStr">
        <is>
          <t>MIERCOLES</t>
        </is>
      </c>
      <c r="D708" t="n">
        <v>3</v>
      </c>
      <c r="E708" t="n">
        <v>2</v>
      </c>
      <c r="F708" t="n">
        <v>1</v>
      </c>
      <c r="G708" t="inlineStr">
        <is>
          <t>08:20</t>
        </is>
      </c>
      <c r="H708" t="inlineStr">
        <is>
          <t>09:05</t>
        </is>
      </c>
      <c r="I708" t="inlineStr">
        <is>
          <t>AREAS_MULTIPLES</t>
        </is>
      </c>
      <c r="J708" t="inlineStr">
        <is>
          <t>0301</t>
        </is>
      </c>
      <c r="K708" t="inlineStr">
        <is>
          <t>ÁREAS MÚLTIPLES</t>
        </is>
      </c>
      <c r="L708" t="inlineStr"/>
      <c r="M708" t="inlineStr"/>
      <c r="N708" t="inlineStr"/>
      <c r="O708" t="inlineStr">
        <is>
          <t>Maestro de aula: todas las áreas con su grupo</t>
        </is>
      </c>
      <c r="P708" t="inlineStr"/>
      <c r="Q708">
        <f>IF(I708="ENFASIS","ÉNFASIS "&amp;M708,IFERROR(VLOOKUP(J708,Grupos!$A$2:$D$100,4,FALSE),J708))</f>
        <v/>
      </c>
      <c r="R708">
        <f>O708&amp;IF(N708&lt;&gt;"",IF(O708&lt;&gt;""," · ","")&amp;"Con: "&amp;N708,"")</f>
        <v/>
      </c>
      <c r="S708">
        <f>C708&amp;"|"&amp;D708</f>
        <v/>
      </c>
      <c r="T708">
        <f>COUNTIF($S$2:S708,S708)</f>
        <v/>
      </c>
      <c r="U708">
        <f>S708&amp;"|"&amp;T708</f>
        <v/>
      </c>
      <c r="V708">
        <f>IFERROR(VLOOKUP(IF(I708="ENFASIS",LEFT(M708,FIND("+",M708&amp;"+")-1),J708),Direccion_Grupo!$A$2:$G$100,7,FALSE),"")</f>
        <v/>
      </c>
    </row>
    <row r="709">
      <c r="A709" t="n">
        <v>24</v>
      </c>
      <c r="B709" t="inlineStr">
        <is>
          <t>Landázuri Gallón Teresa</t>
        </is>
      </c>
      <c r="C709" t="inlineStr">
        <is>
          <t>MIERCOLES</t>
        </is>
      </c>
      <c r="D709" t="n">
        <v>3</v>
      </c>
      <c r="E709" t="n">
        <v>2</v>
      </c>
      <c r="F709" t="n">
        <v>1</v>
      </c>
      <c r="G709" t="inlineStr">
        <is>
          <t>08:20</t>
        </is>
      </c>
      <c r="H709" t="inlineStr">
        <is>
          <t>09:05</t>
        </is>
      </c>
      <c r="I709" t="inlineStr">
        <is>
          <t>AREAS_MULTIPLES</t>
        </is>
      </c>
      <c r="J709" t="inlineStr">
        <is>
          <t>0302</t>
        </is>
      </c>
      <c r="K709" t="inlineStr">
        <is>
          <t>ÁREAS MÚLTIPLES</t>
        </is>
      </c>
      <c r="L709" t="inlineStr"/>
      <c r="M709" t="inlineStr"/>
      <c r="N709" t="inlineStr"/>
      <c r="O709" t="inlineStr">
        <is>
          <t>Maestro de aula: todas las áreas con su grupo</t>
        </is>
      </c>
      <c r="P709" t="inlineStr"/>
      <c r="Q709">
        <f>IF(I709="ENFASIS","ÉNFASIS "&amp;M709,IFERROR(VLOOKUP(J709,Grupos!$A$2:$D$100,4,FALSE),J709))</f>
        <v/>
      </c>
      <c r="R709">
        <f>O709&amp;IF(N709&lt;&gt;"",IF(O709&lt;&gt;""," · ","")&amp;"Con: "&amp;N709,"")</f>
        <v/>
      </c>
      <c r="S709">
        <f>C709&amp;"|"&amp;D709</f>
        <v/>
      </c>
      <c r="T709">
        <f>COUNTIF($S$2:S709,S709)</f>
        <v/>
      </c>
      <c r="U709">
        <f>S709&amp;"|"&amp;T709</f>
        <v/>
      </c>
      <c r="V709">
        <f>IFERROR(VLOOKUP(IF(I709="ENFASIS",LEFT(M709,FIND("+",M709&amp;"+")-1),J709),Direccion_Grupo!$A$2:$G$100,7,FALSE),"")</f>
        <v/>
      </c>
    </row>
    <row r="710">
      <c r="A710" t="n">
        <v>55</v>
      </c>
      <c r="B710" t="inlineStr">
        <is>
          <t>Zamora Ordóñez Celia Pastora</t>
        </is>
      </c>
      <c r="C710" t="inlineStr">
        <is>
          <t>MIERCOLES</t>
        </is>
      </c>
      <c r="D710" t="n">
        <v>3</v>
      </c>
      <c r="E710" t="n">
        <v>2</v>
      </c>
      <c r="F710" t="n">
        <v>1</v>
      </c>
      <c r="G710" t="inlineStr">
        <is>
          <t>08:20</t>
        </is>
      </c>
      <c r="H710" t="inlineStr">
        <is>
          <t>09:05</t>
        </is>
      </c>
      <c r="I710" t="inlineStr">
        <is>
          <t>AREAS_MULTIPLES</t>
        </is>
      </c>
      <c r="J710" t="inlineStr">
        <is>
          <t>0401</t>
        </is>
      </c>
      <c r="K710" t="inlineStr">
        <is>
          <t>ÁREAS MÚLTIPLES</t>
        </is>
      </c>
      <c r="L710" t="inlineStr"/>
      <c r="M710" t="inlineStr"/>
      <c r="N710" t="inlineStr"/>
      <c r="O710" t="inlineStr">
        <is>
          <t>Maestro de aula: todas las áreas con su grupo</t>
        </is>
      </c>
      <c r="P710" t="inlineStr"/>
      <c r="Q710">
        <f>IF(I710="ENFASIS","ÉNFASIS "&amp;M710,IFERROR(VLOOKUP(J710,Grupos!$A$2:$D$100,4,FALSE),J710))</f>
        <v/>
      </c>
      <c r="R710">
        <f>O710&amp;IF(N710&lt;&gt;"",IF(O710&lt;&gt;""," · ","")&amp;"Con: "&amp;N710,"")</f>
        <v/>
      </c>
      <c r="S710">
        <f>C710&amp;"|"&amp;D710</f>
        <v/>
      </c>
      <c r="T710">
        <f>COUNTIF($S$2:S710,S710)</f>
        <v/>
      </c>
      <c r="U710">
        <f>S710&amp;"|"&amp;T710</f>
        <v/>
      </c>
      <c r="V710">
        <f>IFERROR(VLOOKUP(IF(I710="ENFASIS",LEFT(M710,FIND("+",M710&amp;"+")-1),J710),Direccion_Grupo!$A$2:$G$100,7,FALSE),"")</f>
        <v/>
      </c>
    </row>
    <row r="711">
      <c r="A711" t="n">
        <v>33</v>
      </c>
      <c r="B711" t="inlineStr">
        <is>
          <t>Núñez Perlaza Elcy</t>
        </is>
      </c>
      <c r="C711" t="inlineStr">
        <is>
          <t>MIERCOLES</t>
        </is>
      </c>
      <c r="D711" t="n">
        <v>3</v>
      </c>
      <c r="E711" t="n">
        <v>2</v>
      </c>
      <c r="F711" t="n">
        <v>1</v>
      </c>
      <c r="G711" t="inlineStr">
        <is>
          <t>08:20</t>
        </is>
      </c>
      <c r="H711" t="inlineStr">
        <is>
          <t>09:05</t>
        </is>
      </c>
      <c r="I711" t="inlineStr">
        <is>
          <t>AREAS_MULTIPLES</t>
        </is>
      </c>
      <c r="J711" t="inlineStr">
        <is>
          <t>0402</t>
        </is>
      </c>
      <c r="K711" t="inlineStr">
        <is>
          <t>ÁREAS MÚLTIPLES</t>
        </is>
      </c>
      <c r="L711" t="inlineStr"/>
      <c r="M711" t="inlineStr"/>
      <c r="N711" t="inlineStr"/>
      <c r="O711" t="inlineStr">
        <is>
          <t>Maestro de aula: todas las áreas con su grupo</t>
        </is>
      </c>
      <c r="P711" t="inlineStr"/>
      <c r="Q711">
        <f>IF(I711="ENFASIS","ÉNFASIS "&amp;M711,IFERROR(VLOOKUP(J711,Grupos!$A$2:$D$100,4,FALSE),J711))</f>
        <v/>
      </c>
      <c r="R711">
        <f>O711&amp;IF(N711&lt;&gt;"",IF(O711&lt;&gt;""," · ","")&amp;"Con: "&amp;N711,"")</f>
        <v/>
      </c>
      <c r="S711">
        <f>C711&amp;"|"&amp;D711</f>
        <v/>
      </c>
      <c r="T711">
        <f>COUNTIF($S$2:S711,S711)</f>
        <v/>
      </c>
      <c r="U711">
        <f>S711&amp;"|"&amp;T711</f>
        <v/>
      </c>
      <c r="V711">
        <f>IFERROR(VLOOKUP(IF(I711="ENFASIS",LEFT(M711,FIND("+",M711&amp;"+")-1),J711),Direccion_Grupo!$A$2:$G$100,7,FALSE),"")</f>
        <v/>
      </c>
    </row>
    <row r="712">
      <c r="A712" t="n">
        <v>14</v>
      </c>
      <c r="B712" t="inlineStr">
        <is>
          <t>Cuéllar Gallo Nemesia</t>
        </is>
      </c>
      <c r="C712" t="inlineStr">
        <is>
          <t>MIERCOLES</t>
        </is>
      </c>
      <c r="D712" t="n">
        <v>3</v>
      </c>
      <c r="E712" t="n">
        <v>2</v>
      </c>
      <c r="F712" t="n">
        <v>1</v>
      </c>
      <c r="G712" t="inlineStr">
        <is>
          <t>08:20</t>
        </is>
      </c>
      <c r="H712" t="inlineStr">
        <is>
          <t>09:05</t>
        </is>
      </c>
      <c r="I712" t="inlineStr">
        <is>
          <t>AREAS_MULTIPLES</t>
        </is>
      </c>
      <c r="J712" t="inlineStr">
        <is>
          <t>0501</t>
        </is>
      </c>
      <c r="K712" t="inlineStr">
        <is>
          <t>ÁREAS MÚLTIPLES</t>
        </is>
      </c>
      <c r="L712" t="inlineStr"/>
      <c r="M712" t="inlineStr"/>
      <c r="N712" t="inlineStr"/>
      <c r="O712" t="inlineStr">
        <is>
          <t>Maestro de aula: todas las áreas con su grupo</t>
        </is>
      </c>
      <c r="P712" t="inlineStr"/>
      <c r="Q712">
        <f>IF(I712="ENFASIS","ÉNFASIS "&amp;M712,IFERROR(VLOOKUP(J712,Grupos!$A$2:$D$100,4,FALSE),J712))</f>
        <v/>
      </c>
      <c r="R712">
        <f>O712&amp;IF(N712&lt;&gt;"",IF(O712&lt;&gt;""," · ","")&amp;"Con: "&amp;N712,"")</f>
        <v/>
      </c>
      <c r="S712">
        <f>C712&amp;"|"&amp;D712</f>
        <v/>
      </c>
      <c r="T712">
        <f>COUNTIF($S$2:S712,S712)</f>
        <v/>
      </c>
      <c r="U712">
        <f>S712&amp;"|"&amp;T712</f>
        <v/>
      </c>
      <c r="V712">
        <f>IFERROR(VLOOKUP(IF(I712="ENFASIS",LEFT(M712,FIND("+",M712&amp;"+")-1),J712),Direccion_Grupo!$A$2:$G$100,7,FALSE),"")</f>
        <v/>
      </c>
    </row>
    <row r="713">
      <c r="A713" t="n">
        <v>11</v>
      </c>
      <c r="B713" t="inlineStr">
        <is>
          <t>Centeno Zúñiga Claudia Patricia</t>
        </is>
      </c>
      <c r="C713" t="inlineStr">
        <is>
          <t>MIERCOLES</t>
        </is>
      </c>
      <c r="D713" t="n">
        <v>3</v>
      </c>
      <c r="E713" t="n">
        <v>2</v>
      </c>
      <c r="F713" t="n">
        <v>1</v>
      </c>
      <c r="G713" t="inlineStr">
        <is>
          <t>08:20</t>
        </is>
      </c>
      <c r="H713" t="inlineStr">
        <is>
          <t>09:05</t>
        </is>
      </c>
      <c r="I713" t="inlineStr">
        <is>
          <t>AREAS_MULTIPLES</t>
        </is>
      </c>
      <c r="J713" t="inlineStr">
        <is>
          <t>0502</t>
        </is>
      </c>
      <c r="K713" t="inlineStr">
        <is>
          <t>ÁREAS MÚLTIPLES</t>
        </is>
      </c>
      <c r="L713" t="inlineStr"/>
      <c r="M713" t="inlineStr"/>
      <c r="N713" t="inlineStr"/>
      <c r="O713" t="inlineStr">
        <is>
          <t>Maestro de aula: todas las áreas con su grupo</t>
        </is>
      </c>
      <c r="P713" t="inlineStr"/>
      <c r="Q713">
        <f>IF(I713="ENFASIS","ÉNFASIS "&amp;M713,IFERROR(VLOOKUP(J713,Grupos!$A$2:$D$100,4,FALSE),J713))</f>
        <v/>
      </c>
      <c r="R713">
        <f>O713&amp;IF(N713&lt;&gt;"",IF(O713&lt;&gt;""," · ","")&amp;"Con: "&amp;N713,"")</f>
        <v/>
      </c>
      <c r="S713">
        <f>C713&amp;"|"&amp;D713</f>
        <v/>
      </c>
      <c r="T713">
        <f>COUNTIF($S$2:S713,S713)</f>
        <v/>
      </c>
      <c r="U713">
        <f>S713&amp;"|"&amp;T713</f>
        <v/>
      </c>
      <c r="V713">
        <f>IFERROR(VLOOKUP(IF(I713="ENFASIS",LEFT(M713,FIND("+",M713&amp;"+")-1),J713),Direccion_Grupo!$A$2:$G$100,7,FALSE),"")</f>
        <v/>
      </c>
    </row>
    <row r="714">
      <c r="A714" t="n">
        <v>32</v>
      </c>
      <c r="B714" t="inlineStr">
        <is>
          <t>Narváez Sánchez Dora Alejandra</t>
        </is>
      </c>
      <c r="C714" t="inlineStr">
        <is>
          <t>MIERCOLES</t>
        </is>
      </c>
      <c r="D714" t="n">
        <v>3</v>
      </c>
      <c r="E714" t="n">
        <v>2</v>
      </c>
      <c r="F714" t="n">
        <v>1</v>
      </c>
      <c r="G714" t="inlineStr">
        <is>
          <t>08:20</t>
        </is>
      </c>
      <c r="H714" t="inlineStr">
        <is>
          <t>09:05</t>
        </is>
      </c>
      <c r="I714" t="inlineStr">
        <is>
          <t>AREAS_MULTIPLES</t>
        </is>
      </c>
      <c r="J714" t="inlineStr">
        <is>
          <t>0503</t>
        </is>
      </c>
      <c r="K714" t="inlineStr">
        <is>
          <t>ÁREAS MÚLTIPLES</t>
        </is>
      </c>
      <c r="L714" t="inlineStr"/>
      <c r="M714" t="inlineStr"/>
      <c r="N714" t="inlineStr"/>
      <c r="O714" t="inlineStr">
        <is>
          <t>Maestro de aula: todas las áreas con su grupo</t>
        </is>
      </c>
      <c r="P714" t="inlineStr"/>
      <c r="Q714">
        <f>IF(I714="ENFASIS","ÉNFASIS "&amp;M714,IFERROR(VLOOKUP(J714,Grupos!$A$2:$D$100,4,FALSE),J714))</f>
        <v/>
      </c>
      <c r="R714">
        <f>O714&amp;IF(N714&lt;&gt;"",IF(O714&lt;&gt;""," · ","")&amp;"Con: "&amp;N714,"")</f>
        <v/>
      </c>
      <c r="S714">
        <f>C714&amp;"|"&amp;D714</f>
        <v/>
      </c>
      <c r="T714">
        <f>COUNTIF($S$2:S714,S714)</f>
        <v/>
      </c>
      <c r="U714">
        <f>S714&amp;"|"&amp;T714</f>
        <v/>
      </c>
      <c r="V714">
        <f>IFERROR(VLOOKUP(IF(I714="ENFASIS",LEFT(M714,FIND("+",M714&amp;"+")-1),J714),Direccion_Grupo!$A$2:$G$100,7,FALSE),"")</f>
        <v/>
      </c>
    </row>
    <row r="715">
      <c r="A715" t="n">
        <v>17</v>
      </c>
      <c r="B715" t="inlineStr">
        <is>
          <t>Escobar Cortés Liliana</t>
        </is>
      </c>
      <c r="C715" t="inlineStr">
        <is>
          <t>MIERCOLES</t>
        </is>
      </c>
      <c r="D715" t="n">
        <v>3</v>
      </c>
      <c r="E715" t="n">
        <v>2</v>
      </c>
      <c r="F715" t="n">
        <v>1</v>
      </c>
      <c r="G715" t="inlineStr">
        <is>
          <t>08:20</t>
        </is>
      </c>
      <c r="H715" t="inlineStr">
        <is>
          <t>09:05</t>
        </is>
      </c>
      <c r="I715" t="inlineStr">
        <is>
          <t>AREAS_MULTIPLES</t>
        </is>
      </c>
      <c r="J715" t="inlineStr">
        <is>
          <t>0504</t>
        </is>
      </c>
      <c r="K715" t="inlineStr">
        <is>
          <t>ÁREAS MÚLTIPLES</t>
        </is>
      </c>
      <c r="L715" t="inlineStr"/>
      <c r="M715" t="inlineStr"/>
      <c r="N715" t="inlineStr"/>
      <c r="O715" t="inlineStr">
        <is>
          <t>Maestro de aula: todas las áreas con su grupo</t>
        </is>
      </c>
      <c r="P715" t="inlineStr"/>
      <c r="Q715">
        <f>IF(I715="ENFASIS","ÉNFASIS "&amp;M715,IFERROR(VLOOKUP(J715,Grupos!$A$2:$D$100,4,FALSE),J715))</f>
        <v/>
      </c>
      <c r="R715">
        <f>O715&amp;IF(N715&lt;&gt;"",IF(O715&lt;&gt;""," · ","")&amp;"Con: "&amp;N715,"")</f>
        <v/>
      </c>
      <c r="S715">
        <f>C715&amp;"|"&amp;D715</f>
        <v/>
      </c>
      <c r="T715">
        <f>COUNTIF($S$2:S715,S715)</f>
        <v/>
      </c>
      <c r="U715">
        <f>S715&amp;"|"&amp;T715</f>
        <v/>
      </c>
      <c r="V715">
        <f>IFERROR(VLOOKUP(IF(I715="ENFASIS",LEFT(M715,FIND("+",M715&amp;"+")-1),J715),Direccion_Grupo!$A$2:$G$100,7,FALSE),"")</f>
        <v/>
      </c>
    </row>
    <row r="716">
      <c r="A716" t="n">
        <v>16</v>
      </c>
      <c r="B716" t="inlineStr">
        <is>
          <t>Cuero Rincón Hernando Jesús</t>
        </is>
      </c>
      <c r="C716" t="inlineStr">
        <is>
          <t>MIERCOLES</t>
        </is>
      </c>
      <c r="D716" t="n">
        <v>3</v>
      </c>
      <c r="E716" t="n">
        <v>2</v>
      </c>
      <c r="F716" t="n">
        <v>1</v>
      </c>
      <c r="G716" t="inlineStr">
        <is>
          <t>08:20</t>
        </is>
      </c>
      <c r="H716" t="inlineStr">
        <is>
          <t>09:05</t>
        </is>
      </c>
      <c r="I716" t="inlineStr">
        <is>
          <t>CLASE</t>
        </is>
      </c>
      <c r="J716" t="inlineStr">
        <is>
          <t>0601</t>
        </is>
      </c>
      <c r="K716" t="inlineStr">
        <is>
          <t>CAS</t>
        </is>
      </c>
      <c r="L716" t="inlineStr"/>
      <c r="M716" t="inlineStr"/>
      <c r="N716" t="inlineStr"/>
      <c r="O716" t="inlineStr"/>
      <c r="P716" t="inlineStr">
        <is>
          <t>0601-CAS</t>
        </is>
      </c>
      <c r="Q716">
        <f>IF(I716="ENFASIS","ÉNFASIS "&amp;M716,IFERROR(VLOOKUP(J716,Grupos!$A$2:$D$100,4,FALSE),J716))</f>
        <v/>
      </c>
      <c r="R716">
        <f>O716&amp;IF(N716&lt;&gt;"",IF(O716&lt;&gt;""," · ","")&amp;"Con: "&amp;N716,"")</f>
        <v/>
      </c>
      <c r="S716">
        <f>C716&amp;"|"&amp;D716</f>
        <v/>
      </c>
      <c r="T716">
        <f>COUNTIF($S$2:S716,S716)</f>
        <v/>
      </c>
      <c r="U716">
        <f>S716&amp;"|"&amp;T716</f>
        <v/>
      </c>
      <c r="V716">
        <f>IFERROR(VLOOKUP(IF(I716="ENFASIS",LEFT(M716,FIND("+",M716&amp;"+")-1),J716),Direccion_Grupo!$A$2:$G$100,7,FALSE),"")</f>
        <v/>
      </c>
    </row>
    <row r="717">
      <c r="A717" t="n">
        <v>37</v>
      </c>
      <c r="B717" t="inlineStr">
        <is>
          <t>Prado Quiñones Genís Maribel</t>
        </is>
      </c>
      <c r="C717" t="inlineStr">
        <is>
          <t>MIERCOLES</t>
        </is>
      </c>
      <c r="D717" t="n">
        <v>3</v>
      </c>
      <c r="E717" t="n">
        <v>2</v>
      </c>
      <c r="F717" t="n">
        <v>1</v>
      </c>
      <c r="G717" t="inlineStr">
        <is>
          <t>08:20</t>
        </is>
      </c>
      <c r="H717" t="inlineStr">
        <is>
          <t>09:05</t>
        </is>
      </c>
      <c r="I717" t="inlineStr">
        <is>
          <t>CLASE</t>
        </is>
      </c>
      <c r="J717" t="inlineStr">
        <is>
          <t>0602</t>
        </is>
      </c>
      <c r="K717" t="inlineStr">
        <is>
          <t>ART</t>
        </is>
      </c>
      <c r="L717" t="inlineStr"/>
      <c r="M717" t="inlineStr"/>
      <c r="N717" t="inlineStr"/>
      <c r="O717" t="inlineStr"/>
      <c r="P717" t="inlineStr">
        <is>
          <t>0602-ART</t>
        </is>
      </c>
      <c r="Q717">
        <f>IF(I717="ENFASIS","ÉNFASIS "&amp;M717,IFERROR(VLOOKUP(J717,Grupos!$A$2:$D$100,4,FALSE),J717))</f>
        <v/>
      </c>
      <c r="R717">
        <f>O717&amp;IF(N717&lt;&gt;"",IF(O717&lt;&gt;""," · ","")&amp;"Con: "&amp;N717,"")</f>
        <v/>
      </c>
      <c r="S717">
        <f>C717&amp;"|"&amp;D717</f>
        <v/>
      </c>
      <c r="T717">
        <f>COUNTIF($S$2:S717,S717)</f>
        <v/>
      </c>
      <c r="U717">
        <f>S717&amp;"|"&amp;T717</f>
        <v/>
      </c>
      <c r="V717">
        <f>IFERROR(VLOOKUP(IF(I717="ENFASIS",LEFT(M717,FIND("+",M717&amp;"+")-1),J717),Direccion_Grupo!$A$2:$G$100,7,FALSE),"")</f>
        <v/>
      </c>
    </row>
    <row r="718">
      <c r="A718" t="n">
        <v>10</v>
      </c>
      <c r="B718" t="inlineStr">
        <is>
          <t>Castillo Cuero Daira Eneida</t>
        </is>
      </c>
      <c r="C718" t="inlineStr">
        <is>
          <t>MIERCOLES</t>
        </is>
      </c>
      <c r="D718" t="n">
        <v>3</v>
      </c>
      <c r="E718" t="n">
        <v>2</v>
      </c>
      <c r="F718" t="n">
        <v>1</v>
      </c>
      <c r="G718" t="inlineStr">
        <is>
          <t>08:20</t>
        </is>
      </c>
      <c r="H718" t="inlineStr">
        <is>
          <t>09:05</t>
        </is>
      </c>
      <c r="I718" t="inlineStr">
        <is>
          <t>CLASE</t>
        </is>
      </c>
      <c r="J718" t="inlineStr">
        <is>
          <t>0701</t>
        </is>
      </c>
      <c r="K718" t="inlineStr">
        <is>
          <t>CAS</t>
        </is>
      </c>
      <c r="L718" t="inlineStr"/>
      <c r="M718" t="inlineStr"/>
      <c r="N718" t="inlineStr"/>
      <c r="O718" t="inlineStr"/>
      <c r="P718" t="inlineStr">
        <is>
          <t>0701-CAS</t>
        </is>
      </c>
      <c r="Q718">
        <f>IF(I718="ENFASIS","ÉNFASIS "&amp;M718,IFERROR(VLOOKUP(J718,Grupos!$A$2:$D$100,4,FALSE),J718))</f>
        <v/>
      </c>
      <c r="R718">
        <f>O718&amp;IF(N718&lt;&gt;"",IF(O718&lt;&gt;""," · ","")&amp;"Con: "&amp;N718,"")</f>
        <v/>
      </c>
      <c r="S718">
        <f>C718&amp;"|"&amp;D718</f>
        <v/>
      </c>
      <c r="T718">
        <f>COUNTIF($S$2:S718,S718)</f>
        <v/>
      </c>
      <c r="U718">
        <f>S718&amp;"|"&amp;T718</f>
        <v/>
      </c>
      <c r="V718">
        <f>IFERROR(VLOOKUP(IF(I718="ENFASIS",LEFT(M718,FIND("+",M718&amp;"+")-1),J718),Direccion_Grupo!$A$2:$G$100,7,FALSE),"")</f>
        <v/>
      </c>
    </row>
    <row r="719">
      <c r="A719" t="n">
        <v>39</v>
      </c>
      <c r="B719" t="inlineStr">
        <is>
          <t>Puches Ana Milena</t>
        </is>
      </c>
      <c r="C719" t="inlineStr">
        <is>
          <t>MIERCOLES</t>
        </is>
      </c>
      <c r="D719" t="n">
        <v>3</v>
      </c>
      <c r="E719" t="n">
        <v>2</v>
      </c>
      <c r="F719" t="n">
        <v>1</v>
      </c>
      <c r="G719" t="inlineStr">
        <is>
          <t>08:20</t>
        </is>
      </c>
      <c r="H719" t="inlineStr">
        <is>
          <t>09:05</t>
        </is>
      </c>
      <c r="I719" t="inlineStr">
        <is>
          <t>CLASE</t>
        </is>
      </c>
      <c r="J719" t="inlineStr">
        <is>
          <t>0702</t>
        </is>
      </c>
      <c r="K719" t="inlineStr">
        <is>
          <t>ART</t>
        </is>
      </c>
      <c r="L719" t="inlineStr"/>
      <c r="M719" t="inlineStr"/>
      <c r="N719" t="inlineStr"/>
      <c r="O719" t="inlineStr"/>
      <c r="P719" t="inlineStr">
        <is>
          <t>0702-ART</t>
        </is>
      </c>
      <c r="Q719">
        <f>IF(I719="ENFASIS","ÉNFASIS "&amp;M719,IFERROR(VLOOKUP(J719,Grupos!$A$2:$D$100,4,FALSE),J719))</f>
        <v/>
      </c>
      <c r="R719">
        <f>O719&amp;IF(N719&lt;&gt;"",IF(O719&lt;&gt;""," · ","")&amp;"Con: "&amp;N719,"")</f>
        <v/>
      </c>
      <c r="S719">
        <f>C719&amp;"|"&amp;D719</f>
        <v/>
      </c>
      <c r="T719">
        <f>COUNTIF($S$2:S719,S719)</f>
        <v/>
      </c>
      <c r="U719">
        <f>S719&amp;"|"&amp;T719</f>
        <v/>
      </c>
      <c r="V719">
        <f>IFERROR(VLOOKUP(IF(I719="ENFASIS",LEFT(M719,FIND("+",M719&amp;"+")-1),J719),Direccion_Grupo!$A$2:$G$100,7,FALSE),"")</f>
        <v/>
      </c>
    </row>
    <row r="720">
      <c r="A720" t="n">
        <v>34</v>
      </c>
      <c r="B720" t="inlineStr">
        <is>
          <t>Ordóñez Tenorio Jaime Marcial</t>
        </is>
      </c>
      <c r="C720" t="inlineStr">
        <is>
          <t>MIERCOLES</t>
        </is>
      </c>
      <c r="D720" t="n">
        <v>3</v>
      </c>
      <c r="E720" t="n">
        <v>2</v>
      </c>
      <c r="F720" t="n">
        <v>1</v>
      </c>
      <c r="G720" t="inlineStr">
        <is>
          <t>08:20</t>
        </is>
      </c>
      <c r="H720" t="inlineStr">
        <is>
          <t>09:05</t>
        </is>
      </c>
      <c r="I720" t="inlineStr">
        <is>
          <t>CLASE</t>
        </is>
      </c>
      <c r="J720" t="inlineStr">
        <is>
          <t>0703</t>
        </is>
      </c>
      <c r="K720" t="inlineStr">
        <is>
          <t>CNA</t>
        </is>
      </c>
      <c r="L720" t="inlineStr"/>
      <c r="M720" t="inlineStr"/>
      <c r="N720" t="inlineStr"/>
      <c r="O720" t="inlineStr"/>
      <c r="P720" t="inlineStr">
        <is>
          <t>0703-CNA</t>
        </is>
      </c>
      <c r="Q720">
        <f>IF(I720="ENFASIS","ÉNFASIS "&amp;M720,IFERROR(VLOOKUP(J720,Grupos!$A$2:$D$100,4,FALSE),J720))</f>
        <v/>
      </c>
      <c r="R720">
        <f>O720&amp;IF(N720&lt;&gt;"",IF(O720&lt;&gt;""," · ","")&amp;"Con: "&amp;N720,"")</f>
        <v/>
      </c>
      <c r="S720">
        <f>C720&amp;"|"&amp;D720</f>
        <v/>
      </c>
      <c r="T720">
        <f>COUNTIF($S$2:S720,S720)</f>
        <v/>
      </c>
      <c r="U720">
        <f>S720&amp;"|"&amp;T720</f>
        <v/>
      </c>
      <c r="V720">
        <f>IFERROR(VLOOKUP(IF(I720="ENFASIS",LEFT(M720,FIND("+",M720&amp;"+")-1),J720),Direccion_Grupo!$A$2:$G$100,7,FALSE),"")</f>
        <v/>
      </c>
    </row>
    <row r="721">
      <c r="A721" t="n">
        <v>4</v>
      </c>
      <c r="B721" t="inlineStr">
        <is>
          <t>Arizala Castro Roberto Carlos</t>
        </is>
      </c>
      <c r="C721" t="inlineStr">
        <is>
          <t>MIERCOLES</t>
        </is>
      </c>
      <c r="D721" t="n">
        <v>3</v>
      </c>
      <c r="E721" t="n">
        <v>2</v>
      </c>
      <c r="F721" t="n">
        <v>1</v>
      </c>
      <c r="G721" t="inlineStr">
        <is>
          <t>08:20</t>
        </is>
      </c>
      <c r="H721" t="inlineStr">
        <is>
          <t>09:05</t>
        </is>
      </c>
      <c r="I721" t="inlineStr">
        <is>
          <t>CLASE</t>
        </is>
      </c>
      <c r="J721" t="inlineStr">
        <is>
          <t>0704</t>
        </is>
      </c>
      <c r="K721" t="inlineStr">
        <is>
          <t>ERD</t>
        </is>
      </c>
      <c r="L721" t="inlineStr"/>
      <c r="M721" t="inlineStr"/>
      <c r="N721" t="inlineStr"/>
      <c r="O721" t="inlineStr"/>
      <c r="P721" t="inlineStr">
        <is>
          <t>0704-ERD</t>
        </is>
      </c>
      <c r="Q721">
        <f>IF(I721="ENFASIS","ÉNFASIS "&amp;M721,IFERROR(VLOOKUP(J721,Grupos!$A$2:$D$100,4,FALSE),J721))</f>
        <v/>
      </c>
      <c r="R721">
        <f>O721&amp;IF(N721&lt;&gt;"",IF(O721&lt;&gt;""," · ","")&amp;"Con: "&amp;N721,"")</f>
        <v/>
      </c>
      <c r="S721">
        <f>C721&amp;"|"&amp;D721</f>
        <v/>
      </c>
      <c r="T721">
        <f>COUNTIF($S$2:S721,S721)</f>
        <v/>
      </c>
      <c r="U721">
        <f>S721&amp;"|"&amp;T721</f>
        <v/>
      </c>
      <c r="V721">
        <f>IFERROR(VLOOKUP(IF(I721="ENFASIS",LEFT(M721,FIND("+",M721&amp;"+")-1),J721),Direccion_Grupo!$A$2:$G$100,7,FALSE),"")</f>
        <v/>
      </c>
    </row>
    <row r="722">
      <c r="A722" t="n">
        <v>35</v>
      </c>
      <c r="B722" t="inlineStr">
        <is>
          <t>Ortiz Araujo Adiela Carlota</t>
        </is>
      </c>
      <c r="C722" t="inlineStr">
        <is>
          <t>MIERCOLES</t>
        </is>
      </c>
      <c r="D722" t="n">
        <v>3</v>
      </c>
      <c r="E722" t="n">
        <v>2</v>
      </c>
      <c r="F722" t="n">
        <v>1</v>
      </c>
      <c r="G722" t="inlineStr">
        <is>
          <t>08:20</t>
        </is>
      </c>
      <c r="H722" t="inlineStr">
        <is>
          <t>09:05</t>
        </is>
      </c>
      <c r="I722" t="inlineStr">
        <is>
          <t>CLASE</t>
        </is>
      </c>
      <c r="J722" t="inlineStr">
        <is>
          <t>0802</t>
        </is>
      </c>
      <c r="K722" t="inlineStr">
        <is>
          <t>CSI</t>
        </is>
      </c>
      <c r="L722" t="inlineStr"/>
      <c r="M722" t="inlineStr"/>
      <c r="N722" t="inlineStr"/>
      <c r="O722" t="inlineStr">
        <is>
          <t>Sociales / Inglés (alternan cada semana)</t>
        </is>
      </c>
      <c r="P722" t="inlineStr">
        <is>
          <t>0802-CSI</t>
        </is>
      </c>
      <c r="Q722">
        <f>IF(I722="ENFASIS","ÉNFASIS "&amp;M722,IFERROR(VLOOKUP(J722,Grupos!$A$2:$D$100,4,FALSE),J722))</f>
        <v/>
      </c>
      <c r="R722">
        <f>O722&amp;IF(N722&lt;&gt;"",IF(O722&lt;&gt;""," · ","")&amp;"Con: "&amp;N722,"")</f>
        <v/>
      </c>
      <c r="S722">
        <f>C722&amp;"|"&amp;D722</f>
        <v/>
      </c>
      <c r="T722">
        <f>COUNTIF($S$2:S722,S722)</f>
        <v/>
      </c>
      <c r="U722">
        <f>S722&amp;"|"&amp;T722</f>
        <v/>
      </c>
      <c r="V722">
        <f>IFERROR(VLOOKUP(IF(I722="ENFASIS",LEFT(M722,FIND("+",M722&amp;"+")-1),J722),Direccion_Grupo!$A$2:$G$100,7,FALSE),"")</f>
        <v/>
      </c>
    </row>
    <row r="723">
      <c r="A723" t="n">
        <v>49</v>
      </c>
      <c r="B723" t="inlineStr">
        <is>
          <t>Valencia Marínez Saidy Eufemia</t>
        </is>
      </c>
      <c r="C723" t="inlineStr">
        <is>
          <t>MIERCOLES</t>
        </is>
      </c>
      <c r="D723" t="n">
        <v>3</v>
      </c>
      <c r="E723" t="n">
        <v>2</v>
      </c>
      <c r="F723" t="n">
        <v>1</v>
      </c>
      <c r="G723" t="inlineStr">
        <is>
          <t>08:20</t>
        </is>
      </c>
      <c r="H723" t="inlineStr">
        <is>
          <t>09:05</t>
        </is>
      </c>
      <c r="I723" t="inlineStr">
        <is>
          <t>CLASE</t>
        </is>
      </c>
      <c r="J723" t="inlineStr">
        <is>
          <t>0901</t>
        </is>
      </c>
      <c r="K723" t="inlineStr">
        <is>
          <t>ART</t>
        </is>
      </c>
      <c r="L723" t="inlineStr"/>
      <c r="M723" t="inlineStr"/>
      <c r="N723" t="inlineStr"/>
      <c r="O723" t="inlineStr"/>
      <c r="P723" t="inlineStr">
        <is>
          <t>0901-ART</t>
        </is>
      </c>
      <c r="Q723">
        <f>IF(I723="ENFASIS","ÉNFASIS "&amp;M723,IFERROR(VLOOKUP(J723,Grupos!$A$2:$D$100,4,FALSE),J723))</f>
        <v/>
      </c>
      <c r="R723">
        <f>O723&amp;IF(N723&lt;&gt;"",IF(O723&lt;&gt;""," · ","")&amp;"Con: "&amp;N723,"")</f>
        <v/>
      </c>
      <c r="S723">
        <f>C723&amp;"|"&amp;D723</f>
        <v/>
      </c>
      <c r="T723">
        <f>COUNTIF($S$2:S723,S723)</f>
        <v/>
      </c>
      <c r="U723">
        <f>S723&amp;"|"&amp;T723</f>
        <v/>
      </c>
      <c r="V723">
        <f>IFERROR(VLOOKUP(IF(I723="ENFASIS",LEFT(M723,FIND("+",M723&amp;"+")-1),J723),Direccion_Grupo!$A$2:$G$100,7,FALSE),"")</f>
        <v/>
      </c>
    </row>
    <row r="724">
      <c r="A724" t="n">
        <v>22</v>
      </c>
      <c r="B724" t="inlineStr">
        <is>
          <t>González Castillo Jólmer Jimy</t>
        </is>
      </c>
      <c r="C724" t="inlineStr">
        <is>
          <t>MIERCOLES</t>
        </is>
      </c>
      <c r="D724" t="n">
        <v>3</v>
      </c>
      <c r="E724" t="n">
        <v>2</v>
      </c>
      <c r="F724" t="n">
        <v>1</v>
      </c>
      <c r="G724" t="inlineStr">
        <is>
          <t>08:20</t>
        </is>
      </c>
      <c r="H724" t="inlineStr">
        <is>
          <t>09:05</t>
        </is>
      </c>
      <c r="I724" t="inlineStr">
        <is>
          <t>CLASE</t>
        </is>
      </c>
      <c r="J724" t="inlineStr">
        <is>
          <t>0902</t>
        </is>
      </c>
      <c r="K724" t="inlineStr">
        <is>
          <t>ERD</t>
        </is>
      </c>
      <c r="L724" t="inlineStr"/>
      <c r="M724" t="inlineStr"/>
      <c r="N724" t="inlineStr"/>
      <c r="O724" t="inlineStr"/>
      <c r="P724" t="inlineStr">
        <is>
          <t>0902-ERD</t>
        </is>
      </c>
      <c r="Q724">
        <f>IF(I724="ENFASIS","ÉNFASIS "&amp;M724,IFERROR(VLOOKUP(J724,Grupos!$A$2:$D$100,4,FALSE),J724))</f>
        <v/>
      </c>
      <c r="R724">
        <f>O724&amp;IF(N724&lt;&gt;"",IF(O724&lt;&gt;""," · ","")&amp;"Con: "&amp;N724,"")</f>
        <v/>
      </c>
      <c r="S724">
        <f>C724&amp;"|"&amp;D724</f>
        <v/>
      </c>
      <c r="T724">
        <f>COUNTIF($S$2:S724,S724)</f>
        <v/>
      </c>
      <c r="U724">
        <f>S724&amp;"|"&amp;T724</f>
        <v/>
      </c>
      <c r="V724">
        <f>IFERROR(VLOOKUP(IF(I724="ENFASIS",LEFT(M724,FIND("+",M724&amp;"+")-1),J724),Direccion_Grupo!$A$2:$G$100,7,FALSE),"")</f>
        <v/>
      </c>
    </row>
    <row r="725">
      <c r="A725" t="n">
        <v>28</v>
      </c>
      <c r="B725" t="inlineStr">
        <is>
          <t>Meza Banguera Gladys Alicia</t>
        </is>
      </c>
      <c r="C725" t="inlineStr">
        <is>
          <t>MIERCOLES</t>
        </is>
      </c>
      <c r="D725" t="n">
        <v>3</v>
      </c>
      <c r="E725" t="n">
        <v>2</v>
      </c>
      <c r="F725" t="n">
        <v>1</v>
      </c>
      <c r="G725" t="inlineStr">
        <is>
          <t>08:20</t>
        </is>
      </c>
      <c r="H725" t="inlineStr">
        <is>
          <t>09:05</t>
        </is>
      </c>
      <c r="I725" t="inlineStr">
        <is>
          <t>CLASE</t>
        </is>
      </c>
      <c r="J725" t="inlineStr">
        <is>
          <t>1001</t>
        </is>
      </c>
      <c r="K725" t="inlineStr">
        <is>
          <t>CAS</t>
        </is>
      </c>
      <c r="L725" t="inlineStr"/>
      <c r="M725" t="inlineStr"/>
      <c r="N725" t="inlineStr"/>
      <c r="O725" t="inlineStr"/>
      <c r="P725" t="inlineStr">
        <is>
          <t>1001-CAS</t>
        </is>
      </c>
      <c r="Q725">
        <f>IF(I725="ENFASIS","ÉNFASIS "&amp;M725,IFERROR(VLOOKUP(J725,Grupos!$A$2:$D$100,4,FALSE),J725))</f>
        <v/>
      </c>
      <c r="R725">
        <f>O725&amp;IF(N725&lt;&gt;"",IF(O725&lt;&gt;""," · ","")&amp;"Con: "&amp;N725,"")</f>
        <v/>
      </c>
      <c r="S725">
        <f>C725&amp;"|"&amp;D725</f>
        <v/>
      </c>
      <c r="T725">
        <f>COUNTIF($S$2:S725,S725)</f>
        <v/>
      </c>
      <c r="U725">
        <f>S725&amp;"|"&amp;T725</f>
        <v/>
      </c>
      <c r="V725">
        <f>IFERROR(VLOOKUP(IF(I725="ENFASIS",LEFT(M725,FIND("+",M725&amp;"+")-1),J725),Direccion_Grupo!$A$2:$G$100,7,FALSE),"")</f>
        <v/>
      </c>
    </row>
    <row r="726">
      <c r="A726" t="n">
        <v>30</v>
      </c>
      <c r="B726" t="inlineStr">
        <is>
          <t>Montaño Anchico Favio Héctor</t>
        </is>
      </c>
      <c r="C726" t="inlineStr">
        <is>
          <t>MIERCOLES</t>
        </is>
      </c>
      <c r="D726" t="n">
        <v>3</v>
      </c>
      <c r="E726" t="n">
        <v>2</v>
      </c>
      <c r="F726" t="n">
        <v>1</v>
      </c>
      <c r="G726" t="inlineStr">
        <is>
          <t>08:20</t>
        </is>
      </c>
      <c r="H726" t="inlineStr">
        <is>
          <t>09:05</t>
        </is>
      </c>
      <c r="I726" t="inlineStr">
        <is>
          <t>CLASE</t>
        </is>
      </c>
      <c r="J726" t="inlineStr">
        <is>
          <t>1002</t>
        </is>
      </c>
      <c r="K726" t="inlineStr">
        <is>
          <t>CAS</t>
        </is>
      </c>
      <c r="L726" t="inlineStr"/>
      <c r="M726" t="inlineStr"/>
      <c r="N726" t="inlineStr"/>
      <c r="O726" t="inlineStr"/>
      <c r="P726" t="inlineStr">
        <is>
          <t>1002-CAS</t>
        </is>
      </c>
      <c r="Q726">
        <f>IF(I726="ENFASIS","ÉNFASIS "&amp;M726,IFERROR(VLOOKUP(J726,Grupos!$A$2:$D$100,4,FALSE),J726))</f>
        <v/>
      </c>
      <c r="R726">
        <f>O726&amp;IF(N726&lt;&gt;"",IF(O726&lt;&gt;""," · ","")&amp;"Con: "&amp;N726,"")</f>
        <v/>
      </c>
      <c r="S726">
        <f>C726&amp;"|"&amp;D726</f>
        <v/>
      </c>
      <c r="T726">
        <f>COUNTIF($S$2:S726,S726)</f>
        <v/>
      </c>
      <c r="U726">
        <f>S726&amp;"|"&amp;T726</f>
        <v/>
      </c>
      <c r="V726">
        <f>IFERROR(VLOOKUP(IF(I726="ENFASIS",LEFT(M726,FIND("+",M726&amp;"+")-1),J726),Direccion_Grupo!$A$2:$G$100,7,FALSE),"")</f>
        <v/>
      </c>
    </row>
    <row r="727">
      <c r="A727" t="n">
        <v>3</v>
      </c>
      <c r="B727" t="inlineStr">
        <is>
          <t>Arboleda Ortiz Luz América</t>
        </is>
      </c>
      <c r="C727" t="inlineStr">
        <is>
          <t>MIERCOLES</t>
        </is>
      </c>
      <c r="D727" t="n">
        <v>3</v>
      </c>
      <c r="E727" t="n">
        <v>2</v>
      </c>
      <c r="F727" t="n">
        <v>1</v>
      </c>
      <c r="G727" t="inlineStr">
        <is>
          <t>08:20</t>
        </is>
      </c>
      <c r="H727" t="inlineStr">
        <is>
          <t>09:05</t>
        </is>
      </c>
      <c r="I727" t="inlineStr">
        <is>
          <t>CLASE</t>
        </is>
      </c>
      <c r="J727" t="inlineStr">
        <is>
          <t>1101</t>
        </is>
      </c>
      <c r="K727" t="inlineStr">
        <is>
          <t>ART</t>
        </is>
      </c>
      <c r="L727" t="inlineStr"/>
      <c r="M727" t="inlineStr"/>
      <c r="N727" t="inlineStr"/>
      <c r="O727" t="inlineStr"/>
      <c r="P727" t="inlineStr">
        <is>
          <t>1101-ART</t>
        </is>
      </c>
      <c r="Q727">
        <f>IF(I727="ENFASIS","ÉNFASIS "&amp;M727,IFERROR(VLOOKUP(J727,Grupos!$A$2:$D$100,4,FALSE),J727))</f>
        <v/>
      </c>
      <c r="R727">
        <f>O727&amp;IF(N727&lt;&gt;"",IF(O727&lt;&gt;""," · ","")&amp;"Con: "&amp;N727,"")</f>
        <v/>
      </c>
      <c r="S727">
        <f>C727&amp;"|"&amp;D727</f>
        <v/>
      </c>
      <c r="T727">
        <f>COUNTIF($S$2:S727,S727)</f>
        <v/>
      </c>
      <c r="U727">
        <f>S727&amp;"|"&amp;T727</f>
        <v/>
      </c>
      <c r="V727">
        <f>IFERROR(VLOOKUP(IF(I727="ENFASIS",LEFT(M727,FIND("+",M727&amp;"+")-1),J727),Direccion_Grupo!$A$2:$G$100,7,FALSE),"")</f>
        <v/>
      </c>
    </row>
    <row r="728">
      <c r="A728" t="n">
        <v>57</v>
      </c>
      <c r="B728" t="inlineStr">
        <is>
          <t>Armero Dájome Jesús</t>
        </is>
      </c>
      <c r="C728" t="inlineStr">
        <is>
          <t>MIERCOLES</t>
        </is>
      </c>
      <c r="D728" t="n">
        <v>3</v>
      </c>
      <c r="E728" t="n">
        <v>2</v>
      </c>
      <c r="F728" t="n">
        <v>1</v>
      </c>
      <c r="G728" t="inlineStr">
        <is>
          <t>08:20</t>
        </is>
      </c>
      <c r="H728" t="inlineStr">
        <is>
          <t>09:05</t>
        </is>
      </c>
      <c r="I728" t="inlineStr">
        <is>
          <t>CLASE</t>
        </is>
      </c>
      <c r="J728" t="inlineStr">
        <is>
          <t>CS101</t>
        </is>
      </c>
      <c r="K728" t="inlineStr">
        <is>
          <t>CNA</t>
        </is>
      </c>
      <c r="L728" t="inlineStr"/>
      <c r="M728" t="inlineStr"/>
      <c r="N728" t="inlineStr"/>
      <c r="O728" t="inlineStr"/>
      <c r="P728" t="inlineStr">
        <is>
          <t>CS101-CNA</t>
        </is>
      </c>
      <c r="Q728">
        <f>IF(I728="ENFASIS","ÉNFASIS "&amp;M728,IFERROR(VLOOKUP(J728,Grupos!$A$2:$D$100,4,FALSE),J728))</f>
        <v/>
      </c>
      <c r="R728">
        <f>O728&amp;IF(N728&lt;&gt;"",IF(O728&lt;&gt;""," · ","")&amp;"Con: "&amp;N728,"")</f>
        <v/>
      </c>
      <c r="S728">
        <f>C728&amp;"|"&amp;D728</f>
        <v/>
      </c>
      <c r="T728">
        <f>COUNTIF($S$2:S728,S728)</f>
        <v/>
      </c>
      <c r="U728">
        <f>S728&amp;"|"&amp;T728</f>
        <v/>
      </c>
      <c r="V728">
        <f>IFERROR(VLOOKUP(IF(I728="ENFASIS",LEFT(M728,FIND("+",M728&amp;"+")-1),J728),Direccion_Grupo!$A$2:$G$100,7,FALSE),"")</f>
        <v/>
      </c>
    </row>
    <row r="729">
      <c r="A729" t="n">
        <v>20</v>
      </c>
      <c r="B729" t="inlineStr">
        <is>
          <t>García Gobea Saydi Magali</t>
        </is>
      </c>
      <c r="C729" t="inlineStr">
        <is>
          <t>MIERCOLES</t>
        </is>
      </c>
      <c r="D729" t="n">
        <v>3</v>
      </c>
      <c r="E729" t="n">
        <v>2</v>
      </c>
      <c r="F729" t="n">
        <v>1</v>
      </c>
      <c r="G729" t="inlineStr">
        <is>
          <t>08:20</t>
        </is>
      </c>
      <c r="H729" t="inlineStr">
        <is>
          <t>09:05</t>
        </is>
      </c>
      <c r="I729" t="inlineStr">
        <is>
          <t>CLASE</t>
        </is>
      </c>
      <c r="J729" t="inlineStr">
        <is>
          <t>CS102</t>
        </is>
      </c>
      <c r="K729" t="inlineStr">
        <is>
          <t>CSI</t>
        </is>
      </c>
      <c r="L729" t="inlineStr"/>
      <c r="M729" t="inlineStr"/>
      <c r="N729" t="inlineStr"/>
      <c r="O729" t="inlineStr">
        <is>
          <t>Sociales / Inglés (alternan cada semana)</t>
        </is>
      </c>
      <c r="P729" t="inlineStr">
        <is>
          <t>CS102-CSI</t>
        </is>
      </c>
      <c r="Q729">
        <f>IF(I729="ENFASIS","ÉNFASIS "&amp;M729,IFERROR(VLOOKUP(J729,Grupos!$A$2:$D$100,4,FALSE),J729))</f>
        <v/>
      </c>
      <c r="R729">
        <f>O729&amp;IF(N729&lt;&gt;"",IF(O729&lt;&gt;""," · ","")&amp;"Con: "&amp;N729,"")</f>
        <v/>
      </c>
      <c r="S729">
        <f>C729&amp;"|"&amp;D729</f>
        <v/>
      </c>
      <c r="T729">
        <f>COUNTIF($S$2:S729,S729)</f>
        <v/>
      </c>
      <c r="U729">
        <f>S729&amp;"|"&amp;T729</f>
        <v/>
      </c>
      <c r="V729">
        <f>IFERROR(VLOOKUP(IF(I729="ENFASIS",LEFT(M729,FIND("+",M729&amp;"+")-1),J729),Direccion_Grupo!$A$2:$G$100,7,FALSE),"")</f>
        <v/>
      </c>
    </row>
    <row r="730">
      <c r="A730" t="n">
        <v>9</v>
      </c>
      <c r="B730" t="inlineStr">
        <is>
          <t>Castillo Angulo Martha Cecilia</t>
        </is>
      </c>
      <c r="C730" t="inlineStr">
        <is>
          <t>MIERCOLES</t>
        </is>
      </c>
      <c r="D730" t="n">
        <v>3</v>
      </c>
      <c r="E730" t="n">
        <v>2</v>
      </c>
      <c r="F730" t="n">
        <v>1</v>
      </c>
      <c r="G730" t="inlineStr">
        <is>
          <t>08:20</t>
        </is>
      </c>
      <c r="H730" t="inlineStr">
        <is>
          <t>09:05</t>
        </is>
      </c>
      <c r="I730" t="inlineStr">
        <is>
          <t>CLASE</t>
        </is>
      </c>
      <c r="J730" t="inlineStr">
        <is>
          <t>CS201</t>
        </is>
      </c>
      <c r="K730" t="inlineStr">
        <is>
          <t>ETR</t>
        </is>
      </c>
      <c r="L730" t="inlineStr"/>
      <c r="M730" t="inlineStr"/>
      <c r="N730" t="inlineStr"/>
      <c r="O730" t="inlineStr">
        <is>
          <t>Ética / Religión (alternan cada semana)</t>
        </is>
      </c>
      <c r="P730" t="inlineStr">
        <is>
          <t>CS201-ETR</t>
        </is>
      </c>
      <c r="Q730">
        <f>IF(I730="ENFASIS","ÉNFASIS "&amp;M730,IFERROR(VLOOKUP(J730,Grupos!$A$2:$D$100,4,FALSE),J730))</f>
        <v/>
      </c>
      <c r="R730">
        <f>O730&amp;IF(N730&lt;&gt;"",IF(O730&lt;&gt;""," · ","")&amp;"Con: "&amp;N730,"")</f>
        <v/>
      </c>
      <c r="S730">
        <f>C730&amp;"|"&amp;D730</f>
        <v/>
      </c>
      <c r="T730">
        <f>COUNTIF($S$2:S730,S730)</f>
        <v/>
      </c>
      <c r="U730">
        <f>S730&amp;"|"&amp;T730</f>
        <v/>
      </c>
      <c r="V730">
        <f>IFERROR(VLOOKUP(IF(I730="ENFASIS",LEFT(M730,FIND("+",M730&amp;"+")-1),J730),Direccion_Grupo!$A$2:$G$100,7,FALSE),"")</f>
        <v/>
      </c>
    </row>
    <row r="731">
      <c r="A731" t="n">
        <v>7</v>
      </c>
      <c r="B731" t="inlineStr">
        <is>
          <t>Casanova Casanova Johana Andrea</t>
        </is>
      </c>
      <c r="C731" t="inlineStr">
        <is>
          <t>MIERCOLES</t>
        </is>
      </c>
      <c r="D731" t="n">
        <v>3</v>
      </c>
      <c r="E731" t="n">
        <v>2</v>
      </c>
      <c r="F731" t="n">
        <v>1</v>
      </c>
      <c r="G731" t="inlineStr">
        <is>
          <t>08:20</t>
        </is>
      </c>
      <c r="H731" t="inlineStr">
        <is>
          <t>09:05</t>
        </is>
      </c>
      <c r="I731" t="inlineStr">
        <is>
          <t>ORIENTACION</t>
        </is>
      </c>
      <c r="J731" t="inlineStr">
        <is>
          <t>ORIENT</t>
        </is>
      </c>
      <c r="K731" t="inlineStr">
        <is>
          <t>ORIENTACIÓN ESCOLAR</t>
        </is>
      </c>
      <c r="L731" t="inlineStr"/>
      <c r="M731" t="inlineStr"/>
      <c r="N731" t="inlineStr"/>
      <c r="O731" t="inlineStr">
        <is>
          <t>Jornada 07:30 a 14:30</t>
        </is>
      </c>
      <c r="P731" t="inlineStr"/>
      <c r="Q731">
        <f>IF(I731="ENFASIS","ÉNFASIS "&amp;M731,IFERROR(VLOOKUP(J731,Grupos!$A$2:$D$100,4,FALSE),J731))</f>
        <v/>
      </c>
      <c r="R731">
        <f>O731&amp;IF(N731&lt;&gt;"",IF(O731&lt;&gt;""," · ","")&amp;"Con: "&amp;N731,"")</f>
        <v/>
      </c>
      <c r="S731">
        <f>C731&amp;"|"&amp;D731</f>
        <v/>
      </c>
      <c r="T731">
        <f>COUNTIF($S$2:S731,S731)</f>
        <v/>
      </c>
      <c r="U731">
        <f>S731&amp;"|"&amp;T731</f>
        <v/>
      </c>
      <c r="V731">
        <f>IFERROR(VLOOKUP(IF(I731="ENFASIS",LEFT(M731,FIND("+",M731&amp;"+")-1),J731),Direccion_Grupo!$A$2:$G$100,7,FALSE),"")</f>
        <v/>
      </c>
    </row>
    <row r="732">
      <c r="A732" t="n">
        <v>36</v>
      </c>
      <c r="B732" t="inlineStr">
        <is>
          <t>Ponce Moncayo Ángela Paola</t>
        </is>
      </c>
      <c r="C732" t="inlineStr">
        <is>
          <t>MIERCOLES</t>
        </is>
      </c>
      <c r="D732" t="n">
        <v>3</v>
      </c>
      <c r="E732" t="n">
        <v>2</v>
      </c>
      <c r="F732" t="n">
        <v>1</v>
      </c>
      <c r="G732" t="inlineStr">
        <is>
          <t>08:20</t>
        </is>
      </c>
      <c r="H732" t="inlineStr">
        <is>
          <t>09:05</t>
        </is>
      </c>
      <c r="I732" t="inlineStr">
        <is>
          <t>ORIENTACION</t>
        </is>
      </c>
      <c r="J732" t="inlineStr">
        <is>
          <t>ORIENT</t>
        </is>
      </c>
      <c r="K732" t="inlineStr">
        <is>
          <t>ORIENTACIÓN ESCOLAR</t>
        </is>
      </c>
      <c r="L732" t="inlineStr"/>
      <c r="M732" t="inlineStr"/>
      <c r="N732" t="inlineStr"/>
      <c r="O732" t="inlineStr">
        <is>
          <t>Jornada 08:30 a 13:30</t>
        </is>
      </c>
      <c r="P732" t="inlineStr"/>
      <c r="Q732">
        <f>IF(I732="ENFASIS","ÉNFASIS "&amp;M732,IFERROR(VLOOKUP(J732,Grupos!$A$2:$D$100,4,FALSE),J732))</f>
        <v/>
      </c>
      <c r="R732">
        <f>O732&amp;IF(N732&lt;&gt;"",IF(O732&lt;&gt;""," · ","")&amp;"Con: "&amp;N732,"")</f>
        <v/>
      </c>
      <c r="S732">
        <f>C732&amp;"|"&amp;D732</f>
        <v/>
      </c>
      <c r="T732">
        <f>COUNTIF($S$2:S732,S732)</f>
        <v/>
      </c>
      <c r="U732">
        <f>S732&amp;"|"&amp;T732</f>
        <v/>
      </c>
      <c r="V732">
        <f>IFERROR(VLOOKUP(IF(I732="ENFASIS",LEFT(M732,FIND("+",M732&amp;"+")-1),J732),Direccion_Grupo!$A$2:$G$100,7,FALSE),"")</f>
        <v/>
      </c>
    </row>
    <row r="733">
      <c r="A733" t="n">
        <v>56</v>
      </c>
      <c r="B733" t="inlineStr">
        <is>
          <t>Ortiz Estacio Martha Cecilia</t>
        </is>
      </c>
      <c r="C733" t="inlineStr">
        <is>
          <t>MIERCOLES</t>
        </is>
      </c>
      <c r="D733" t="n">
        <v>3</v>
      </c>
      <c r="E733" t="n">
        <v>2</v>
      </c>
      <c r="F733" t="n">
        <v>1</v>
      </c>
      <c r="G733" t="inlineStr">
        <is>
          <t>08:20</t>
        </is>
      </c>
      <c r="H733" t="inlineStr">
        <is>
          <t>09:05</t>
        </is>
      </c>
      <c r="I733" t="inlineStr">
        <is>
          <t>TUTORIA</t>
        </is>
      </c>
      <c r="J733" t="inlineStr">
        <is>
          <t>PTAFI</t>
        </is>
      </c>
      <c r="K733" t="inlineStr">
        <is>
          <t>TUTORÍA PTAFI</t>
        </is>
      </c>
      <c r="L733" t="inlineStr"/>
      <c r="M733" t="inlineStr"/>
      <c r="N733" t="inlineStr"/>
      <c r="O733" t="inlineStr">
        <is>
          <t>Jornada 06:30 a 12:00</t>
        </is>
      </c>
      <c r="P733" t="inlineStr"/>
      <c r="Q733">
        <f>IF(I733="ENFASIS","ÉNFASIS "&amp;M733,IFERROR(VLOOKUP(J733,Grupos!$A$2:$D$100,4,FALSE),J733))</f>
        <v/>
      </c>
      <c r="R733">
        <f>O733&amp;IF(N733&lt;&gt;"",IF(O733&lt;&gt;""," · ","")&amp;"Con: "&amp;N733,"")</f>
        <v/>
      </c>
      <c r="S733">
        <f>C733&amp;"|"&amp;D733</f>
        <v/>
      </c>
      <c r="T733">
        <f>COUNTIF($S$2:S733,S733)</f>
        <v/>
      </c>
      <c r="U733">
        <f>S733&amp;"|"&amp;T733</f>
        <v/>
      </c>
      <c r="V733">
        <f>IFERROR(VLOOKUP(IF(I733="ENFASIS",LEFT(M733,FIND("+",M733&amp;"+")-1),J733),Direccion_Grupo!$A$2:$G$100,7,FALSE),"")</f>
        <v/>
      </c>
    </row>
    <row r="734">
      <c r="A734" t="n">
        <v>12</v>
      </c>
      <c r="B734" t="inlineStr">
        <is>
          <t>Chillambo Quiñones María Rocío</t>
        </is>
      </c>
      <c r="C734" t="inlineStr">
        <is>
          <t>MIERCOLES</t>
        </is>
      </c>
      <c r="D734" t="n">
        <v>3</v>
      </c>
      <c r="E734" t="n">
        <v>2</v>
      </c>
      <c r="F734" t="n">
        <v>1</v>
      </c>
      <c r="G734" t="inlineStr">
        <is>
          <t>08:20</t>
        </is>
      </c>
      <c r="H734" t="inlineStr">
        <is>
          <t>09:05</t>
        </is>
      </c>
      <c r="I734" t="inlineStr">
        <is>
          <t>ENFASIS</t>
        </is>
      </c>
      <c r="J734" t="inlineStr"/>
      <c r="K734" t="inlineStr">
        <is>
          <t>CNA</t>
        </is>
      </c>
      <c r="L734" t="inlineStr">
        <is>
          <t>0801</t>
        </is>
      </c>
      <c r="M734" t="inlineStr">
        <is>
          <t>0801</t>
        </is>
      </c>
      <c r="N734" t="inlineStr">
        <is>
          <t>Samaniego Angulo Flor Mireya (ART); Valverde Montaño María Teresa (CAS); Cuero Bamba Berte Levi (ERD)</t>
        </is>
      </c>
      <c r="O734" t="inlineStr">
        <is>
          <t>EQUIPO DE 4: cada docente atiende un grupo de estudiantes en su área</t>
        </is>
      </c>
      <c r="P734" t="inlineStr">
        <is>
          <t>ENFASIS-0801</t>
        </is>
      </c>
      <c r="Q734">
        <f>IF(I734="ENFASIS","ÉNFASIS "&amp;M734,IFERROR(VLOOKUP(J734,Grupos!$A$2:$D$100,4,FALSE),J734))</f>
        <v/>
      </c>
      <c r="R734">
        <f>O734&amp;IF(N734&lt;&gt;"",IF(O734&lt;&gt;""," · ","")&amp;"Con: "&amp;N734,"")</f>
        <v/>
      </c>
      <c r="S734">
        <f>C734&amp;"|"&amp;D734</f>
        <v/>
      </c>
      <c r="T734">
        <f>COUNTIF($S$2:S734,S734)</f>
        <v/>
      </c>
      <c r="U734">
        <f>S734&amp;"|"&amp;T734</f>
        <v/>
      </c>
      <c r="V734">
        <f>IFERROR(VLOOKUP(IF(I734="ENFASIS",LEFT(M734,FIND("+",M734&amp;"+")-1),J734),Direccion_Grupo!$A$2:$G$100,7,FALSE),"")</f>
        <v/>
      </c>
    </row>
    <row r="735">
      <c r="A735" t="n">
        <v>15</v>
      </c>
      <c r="B735" t="inlineStr">
        <is>
          <t>Cuero Bamba Berte Levi</t>
        </is>
      </c>
      <c r="C735" t="inlineStr">
        <is>
          <t>MIERCOLES</t>
        </is>
      </c>
      <c r="D735" t="n">
        <v>3</v>
      </c>
      <c r="E735" t="n">
        <v>2</v>
      </c>
      <c r="F735" t="n">
        <v>1</v>
      </c>
      <c r="G735" t="inlineStr">
        <is>
          <t>08:20</t>
        </is>
      </c>
      <c r="H735" t="inlineStr">
        <is>
          <t>09:05</t>
        </is>
      </c>
      <c r="I735" t="inlineStr">
        <is>
          <t>ENFASIS</t>
        </is>
      </c>
      <c r="J735" t="inlineStr"/>
      <c r="K735" t="inlineStr">
        <is>
          <t>ERD</t>
        </is>
      </c>
      <c r="L735" t="inlineStr">
        <is>
          <t>0801</t>
        </is>
      </c>
      <c r="M735" t="inlineStr">
        <is>
          <t>0801</t>
        </is>
      </c>
      <c r="N735" t="inlineStr">
        <is>
          <t>Samaniego Angulo Flor Mireya (ART); Valverde Montaño María Teresa (CAS); Chillambo Quiñones María Rocío (CNA)</t>
        </is>
      </c>
      <c r="O735" t="inlineStr">
        <is>
          <t>EQUIPO DE 4: cada docente atiende un grupo de estudiantes en su área</t>
        </is>
      </c>
      <c r="P735" t="inlineStr">
        <is>
          <t>ENFASIS-0801</t>
        </is>
      </c>
      <c r="Q735">
        <f>IF(I735="ENFASIS","ÉNFASIS "&amp;M735,IFERROR(VLOOKUP(J735,Grupos!$A$2:$D$100,4,FALSE),J735))</f>
        <v/>
      </c>
      <c r="R735">
        <f>O735&amp;IF(N735&lt;&gt;"",IF(O735&lt;&gt;""," · ","")&amp;"Con: "&amp;N735,"")</f>
        <v/>
      </c>
      <c r="S735">
        <f>C735&amp;"|"&amp;D735</f>
        <v/>
      </c>
      <c r="T735">
        <f>COUNTIF($S$2:S735,S735)</f>
        <v/>
      </c>
      <c r="U735">
        <f>S735&amp;"|"&amp;T735</f>
        <v/>
      </c>
      <c r="V735">
        <f>IFERROR(VLOOKUP(IF(I735="ENFASIS",LEFT(M735,FIND("+",M735&amp;"+")-1),J735),Direccion_Grupo!$A$2:$G$100,7,FALSE),"")</f>
        <v/>
      </c>
    </row>
    <row r="736">
      <c r="A736" t="n">
        <v>44</v>
      </c>
      <c r="B736" t="inlineStr">
        <is>
          <t>Samaniego Angulo Flor Mireya</t>
        </is>
      </c>
      <c r="C736" t="inlineStr">
        <is>
          <t>MIERCOLES</t>
        </is>
      </c>
      <c r="D736" t="n">
        <v>3</v>
      </c>
      <c r="E736" t="n">
        <v>2</v>
      </c>
      <c r="F736" t="n">
        <v>1</v>
      </c>
      <c r="G736" t="inlineStr">
        <is>
          <t>08:20</t>
        </is>
      </c>
      <c r="H736" t="inlineStr">
        <is>
          <t>09:05</t>
        </is>
      </c>
      <c r="I736" t="inlineStr">
        <is>
          <t>ENFASIS</t>
        </is>
      </c>
      <c r="J736" t="inlineStr"/>
      <c r="K736" t="inlineStr">
        <is>
          <t>ART</t>
        </is>
      </c>
      <c r="L736" t="inlineStr">
        <is>
          <t>0801</t>
        </is>
      </c>
      <c r="M736" t="inlineStr">
        <is>
          <t>0801</t>
        </is>
      </c>
      <c r="N736" t="inlineStr">
        <is>
          <t>Valverde Montaño María Teresa (CAS); Cuero Bamba Berte Levi (ERD); Chillambo Quiñones María Rocío (CNA)</t>
        </is>
      </c>
      <c r="O736" t="inlineStr">
        <is>
          <t>EQUIPO DE 4: cada docente atiende un grupo de estudiantes en su área</t>
        </is>
      </c>
      <c r="P736" t="inlineStr">
        <is>
          <t>ENFASIS-0801</t>
        </is>
      </c>
      <c r="Q736">
        <f>IF(I736="ENFASIS","ÉNFASIS "&amp;M736,IFERROR(VLOOKUP(J736,Grupos!$A$2:$D$100,4,FALSE),J736))</f>
        <v/>
      </c>
      <c r="R736">
        <f>O736&amp;IF(N736&lt;&gt;"",IF(O736&lt;&gt;""," · ","")&amp;"Con: "&amp;N736,"")</f>
        <v/>
      </c>
      <c r="S736">
        <f>C736&amp;"|"&amp;D736</f>
        <v/>
      </c>
      <c r="T736">
        <f>COUNTIF($S$2:S736,S736)</f>
        <v/>
      </c>
      <c r="U736">
        <f>S736&amp;"|"&amp;T736</f>
        <v/>
      </c>
      <c r="V736">
        <f>IFERROR(VLOOKUP(IF(I736="ENFASIS",LEFT(M736,FIND("+",M736&amp;"+")-1),J736),Direccion_Grupo!$A$2:$G$100,7,FALSE),"")</f>
        <v/>
      </c>
    </row>
    <row r="737">
      <c r="A737" t="n">
        <v>51</v>
      </c>
      <c r="B737" t="inlineStr">
        <is>
          <t>Valverde Montaño María Teresa</t>
        </is>
      </c>
      <c r="C737" t="inlineStr">
        <is>
          <t>MIERCOLES</t>
        </is>
      </c>
      <c r="D737" t="n">
        <v>3</v>
      </c>
      <c r="E737" t="n">
        <v>2</v>
      </c>
      <c r="F737" t="n">
        <v>1</v>
      </c>
      <c r="G737" t="inlineStr">
        <is>
          <t>08:20</t>
        </is>
      </c>
      <c r="H737" t="inlineStr">
        <is>
          <t>09:05</t>
        </is>
      </c>
      <c r="I737" t="inlineStr">
        <is>
          <t>ENFASIS</t>
        </is>
      </c>
      <c r="J737" t="inlineStr"/>
      <c r="K737" t="inlineStr">
        <is>
          <t>CAS</t>
        </is>
      </c>
      <c r="L737" t="inlineStr">
        <is>
          <t>0801</t>
        </is>
      </c>
      <c r="M737" t="inlineStr">
        <is>
          <t>0801</t>
        </is>
      </c>
      <c r="N737" t="inlineStr">
        <is>
          <t>Samaniego Angulo Flor Mireya (ART); Cuero Bamba Berte Levi (ERD); Chillambo Quiñones María Rocío (CNA)</t>
        </is>
      </c>
      <c r="O737" t="inlineStr">
        <is>
          <t>EQUIPO DE 4: cada docente atiende un grupo de estudiantes en su área</t>
        </is>
      </c>
      <c r="P737" t="inlineStr">
        <is>
          <t>ENFASIS-0801</t>
        </is>
      </c>
      <c r="Q737">
        <f>IF(I737="ENFASIS","ÉNFASIS "&amp;M737,IFERROR(VLOOKUP(J737,Grupos!$A$2:$D$100,4,FALSE),J737))</f>
        <v/>
      </c>
      <c r="R737">
        <f>O737&amp;IF(N737&lt;&gt;"",IF(O737&lt;&gt;""," · ","")&amp;"Con: "&amp;N737,"")</f>
        <v/>
      </c>
      <c r="S737">
        <f>C737&amp;"|"&amp;D737</f>
        <v/>
      </c>
      <c r="T737">
        <f>COUNTIF($S$2:S737,S737)</f>
        <v/>
      </c>
      <c r="U737">
        <f>S737&amp;"|"&amp;T737</f>
        <v/>
      </c>
      <c r="V737">
        <f>IFERROR(VLOOKUP(IF(I737="ENFASIS",LEFT(M737,FIND("+",M737&amp;"+")-1),J737),Direccion_Grupo!$A$2:$G$100,7,FALSE),"")</f>
        <v/>
      </c>
    </row>
    <row r="738">
      <c r="A738" t="n">
        <v>2</v>
      </c>
      <c r="B738" t="inlineStr">
        <is>
          <t>Angulo Lucero Andrés Mauricio</t>
        </is>
      </c>
      <c r="C738" t="inlineStr">
        <is>
          <t>MIERCOLES</t>
        </is>
      </c>
      <c r="D738" t="n">
        <v>3</v>
      </c>
      <c r="E738" t="n">
        <v>2</v>
      </c>
      <c r="F738" t="n">
        <v>1</v>
      </c>
      <c r="G738" t="inlineStr">
        <is>
          <t>08:20</t>
        </is>
      </c>
      <c r="H738" t="inlineStr">
        <is>
          <t>09:05</t>
        </is>
      </c>
      <c r="I738" t="inlineStr">
        <is>
          <t>ENFASIS</t>
        </is>
      </c>
      <c r="J738" t="inlineStr"/>
      <c r="K738" t="inlineStr">
        <is>
          <t>TEI</t>
        </is>
      </c>
      <c r="L738" t="inlineStr">
        <is>
          <t>D5-11°</t>
        </is>
      </c>
      <c r="M738" t="inlineStr">
        <is>
          <t>1102</t>
        </is>
      </c>
      <c r="N738" t="inlineStr">
        <is>
          <t>Pulgarín Ortiz César Marino (CSI); Montaño Arizala Leidis Claudina (ETR); Villota Rubio Janeth del Carmen (MAT)</t>
        </is>
      </c>
      <c r="O738" t="inlineStr">
        <is>
          <t>EQUIPO DE 4: cada docente atiende un grupo de estudiantes en su área</t>
        </is>
      </c>
      <c r="P738" t="inlineStr">
        <is>
          <t>ENFASIS-D5-11°</t>
        </is>
      </c>
      <c r="Q738">
        <f>IF(I738="ENFASIS","ÉNFASIS "&amp;M738,IFERROR(VLOOKUP(J738,Grupos!$A$2:$D$100,4,FALSE),J738))</f>
        <v/>
      </c>
      <c r="R738">
        <f>O738&amp;IF(N738&lt;&gt;"",IF(O738&lt;&gt;""," · ","")&amp;"Con: "&amp;N738,"")</f>
        <v/>
      </c>
      <c r="S738">
        <f>C738&amp;"|"&amp;D738</f>
        <v/>
      </c>
      <c r="T738">
        <f>COUNTIF($S$2:S738,S738)</f>
        <v/>
      </c>
      <c r="U738">
        <f>S738&amp;"|"&amp;T738</f>
        <v/>
      </c>
      <c r="V738">
        <f>IFERROR(VLOOKUP(IF(I738="ENFASIS",LEFT(M738,FIND("+",M738&amp;"+")-1),J738),Direccion_Grupo!$A$2:$G$100,7,FALSE),"")</f>
        <v/>
      </c>
    </row>
    <row r="739">
      <c r="A739" t="n">
        <v>31</v>
      </c>
      <c r="B739" t="inlineStr">
        <is>
          <t>Montaño Arizala Leidis Claudina</t>
        </is>
      </c>
      <c r="C739" t="inlineStr">
        <is>
          <t>MIERCOLES</t>
        </is>
      </c>
      <c r="D739" t="n">
        <v>3</v>
      </c>
      <c r="E739" t="n">
        <v>2</v>
      </c>
      <c r="F739" t="n">
        <v>1</v>
      </c>
      <c r="G739" t="inlineStr">
        <is>
          <t>08:20</t>
        </is>
      </c>
      <c r="H739" t="inlineStr">
        <is>
          <t>09:05</t>
        </is>
      </c>
      <c r="I739" t="inlineStr">
        <is>
          <t>ENFASIS</t>
        </is>
      </c>
      <c r="J739" t="inlineStr"/>
      <c r="K739" t="inlineStr">
        <is>
          <t>ETR</t>
        </is>
      </c>
      <c r="L739" t="inlineStr">
        <is>
          <t>D5-11°</t>
        </is>
      </c>
      <c r="M739" t="inlineStr">
        <is>
          <t>1102</t>
        </is>
      </c>
      <c r="N739" t="inlineStr">
        <is>
          <t>Pulgarín Ortiz César Marino (CSI); Villota Rubio Janeth del Carmen (MAT); Angulo Lucero Andrés Mauricio (TEI)</t>
        </is>
      </c>
      <c r="O739" t="inlineStr">
        <is>
          <t>EQUIPO DE 4: cada docente atiende un grupo de estudiantes en su área</t>
        </is>
      </c>
      <c r="P739" t="inlineStr">
        <is>
          <t>ENFASIS-D5-11°</t>
        </is>
      </c>
      <c r="Q739">
        <f>IF(I739="ENFASIS","ÉNFASIS "&amp;M739,IFERROR(VLOOKUP(J739,Grupos!$A$2:$D$100,4,FALSE),J739))</f>
        <v/>
      </c>
      <c r="R739">
        <f>O739&amp;IF(N739&lt;&gt;"",IF(O739&lt;&gt;""," · ","")&amp;"Con: "&amp;N739,"")</f>
        <v/>
      </c>
      <c r="S739">
        <f>C739&amp;"|"&amp;D739</f>
        <v/>
      </c>
      <c r="T739">
        <f>COUNTIF($S$2:S739,S739)</f>
        <v/>
      </c>
      <c r="U739">
        <f>S739&amp;"|"&amp;T739</f>
        <v/>
      </c>
      <c r="V739">
        <f>IFERROR(VLOOKUP(IF(I739="ENFASIS",LEFT(M739,FIND("+",M739&amp;"+")-1),J739),Direccion_Grupo!$A$2:$G$100,7,FALSE),"")</f>
        <v/>
      </c>
    </row>
    <row r="740">
      <c r="A740" t="n">
        <v>40</v>
      </c>
      <c r="B740" t="inlineStr">
        <is>
          <t>Pulgarín Ortiz César Marino</t>
        </is>
      </c>
      <c r="C740" t="inlineStr">
        <is>
          <t>MIERCOLES</t>
        </is>
      </c>
      <c r="D740" t="n">
        <v>3</v>
      </c>
      <c r="E740" t="n">
        <v>2</v>
      </c>
      <c r="F740" t="n">
        <v>1</v>
      </c>
      <c r="G740" t="inlineStr">
        <is>
          <t>08:20</t>
        </is>
      </c>
      <c r="H740" t="inlineStr">
        <is>
          <t>09:05</t>
        </is>
      </c>
      <c r="I740" t="inlineStr">
        <is>
          <t>ENFASIS</t>
        </is>
      </c>
      <c r="J740" t="inlineStr"/>
      <c r="K740" t="inlineStr">
        <is>
          <t>CSI</t>
        </is>
      </c>
      <c r="L740" t="inlineStr">
        <is>
          <t>D5-11°</t>
        </is>
      </c>
      <c r="M740" t="inlineStr">
        <is>
          <t>1102</t>
        </is>
      </c>
      <c r="N740" t="inlineStr">
        <is>
          <t>Montaño Arizala Leidis Claudina (ETR); Villota Rubio Janeth del Carmen (MAT); Angulo Lucero Andrés Mauricio (TEI)</t>
        </is>
      </c>
      <c r="O740" t="inlineStr">
        <is>
          <t>EQUIPO DE 4: cada docente atiende un grupo de estudiantes en su área</t>
        </is>
      </c>
      <c r="P740" t="inlineStr">
        <is>
          <t>ENFASIS-D5-11°</t>
        </is>
      </c>
      <c r="Q740">
        <f>IF(I740="ENFASIS","ÉNFASIS "&amp;M740,IFERROR(VLOOKUP(J740,Grupos!$A$2:$D$100,4,FALSE),J740))</f>
        <v/>
      </c>
      <c r="R740">
        <f>O740&amp;IF(N740&lt;&gt;"",IF(O740&lt;&gt;""," · ","")&amp;"Con: "&amp;N740,"")</f>
        <v/>
      </c>
      <c r="S740">
        <f>C740&amp;"|"&amp;D740</f>
        <v/>
      </c>
      <c r="T740">
        <f>COUNTIF($S$2:S740,S740)</f>
        <v/>
      </c>
      <c r="U740">
        <f>S740&amp;"|"&amp;T740</f>
        <v/>
      </c>
      <c r="V740">
        <f>IFERROR(VLOOKUP(IF(I740="ENFASIS",LEFT(M740,FIND("+",M740&amp;"+")-1),J740),Direccion_Grupo!$A$2:$G$100,7,FALSE),"")</f>
        <v/>
      </c>
    </row>
    <row r="741">
      <c r="A741" t="n">
        <v>54</v>
      </c>
      <c r="B741" t="inlineStr">
        <is>
          <t>Villota Rubio Janeth del Carmen</t>
        </is>
      </c>
      <c r="C741" t="inlineStr">
        <is>
          <t>MIERCOLES</t>
        </is>
      </c>
      <c r="D741" t="n">
        <v>3</v>
      </c>
      <c r="E741" t="n">
        <v>2</v>
      </c>
      <c r="F741" t="n">
        <v>1</v>
      </c>
      <c r="G741" t="inlineStr">
        <is>
          <t>08:20</t>
        </is>
      </c>
      <c r="H741" t="inlineStr">
        <is>
          <t>09:05</t>
        </is>
      </c>
      <c r="I741" t="inlineStr">
        <is>
          <t>ENFASIS</t>
        </is>
      </c>
      <c r="J741" t="inlineStr"/>
      <c r="K741" t="inlineStr">
        <is>
          <t>MAT</t>
        </is>
      </c>
      <c r="L741" t="inlineStr">
        <is>
          <t>D5-11°</t>
        </is>
      </c>
      <c r="M741" t="inlineStr">
        <is>
          <t>1102</t>
        </is>
      </c>
      <c r="N741" t="inlineStr">
        <is>
          <t>Pulgarín Ortiz César Marino (CSI); Montaño Arizala Leidis Claudina (ETR); Angulo Lucero Andrés Mauricio (TEI)</t>
        </is>
      </c>
      <c r="O741" t="inlineStr">
        <is>
          <t>EQUIPO DE 4: cada docente atiende un grupo de estudiantes en su área</t>
        </is>
      </c>
      <c r="P741" t="inlineStr">
        <is>
          <t>ENFASIS-D5-11°</t>
        </is>
      </c>
      <c r="Q741">
        <f>IF(I741="ENFASIS","ÉNFASIS "&amp;M741,IFERROR(VLOOKUP(J741,Grupos!$A$2:$D$100,4,FALSE),J741))</f>
        <v/>
      </c>
      <c r="R741">
        <f>O741&amp;IF(N741&lt;&gt;"",IF(O741&lt;&gt;""," · ","")&amp;"Con: "&amp;N741,"")</f>
        <v/>
      </c>
      <c r="S741">
        <f>C741&amp;"|"&amp;D741</f>
        <v/>
      </c>
      <c r="T741">
        <f>COUNTIF($S$2:S741,S741)</f>
        <v/>
      </c>
      <c r="U741">
        <f>S741&amp;"|"&amp;T741</f>
        <v/>
      </c>
      <c r="V741">
        <f>IFERROR(VLOOKUP(IF(I741="ENFASIS",LEFT(M741,FIND("+",M741&amp;"+")-1),J741),Direccion_Grupo!$A$2:$G$100,7,FALSE),"")</f>
        <v/>
      </c>
    </row>
    <row r="742">
      <c r="A742" t="n">
        <v>5</v>
      </c>
      <c r="B742" t="inlineStr">
        <is>
          <t>Bastidas Valencia Zeneida Judith</t>
        </is>
      </c>
      <c r="C742" t="inlineStr">
        <is>
          <t>MIERCOLES</t>
        </is>
      </c>
      <c r="D742" t="n">
        <v>3</v>
      </c>
      <c r="E742" t="n">
        <v>2</v>
      </c>
      <c r="F742" t="n">
        <v>1</v>
      </c>
      <c r="G742" t="inlineStr">
        <is>
          <t>08:20</t>
        </is>
      </c>
      <c r="H742" t="inlineStr">
        <is>
          <t>09:05</t>
        </is>
      </c>
      <c r="I742" t="inlineStr">
        <is>
          <t>ENFASIS</t>
        </is>
      </c>
      <c r="J742" t="inlineStr"/>
      <c r="K742" t="inlineStr">
        <is>
          <t>MAT</t>
        </is>
      </c>
      <c r="L742" t="inlineStr">
        <is>
          <t>CS202</t>
        </is>
      </c>
      <c r="M742" t="inlineStr">
        <is>
          <t>CS202</t>
        </is>
      </c>
      <c r="N742" t="inlineStr">
        <is>
          <t>Betancourth Ocampo Yohana Patricia (CSI); Estacio Estupiñán Rosario (ETR); Mindineros Satizábal John Jáver (TEI)</t>
        </is>
      </c>
      <c r="O742" t="inlineStr">
        <is>
          <t>EQUIPO DE 4: cada docente atiende un grupo de estudiantes en su área</t>
        </is>
      </c>
      <c r="P742" t="inlineStr">
        <is>
          <t>ENFASIS-CS202</t>
        </is>
      </c>
      <c r="Q742">
        <f>IF(I742="ENFASIS","ÉNFASIS "&amp;M742,IFERROR(VLOOKUP(J742,Grupos!$A$2:$D$100,4,FALSE),J742))</f>
        <v/>
      </c>
      <c r="R742">
        <f>O742&amp;IF(N742&lt;&gt;"",IF(O742&lt;&gt;""," · ","")&amp;"Con: "&amp;N742,"")</f>
        <v/>
      </c>
      <c r="S742">
        <f>C742&amp;"|"&amp;D742</f>
        <v/>
      </c>
      <c r="T742">
        <f>COUNTIF($S$2:S742,S742)</f>
        <v/>
      </c>
      <c r="U742">
        <f>S742&amp;"|"&amp;T742</f>
        <v/>
      </c>
      <c r="V742">
        <f>IFERROR(VLOOKUP(IF(I742="ENFASIS",LEFT(M742,FIND("+",M742&amp;"+")-1),J742),Direccion_Grupo!$A$2:$G$100,7,FALSE),"")</f>
        <v/>
      </c>
    </row>
    <row r="743">
      <c r="A743" t="n">
        <v>6</v>
      </c>
      <c r="B743" t="inlineStr">
        <is>
          <t>Betancourth Ocampo Yohana Patricia</t>
        </is>
      </c>
      <c r="C743" t="inlineStr">
        <is>
          <t>MIERCOLES</t>
        </is>
      </c>
      <c r="D743" t="n">
        <v>3</v>
      </c>
      <c r="E743" t="n">
        <v>2</v>
      </c>
      <c r="F743" t="n">
        <v>1</v>
      </c>
      <c r="G743" t="inlineStr">
        <is>
          <t>08:20</t>
        </is>
      </c>
      <c r="H743" t="inlineStr">
        <is>
          <t>09:05</t>
        </is>
      </c>
      <c r="I743" t="inlineStr">
        <is>
          <t>ENFASIS</t>
        </is>
      </c>
      <c r="J743" t="inlineStr"/>
      <c r="K743" t="inlineStr">
        <is>
          <t>CSI</t>
        </is>
      </c>
      <c r="L743" t="inlineStr">
        <is>
          <t>CS202</t>
        </is>
      </c>
      <c r="M743" t="inlineStr">
        <is>
          <t>CS202</t>
        </is>
      </c>
      <c r="N743" t="inlineStr">
        <is>
          <t>Estacio Estupiñán Rosario (ETR); Bastidas Valencia Zeneida Judith (MAT); Mindineros Satizábal John Jáver (TEI)</t>
        </is>
      </c>
      <c r="O743" t="inlineStr">
        <is>
          <t>EQUIPO DE 4: cada docente atiende un grupo de estudiantes en su área</t>
        </is>
      </c>
      <c r="P743" t="inlineStr">
        <is>
          <t>ENFASIS-CS202</t>
        </is>
      </c>
      <c r="Q743">
        <f>IF(I743="ENFASIS","ÉNFASIS "&amp;M743,IFERROR(VLOOKUP(J743,Grupos!$A$2:$D$100,4,FALSE),J743))</f>
        <v/>
      </c>
      <c r="R743">
        <f>O743&amp;IF(N743&lt;&gt;"",IF(O743&lt;&gt;""," · ","")&amp;"Con: "&amp;N743,"")</f>
        <v/>
      </c>
      <c r="S743">
        <f>C743&amp;"|"&amp;D743</f>
        <v/>
      </c>
      <c r="T743">
        <f>COUNTIF($S$2:S743,S743)</f>
        <v/>
      </c>
      <c r="U743">
        <f>S743&amp;"|"&amp;T743</f>
        <v/>
      </c>
      <c r="V743">
        <f>IFERROR(VLOOKUP(IF(I743="ENFASIS",LEFT(M743,FIND("+",M743&amp;"+")-1),J743),Direccion_Grupo!$A$2:$G$100,7,FALSE),"")</f>
        <v/>
      </c>
    </row>
    <row r="744">
      <c r="A744" t="n">
        <v>18</v>
      </c>
      <c r="B744" t="inlineStr">
        <is>
          <t>Estacio Estupiñán Rosario</t>
        </is>
      </c>
      <c r="C744" t="inlineStr">
        <is>
          <t>MIERCOLES</t>
        </is>
      </c>
      <c r="D744" t="n">
        <v>3</v>
      </c>
      <c r="E744" t="n">
        <v>2</v>
      </c>
      <c r="F744" t="n">
        <v>1</v>
      </c>
      <c r="G744" t="inlineStr">
        <is>
          <t>08:20</t>
        </is>
      </c>
      <c r="H744" t="inlineStr">
        <is>
          <t>09:05</t>
        </is>
      </c>
      <c r="I744" t="inlineStr">
        <is>
          <t>ENFASIS</t>
        </is>
      </c>
      <c r="J744" t="inlineStr"/>
      <c r="K744" t="inlineStr">
        <is>
          <t>ETR</t>
        </is>
      </c>
      <c r="L744" t="inlineStr">
        <is>
          <t>CS202</t>
        </is>
      </c>
      <c r="M744" t="inlineStr">
        <is>
          <t>CS202</t>
        </is>
      </c>
      <c r="N744" t="inlineStr">
        <is>
          <t>Betancourth Ocampo Yohana Patricia (CSI); Bastidas Valencia Zeneida Judith (MAT); Mindineros Satizábal John Jáver (TEI)</t>
        </is>
      </c>
      <c r="O744" t="inlineStr">
        <is>
          <t>EQUIPO DE 4: cada docente atiende un grupo de estudiantes en su área</t>
        </is>
      </c>
      <c r="P744" t="inlineStr">
        <is>
          <t>ENFASIS-CS202</t>
        </is>
      </c>
      <c r="Q744">
        <f>IF(I744="ENFASIS","ÉNFASIS "&amp;M744,IFERROR(VLOOKUP(J744,Grupos!$A$2:$D$100,4,FALSE),J744))</f>
        <v/>
      </c>
      <c r="R744">
        <f>O744&amp;IF(N744&lt;&gt;"",IF(O744&lt;&gt;""," · ","")&amp;"Con: "&amp;N744,"")</f>
        <v/>
      </c>
      <c r="S744">
        <f>C744&amp;"|"&amp;D744</f>
        <v/>
      </c>
      <c r="T744">
        <f>COUNTIF($S$2:S744,S744)</f>
        <v/>
      </c>
      <c r="U744">
        <f>S744&amp;"|"&amp;T744</f>
        <v/>
      </c>
      <c r="V744">
        <f>IFERROR(VLOOKUP(IF(I744="ENFASIS",LEFT(M744,FIND("+",M744&amp;"+")-1),J744),Direccion_Grupo!$A$2:$G$100,7,FALSE),"")</f>
        <v/>
      </c>
    </row>
    <row r="745">
      <c r="A745" t="n">
        <v>29</v>
      </c>
      <c r="B745" t="inlineStr">
        <is>
          <t>Mindineros Satizábal John Jáver</t>
        </is>
      </c>
      <c r="C745" t="inlineStr">
        <is>
          <t>MIERCOLES</t>
        </is>
      </c>
      <c r="D745" t="n">
        <v>3</v>
      </c>
      <c r="E745" t="n">
        <v>2</v>
      </c>
      <c r="F745" t="n">
        <v>1</v>
      </c>
      <c r="G745" t="inlineStr">
        <is>
          <t>08:20</t>
        </is>
      </c>
      <c r="H745" t="inlineStr">
        <is>
          <t>09:05</t>
        </is>
      </c>
      <c r="I745" t="inlineStr">
        <is>
          <t>ENFASIS</t>
        </is>
      </c>
      <c r="J745" t="inlineStr"/>
      <c r="K745" t="inlineStr">
        <is>
          <t>TEI</t>
        </is>
      </c>
      <c r="L745" t="inlineStr">
        <is>
          <t>CS202</t>
        </is>
      </c>
      <c r="M745" t="inlineStr">
        <is>
          <t>CS202</t>
        </is>
      </c>
      <c r="N745" t="inlineStr">
        <is>
          <t>Betancourth Ocampo Yohana Patricia (CSI); Estacio Estupiñán Rosario (ETR); Bastidas Valencia Zeneida Judith (MAT)</t>
        </is>
      </c>
      <c r="O745" t="inlineStr">
        <is>
          <t>EQUIPO DE 4: cada docente atiende un grupo de estudiantes en su área</t>
        </is>
      </c>
      <c r="P745" t="inlineStr">
        <is>
          <t>ENFASIS-CS202</t>
        </is>
      </c>
      <c r="Q745">
        <f>IF(I745="ENFASIS","ÉNFASIS "&amp;M745,IFERROR(VLOOKUP(J745,Grupos!$A$2:$D$100,4,FALSE),J745))</f>
        <v/>
      </c>
      <c r="R745">
        <f>O745&amp;IF(N745&lt;&gt;"",IF(O745&lt;&gt;""," · ","")&amp;"Con: "&amp;N745,"")</f>
        <v/>
      </c>
      <c r="S745">
        <f>C745&amp;"|"&amp;D745</f>
        <v/>
      </c>
      <c r="T745">
        <f>COUNTIF($S$2:S745,S745)</f>
        <v/>
      </c>
      <c r="U745">
        <f>S745&amp;"|"&amp;T745</f>
        <v/>
      </c>
      <c r="V745">
        <f>IFERROR(VLOOKUP(IF(I745="ENFASIS",LEFT(M745,FIND("+",M745&amp;"+")-1),J745),Direccion_Grupo!$A$2:$G$100,7,FALSE),"")</f>
        <v/>
      </c>
    </row>
    <row r="746">
      <c r="A746" t="n">
        <v>50</v>
      </c>
      <c r="B746" t="inlineStr">
        <is>
          <t>Valencia Solís Gloria Alexa</t>
        </is>
      </c>
      <c r="C746" t="inlineStr">
        <is>
          <t>MIERCOLES</t>
        </is>
      </c>
      <c r="D746" t="n">
        <v>4</v>
      </c>
      <c r="E746" t="n">
        <v>2</v>
      </c>
      <c r="F746" t="n">
        <v>2</v>
      </c>
      <c r="G746" t="inlineStr">
        <is>
          <t>08:30</t>
        </is>
      </c>
      <c r="H746" t="inlineStr">
        <is>
          <t>09:30</t>
        </is>
      </c>
      <c r="I746" t="inlineStr">
        <is>
          <t>AREAS_MULTIPLES</t>
        </is>
      </c>
      <c r="J746" t="inlineStr">
        <is>
          <t>0001</t>
        </is>
      </c>
      <c r="K746" t="inlineStr">
        <is>
          <t>ÁREAS MÚLTIPLES</t>
        </is>
      </c>
      <c r="L746" t="inlineStr"/>
      <c r="M746" t="inlineStr"/>
      <c r="N746" t="inlineStr"/>
      <c r="O746" t="inlineStr">
        <is>
          <t>Maestro de aula: todas las áreas con su grupo</t>
        </is>
      </c>
      <c r="P746" t="inlineStr"/>
      <c r="Q746">
        <f>IF(I746="ENFASIS","ÉNFASIS "&amp;M746,IFERROR(VLOOKUP(J746,Grupos!$A$2:$D$100,4,FALSE),J746))</f>
        <v/>
      </c>
      <c r="R746">
        <f>O746&amp;IF(N746&lt;&gt;"",IF(O746&lt;&gt;""," · ","")&amp;"Con: "&amp;N746,"")</f>
        <v/>
      </c>
      <c r="S746">
        <f>C746&amp;"|"&amp;D746</f>
        <v/>
      </c>
      <c r="T746">
        <f>COUNTIF($S$2:S746,S746)</f>
        <v/>
      </c>
      <c r="U746">
        <f>S746&amp;"|"&amp;T746</f>
        <v/>
      </c>
      <c r="V746">
        <f>IFERROR(VLOOKUP(IF(I746="ENFASIS",LEFT(M746,FIND("+",M746&amp;"+")-1),J746),Direccion_Grupo!$A$2:$G$100,7,FALSE),"")</f>
        <v/>
      </c>
    </row>
    <row r="747">
      <c r="A747" t="n">
        <v>27</v>
      </c>
      <c r="B747" t="inlineStr">
        <is>
          <t>Martínez Álvarez Andrea Ascención</t>
        </is>
      </c>
      <c r="C747" t="inlineStr">
        <is>
          <t>MIERCOLES</t>
        </is>
      </c>
      <c r="D747" t="n">
        <v>4</v>
      </c>
      <c r="E747" t="n">
        <v>2</v>
      </c>
      <c r="F747" t="n">
        <v>2</v>
      </c>
      <c r="G747" t="inlineStr">
        <is>
          <t>08:30</t>
        </is>
      </c>
      <c r="H747" t="inlineStr">
        <is>
          <t>09:30</t>
        </is>
      </c>
      <c r="I747" t="inlineStr">
        <is>
          <t>AREAS_MULTIPLES</t>
        </is>
      </c>
      <c r="J747" t="inlineStr">
        <is>
          <t>0002</t>
        </is>
      </c>
      <c r="K747" t="inlineStr">
        <is>
          <t>ÁREAS MÚLTIPLES</t>
        </is>
      </c>
      <c r="L747" t="inlineStr"/>
      <c r="M747" t="inlineStr"/>
      <c r="N747" t="inlineStr"/>
      <c r="O747" t="inlineStr">
        <is>
          <t>Maestro de aula: todas las áreas con su grupo</t>
        </is>
      </c>
      <c r="P747" t="inlineStr"/>
      <c r="Q747">
        <f>IF(I747="ENFASIS","ÉNFASIS "&amp;M747,IFERROR(VLOOKUP(J747,Grupos!$A$2:$D$100,4,FALSE),J747))</f>
        <v/>
      </c>
      <c r="R747">
        <f>O747&amp;IF(N747&lt;&gt;"",IF(O747&lt;&gt;""," · ","")&amp;"Con: "&amp;N747,"")</f>
        <v/>
      </c>
      <c r="S747">
        <f>C747&amp;"|"&amp;D747</f>
        <v/>
      </c>
      <c r="T747">
        <f>COUNTIF($S$2:S747,S747)</f>
        <v/>
      </c>
      <c r="U747">
        <f>S747&amp;"|"&amp;T747</f>
        <v/>
      </c>
      <c r="V747">
        <f>IFERROR(VLOOKUP(IF(I747="ENFASIS",LEFT(M747,FIND("+",M747&amp;"+")-1),J747),Direccion_Grupo!$A$2:$G$100,7,FALSE),"")</f>
        <v/>
      </c>
    </row>
    <row r="748">
      <c r="A748" t="n">
        <v>23</v>
      </c>
      <c r="B748" t="inlineStr">
        <is>
          <t>Landázuri Quiñones María Elia</t>
        </is>
      </c>
      <c r="C748" t="inlineStr">
        <is>
          <t>MIERCOLES</t>
        </is>
      </c>
      <c r="D748" t="n">
        <v>4</v>
      </c>
      <c r="E748" t="n">
        <v>2</v>
      </c>
      <c r="F748" t="n">
        <v>2</v>
      </c>
      <c r="G748" t="inlineStr">
        <is>
          <t>09:05</t>
        </is>
      </c>
      <c r="H748" t="inlineStr">
        <is>
          <t>09:50</t>
        </is>
      </c>
      <c r="I748" t="inlineStr">
        <is>
          <t>AREAS_MULTIPLES</t>
        </is>
      </c>
      <c r="J748" t="inlineStr">
        <is>
          <t>0101</t>
        </is>
      </c>
      <c r="K748" t="inlineStr">
        <is>
          <t>ÁREAS MÚLTIPLES</t>
        </is>
      </c>
      <c r="L748" t="inlineStr"/>
      <c r="M748" t="inlineStr"/>
      <c r="N748" t="inlineStr"/>
      <c r="O748" t="inlineStr">
        <is>
          <t>Maestro de aula: todas las áreas con su grupo</t>
        </is>
      </c>
      <c r="P748" t="inlineStr"/>
      <c r="Q748">
        <f>IF(I748="ENFASIS","ÉNFASIS "&amp;M748,IFERROR(VLOOKUP(J748,Grupos!$A$2:$D$100,4,FALSE),J748))</f>
        <v/>
      </c>
      <c r="R748">
        <f>O748&amp;IF(N748&lt;&gt;"",IF(O748&lt;&gt;""," · ","")&amp;"Con: "&amp;N748,"")</f>
        <v/>
      </c>
      <c r="S748">
        <f>C748&amp;"|"&amp;D748</f>
        <v/>
      </c>
      <c r="T748">
        <f>COUNTIF($S$2:S748,S748)</f>
        <v/>
      </c>
      <c r="U748">
        <f>S748&amp;"|"&amp;T748</f>
        <v/>
      </c>
      <c r="V748">
        <f>IFERROR(VLOOKUP(IF(I748="ENFASIS",LEFT(M748,FIND("+",M748&amp;"+")-1),J748),Direccion_Grupo!$A$2:$G$100,7,FALSE),"")</f>
        <v/>
      </c>
    </row>
    <row r="749">
      <c r="A749" t="n">
        <v>45</v>
      </c>
      <c r="B749" t="inlineStr">
        <is>
          <t>Sinisterra Ana Lucía</t>
        </is>
      </c>
      <c r="C749" t="inlineStr">
        <is>
          <t>MIERCOLES</t>
        </is>
      </c>
      <c r="D749" t="n">
        <v>4</v>
      </c>
      <c r="E749" t="n">
        <v>2</v>
      </c>
      <c r="F749" t="n">
        <v>2</v>
      </c>
      <c r="G749" t="inlineStr">
        <is>
          <t>09:05</t>
        </is>
      </c>
      <c r="H749" t="inlineStr">
        <is>
          <t>09:50</t>
        </is>
      </c>
      <c r="I749" t="inlineStr">
        <is>
          <t>AREAS_MULTIPLES</t>
        </is>
      </c>
      <c r="J749" t="inlineStr">
        <is>
          <t>0102</t>
        </is>
      </c>
      <c r="K749" t="inlineStr">
        <is>
          <t>ÁREAS MÚLTIPLES</t>
        </is>
      </c>
      <c r="L749" t="inlineStr"/>
      <c r="M749" t="inlineStr"/>
      <c r="N749" t="inlineStr"/>
      <c r="O749" t="inlineStr">
        <is>
          <t>Maestro de aula: todas las áreas con su grupo</t>
        </is>
      </c>
      <c r="P749" t="inlineStr"/>
      <c r="Q749">
        <f>IF(I749="ENFASIS","ÉNFASIS "&amp;M749,IFERROR(VLOOKUP(J749,Grupos!$A$2:$D$100,4,FALSE),J749))</f>
        <v/>
      </c>
      <c r="R749">
        <f>O749&amp;IF(N749&lt;&gt;"",IF(O749&lt;&gt;""," · ","")&amp;"Con: "&amp;N749,"")</f>
        <v/>
      </c>
      <c r="S749">
        <f>C749&amp;"|"&amp;D749</f>
        <v/>
      </c>
      <c r="T749">
        <f>COUNTIF($S$2:S749,S749)</f>
        <v/>
      </c>
      <c r="U749">
        <f>S749&amp;"|"&amp;T749</f>
        <v/>
      </c>
      <c r="V749">
        <f>IFERROR(VLOOKUP(IF(I749="ENFASIS",LEFT(M749,FIND("+",M749&amp;"+")-1),J749),Direccion_Grupo!$A$2:$G$100,7,FALSE),"")</f>
        <v/>
      </c>
    </row>
    <row r="750">
      <c r="A750" t="n">
        <v>13</v>
      </c>
      <c r="B750" t="inlineStr">
        <is>
          <t>Cortés Salazar María Ebelice</t>
        </is>
      </c>
      <c r="C750" t="inlineStr">
        <is>
          <t>MIERCOLES</t>
        </is>
      </c>
      <c r="D750" t="n">
        <v>4</v>
      </c>
      <c r="E750" t="n">
        <v>2</v>
      </c>
      <c r="F750" t="n">
        <v>2</v>
      </c>
      <c r="G750" t="inlineStr">
        <is>
          <t>09:05</t>
        </is>
      </c>
      <c r="H750" t="inlineStr">
        <is>
          <t>09:50</t>
        </is>
      </c>
      <c r="I750" t="inlineStr">
        <is>
          <t>AREAS_MULTIPLES</t>
        </is>
      </c>
      <c r="J750" t="inlineStr">
        <is>
          <t>0201</t>
        </is>
      </c>
      <c r="K750" t="inlineStr">
        <is>
          <t>ÁREAS MÚLTIPLES</t>
        </is>
      </c>
      <c r="L750" t="inlineStr"/>
      <c r="M750" t="inlineStr"/>
      <c r="N750" t="inlineStr"/>
      <c r="O750" t="inlineStr">
        <is>
          <t>Maestro de aula: todas las áreas con su grupo</t>
        </is>
      </c>
      <c r="P750" t="inlineStr"/>
      <c r="Q750">
        <f>IF(I750="ENFASIS","ÉNFASIS "&amp;M750,IFERROR(VLOOKUP(J750,Grupos!$A$2:$D$100,4,FALSE),J750))</f>
        <v/>
      </c>
      <c r="R750">
        <f>O750&amp;IF(N750&lt;&gt;"",IF(O750&lt;&gt;""," · ","")&amp;"Con: "&amp;N750,"")</f>
        <v/>
      </c>
      <c r="S750">
        <f>C750&amp;"|"&amp;D750</f>
        <v/>
      </c>
      <c r="T750">
        <f>COUNTIF($S$2:S750,S750)</f>
        <v/>
      </c>
      <c r="U750">
        <f>S750&amp;"|"&amp;T750</f>
        <v/>
      </c>
      <c r="V750">
        <f>IFERROR(VLOOKUP(IF(I750="ENFASIS",LEFT(M750,FIND("+",M750&amp;"+")-1),J750),Direccion_Grupo!$A$2:$G$100,7,FALSE),"")</f>
        <v/>
      </c>
    </row>
    <row r="751">
      <c r="A751" t="n">
        <v>21</v>
      </c>
      <c r="B751" t="inlineStr">
        <is>
          <t>Garzón Quiñones Sixta Janina</t>
        </is>
      </c>
      <c r="C751" t="inlineStr">
        <is>
          <t>MIERCOLES</t>
        </is>
      </c>
      <c r="D751" t="n">
        <v>4</v>
      </c>
      <c r="E751" t="n">
        <v>2</v>
      </c>
      <c r="F751" t="n">
        <v>2</v>
      </c>
      <c r="G751" t="inlineStr">
        <is>
          <t>09:05</t>
        </is>
      </c>
      <c r="H751" t="inlineStr">
        <is>
          <t>09:50</t>
        </is>
      </c>
      <c r="I751" t="inlineStr">
        <is>
          <t>AREAS_MULTIPLES</t>
        </is>
      </c>
      <c r="J751" t="inlineStr">
        <is>
          <t>0202</t>
        </is>
      </c>
      <c r="K751" t="inlineStr">
        <is>
          <t>ÁREAS MÚLTIPLES</t>
        </is>
      </c>
      <c r="L751" t="inlineStr"/>
      <c r="M751" t="inlineStr"/>
      <c r="N751" t="inlineStr"/>
      <c r="O751" t="inlineStr">
        <is>
          <t>Maestro de aula: todas las áreas con su grupo</t>
        </is>
      </c>
      <c r="P751" t="inlineStr"/>
      <c r="Q751">
        <f>IF(I751="ENFASIS","ÉNFASIS "&amp;M751,IFERROR(VLOOKUP(J751,Grupos!$A$2:$D$100,4,FALSE),J751))</f>
        <v/>
      </c>
      <c r="R751">
        <f>O751&amp;IF(N751&lt;&gt;"",IF(O751&lt;&gt;""," · ","")&amp;"Con: "&amp;N751,"")</f>
        <v/>
      </c>
      <c r="S751">
        <f>C751&amp;"|"&amp;D751</f>
        <v/>
      </c>
      <c r="T751">
        <f>COUNTIF($S$2:S751,S751)</f>
        <v/>
      </c>
      <c r="U751">
        <f>S751&amp;"|"&amp;T751</f>
        <v/>
      </c>
      <c r="V751">
        <f>IFERROR(VLOOKUP(IF(I751="ENFASIS",LEFT(M751,FIND("+",M751&amp;"+")-1),J751),Direccion_Grupo!$A$2:$G$100,7,FALSE),"")</f>
        <v/>
      </c>
    </row>
    <row r="752">
      <c r="A752" t="n">
        <v>46</v>
      </c>
      <c r="B752" t="inlineStr">
        <is>
          <t>Tenorio Cuero Lucy Bivian</t>
        </is>
      </c>
      <c r="C752" t="inlineStr">
        <is>
          <t>MIERCOLES</t>
        </is>
      </c>
      <c r="D752" t="n">
        <v>4</v>
      </c>
      <c r="E752" t="n">
        <v>2</v>
      </c>
      <c r="F752" t="n">
        <v>2</v>
      </c>
      <c r="G752" t="inlineStr">
        <is>
          <t>09:05</t>
        </is>
      </c>
      <c r="H752" t="inlineStr">
        <is>
          <t>09:50</t>
        </is>
      </c>
      <c r="I752" t="inlineStr">
        <is>
          <t>AREAS_MULTIPLES</t>
        </is>
      </c>
      <c r="J752" t="inlineStr">
        <is>
          <t>0203</t>
        </is>
      </c>
      <c r="K752" t="inlineStr">
        <is>
          <t>ÁREAS MÚLTIPLES</t>
        </is>
      </c>
      <c r="L752" t="inlineStr"/>
      <c r="M752" t="inlineStr"/>
      <c r="N752" t="inlineStr"/>
      <c r="O752" t="inlineStr">
        <is>
          <t>Maestro de aula: todas las áreas con su grupo</t>
        </is>
      </c>
      <c r="P752" t="inlineStr"/>
      <c r="Q752">
        <f>IF(I752="ENFASIS","ÉNFASIS "&amp;M752,IFERROR(VLOOKUP(J752,Grupos!$A$2:$D$100,4,FALSE),J752))</f>
        <v/>
      </c>
      <c r="R752">
        <f>O752&amp;IF(N752&lt;&gt;"",IF(O752&lt;&gt;""," · ","")&amp;"Con: "&amp;N752,"")</f>
        <v/>
      </c>
      <c r="S752">
        <f>C752&amp;"|"&amp;D752</f>
        <v/>
      </c>
      <c r="T752">
        <f>COUNTIF($S$2:S752,S752)</f>
        <v/>
      </c>
      <c r="U752">
        <f>S752&amp;"|"&amp;T752</f>
        <v/>
      </c>
      <c r="V752">
        <f>IFERROR(VLOOKUP(IF(I752="ENFASIS",LEFT(M752,FIND("+",M752&amp;"+")-1),J752),Direccion_Grupo!$A$2:$G$100,7,FALSE),"")</f>
        <v/>
      </c>
    </row>
    <row r="753">
      <c r="A753" t="n">
        <v>48</v>
      </c>
      <c r="B753" t="inlineStr">
        <is>
          <t>Torres Segura Encarnación</t>
        </is>
      </c>
      <c r="C753" t="inlineStr">
        <is>
          <t>MIERCOLES</t>
        </is>
      </c>
      <c r="D753" t="n">
        <v>4</v>
      </c>
      <c r="E753" t="n">
        <v>2</v>
      </c>
      <c r="F753" t="n">
        <v>2</v>
      </c>
      <c r="G753" t="inlineStr">
        <is>
          <t>09:05</t>
        </is>
      </c>
      <c r="H753" t="inlineStr">
        <is>
          <t>09:50</t>
        </is>
      </c>
      <c r="I753" t="inlineStr">
        <is>
          <t>AREAS_MULTIPLES</t>
        </is>
      </c>
      <c r="J753" t="inlineStr">
        <is>
          <t>0301</t>
        </is>
      </c>
      <c r="K753" t="inlineStr">
        <is>
          <t>ÁREAS MÚLTIPLES</t>
        </is>
      </c>
      <c r="L753" t="inlineStr"/>
      <c r="M753" t="inlineStr"/>
      <c r="N753" t="inlineStr"/>
      <c r="O753" t="inlineStr">
        <is>
          <t>Maestro de aula: todas las áreas con su grupo</t>
        </is>
      </c>
      <c r="P753" t="inlineStr"/>
      <c r="Q753">
        <f>IF(I753="ENFASIS","ÉNFASIS "&amp;M753,IFERROR(VLOOKUP(J753,Grupos!$A$2:$D$100,4,FALSE),J753))</f>
        <v/>
      </c>
      <c r="R753">
        <f>O753&amp;IF(N753&lt;&gt;"",IF(O753&lt;&gt;""," · ","")&amp;"Con: "&amp;N753,"")</f>
        <v/>
      </c>
      <c r="S753">
        <f>C753&amp;"|"&amp;D753</f>
        <v/>
      </c>
      <c r="T753">
        <f>COUNTIF($S$2:S753,S753)</f>
        <v/>
      </c>
      <c r="U753">
        <f>S753&amp;"|"&amp;T753</f>
        <v/>
      </c>
      <c r="V753">
        <f>IFERROR(VLOOKUP(IF(I753="ENFASIS",LEFT(M753,FIND("+",M753&amp;"+")-1),J753),Direccion_Grupo!$A$2:$G$100,7,FALSE),"")</f>
        <v/>
      </c>
    </row>
    <row r="754">
      <c r="A754" t="n">
        <v>24</v>
      </c>
      <c r="B754" t="inlineStr">
        <is>
          <t>Landázuri Gallón Teresa</t>
        </is>
      </c>
      <c r="C754" t="inlineStr">
        <is>
          <t>MIERCOLES</t>
        </is>
      </c>
      <c r="D754" t="n">
        <v>4</v>
      </c>
      <c r="E754" t="n">
        <v>2</v>
      </c>
      <c r="F754" t="n">
        <v>2</v>
      </c>
      <c r="G754" t="inlineStr">
        <is>
          <t>09:05</t>
        </is>
      </c>
      <c r="H754" t="inlineStr">
        <is>
          <t>09:50</t>
        </is>
      </c>
      <c r="I754" t="inlineStr">
        <is>
          <t>AREAS_MULTIPLES</t>
        </is>
      </c>
      <c r="J754" t="inlineStr">
        <is>
          <t>0302</t>
        </is>
      </c>
      <c r="K754" t="inlineStr">
        <is>
          <t>ÁREAS MÚLTIPLES</t>
        </is>
      </c>
      <c r="L754" t="inlineStr"/>
      <c r="M754" t="inlineStr"/>
      <c r="N754" t="inlineStr"/>
      <c r="O754" t="inlineStr">
        <is>
          <t>Maestro de aula: todas las áreas con su grupo</t>
        </is>
      </c>
      <c r="P754" t="inlineStr"/>
      <c r="Q754">
        <f>IF(I754="ENFASIS","ÉNFASIS "&amp;M754,IFERROR(VLOOKUP(J754,Grupos!$A$2:$D$100,4,FALSE),J754))</f>
        <v/>
      </c>
      <c r="R754">
        <f>O754&amp;IF(N754&lt;&gt;"",IF(O754&lt;&gt;""," · ","")&amp;"Con: "&amp;N754,"")</f>
        <v/>
      </c>
      <c r="S754">
        <f>C754&amp;"|"&amp;D754</f>
        <v/>
      </c>
      <c r="T754">
        <f>COUNTIF($S$2:S754,S754)</f>
        <v/>
      </c>
      <c r="U754">
        <f>S754&amp;"|"&amp;T754</f>
        <v/>
      </c>
      <c r="V754">
        <f>IFERROR(VLOOKUP(IF(I754="ENFASIS",LEFT(M754,FIND("+",M754&amp;"+")-1),J754),Direccion_Grupo!$A$2:$G$100,7,FALSE),"")</f>
        <v/>
      </c>
    </row>
    <row r="755">
      <c r="A755" t="n">
        <v>55</v>
      </c>
      <c r="B755" t="inlineStr">
        <is>
          <t>Zamora Ordóñez Celia Pastora</t>
        </is>
      </c>
      <c r="C755" t="inlineStr">
        <is>
          <t>MIERCOLES</t>
        </is>
      </c>
      <c r="D755" t="n">
        <v>4</v>
      </c>
      <c r="E755" t="n">
        <v>2</v>
      </c>
      <c r="F755" t="n">
        <v>2</v>
      </c>
      <c r="G755" t="inlineStr">
        <is>
          <t>09:05</t>
        </is>
      </c>
      <c r="H755" t="inlineStr">
        <is>
          <t>09:50</t>
        </is>
      </c>
      <c r="I755" t="inlineStr">
        <is>
          <t>AREAS_MULTIPLES</t>
        </is>
      </c>
      <c r="J755" t="inlineStr">
        <is>
          <t>0401</t>
        </is>
      </c>
      <c r="K755" t="inlineStr">
        <is>
          <t>ÁREAS MÚLTIPLES</t>
        </is>
      </c>
      <c r="L755" t="inlineStr"/>
      <c r="M755" t="inlineStr"/>
      <c r="N755" t="inlineStr"/>
      <c r="O755" t="inlineStr">
        <is>
          <t>Maestro de aula: todas las áreas con su grupo</t>
        </is>
      </c>
      <c r="P755" t="inlineStr"/>
      <c r="Q755">
        <f>IF(I755="ENFASIS","ÉNFASIS "&amp;M755,IFERROR(VLOOKUP(J755,Grupos!$A$2:$D$100,4,FALSE),J755))</f>
        <v/>
      </c>
      <c r="R755">
        <f>O755&amp;IF(N755&lt;&gt;"",IF(O755&lt;&gt;""," · ","")&amp;"Con: "&amp;N755,"")</f>
        <v/>
      </c>
      <c r="S755">
        <f>C755&amp;"|"&amp;D755</f>
        <v/>
      </c>
      <c r="T755">
        <f>COUNTIF($S$2:S755,S755)</f>
        <v/>
      </c>
      <c r="U755">
        <f>S755&amp;"|"&amp;T755</f>
        <v/>
      </c>
      <c r="V755">
        <f>IFERROR(VLOOKUP(IF(I755="ENFASIS",LEFT(M755,FIND("+",M755&amp;"+")-1),J755),Direccion_Grupo!$A$2:$G$100,7,FALSE),"")</f>
        <v/>
      </c>
    </row>
    <row r="756">
      <c r="A756" t="n">
        <v>33</v>
      </c>
      <c r="B756" t="inlineStr">
        <is>
          <t>Núñez Perlaza Elcy</t>
        </is>
      </c>
      <c r="C756" t="inlineStr">
        <is>
          <t>MIERCOLES</t>
        </is>
      </c>
      <c r="D756" t="n">
        <v>4</v>
      </c>
      <c r="E756" t="n">
        <v>2</v>
      </c>
      <c r="F756" t="n">
        <v>2</v>
      </c>
      <c r="G756" t="inlineStr">
        <is>
          <t>09:05</t>
        </is>
      </c>
      <c r="H756" t="inlineStr">
        <is>
          <t>09:50</t>
        </is>
      </c>
      <c r="I756" t="inlineStr">
        <is>
          <t>AREAS_MULTIPLES</t>
        </is>
      </c>
      <c r="J756" t="inlineStr">
        <is>
          <t>0402</t>
        </is>
      </c>
      <c r="K756" t="inlineStr">
        <is>
          <t>ÁREAS MÚLTIPLES</t>
        </is>
      </c>
      <c r="L756" t="inlineStr"/>
      <c r="M756" t="inlineStr"/>
      <c r="N756" t="inlineStr"/>
      <c r="O756" t="inlineStr">
        <is>
          <t>Maestro de aula: todas las áreas con su grupo</t>
        </is>
      </c>
      <c r="P756" t="inlineStr"/>
      <c r="Q756">
        <f>IF(I756="ENFASIS","ÉNFASIS "&amp;M756,IFERROR(VLOOKUP(J756,Grupos!$A$2:$D$100,4,FALSE),J756))</f>
        <v/>
      </c>
      <c r="R756">
        <f>O756&amp;IF(N756&lt;&gt;"",IF(O756&lt;&gt;""," · ","")&amp;"Con: "&amp;N756,"")</f>
        <v/>
      </c>
      <c r="S756">
        <f>C756&amp;"|"&amp;D756</f>
        <v/>
      </c>
      <c r="T756">
        <f>COUNTIF($S$2:S756,S756)</f>
        <v/>
      </c>
      <c r="U756">
        <f>S756&amp;"|"&amp;T756</f>
        <v/>
      </c>
      <c r="V756">
        <f>IFERROR(VLOOKUP(IF(I756="ENFASIS",LEFT(M756,FIND("+",M756&amp;"+")-1),J756),Direccion_Grupo!$A$2:$G$100,7,FALSE),"")</f>
        <v/>
      </c>
    </row>
    <row r="757">
      <c r="A757" t="n">
        <v>14</v>
      </c>
      <c r="B757" t="inlineStr">
        <is>
          <t>Cuéllar Gallo Nemesia</t>
        </is>
      </c>
      <c r="C757" t="inlineStr">
        <is>
          <t>MIERCOLES</t>
        </is>
      </c>
      <c r="D757" t="n">
        <v>4</v>
      </c>
      <c r="E757" t="n">
        <v>2</v>
      </c>
      <c r="F757" t="n">
        <v>2</v>
      </c>
      <c r="G757" t="inlineStr">
        <is>
          <t>09:05</t>
        </is>
      </c>
      <c r="H757" t="inlineStr">
        <is>
          <t>09:50</t>
        </is>
      </c>
      <c r="I757" t="inlineStr">
        <is>
          <t>AREAS_MULTIPLES</t>
        </is>
      </c>
      <c r="J757" t="inlineStr">
        <is>
          <t>0501</t>
        </is>
      </c>
      <c r="K757" t="inlineStr">
        <is>
          <t>ÁREAS MÚLTIPLES</t>
        </is>
      </c>
      <c r="L757" t="inlineStr"/>
      <c r="M757" t="inlineStr"/>
      <c r="N757" t="inlineStr"/>
      <c r="O757" t="inlineStr">
        <is>
          <t>Maestro de aula: todas las áreas con su grupo</t>
        </is>
      </c>
      <c r="P757" t="inlineStr"/>
      <c r="Q757">
        <f>IF(I757="ENFASIS","ÉNFASIS "&amp;M757,IFERROR(VLOOKUP(J757,Grupos!$A$2:$D$100,4,FALSE),J757))</f>
        <v/>
      </c>
      <c r="R757">
        <f>O757&amp;IF(N757&lt;&gt;"",IF(O757&lt;&gt;""," · ","")&amp;"Con: "&amp;N757,"")</f>
        <v/>
      </c>
      <c r="S757">
        <f>C757&amp;"|"&amp;D757</f>
        <v/>
      </c>
      <c r="T757">
        <f>COUNTIF($S$2:S757,S757)</f>
        <v/>
      </c>
      <c r="U757">
        <f>S757&amp;"|"&amp;T757</f>
        <v/>
      </c>
      <c r="V757">
        <f>IFERROR(VLOOKUP(IF(I757="ENFASIS",LEFT(M757,FIND("+",M757&amp;"+")-1),J757),Direccion_Grupo!$A$2:$G$100,7,FALSE),"")</f>
        <v/>
      </c>
    </row>
    <row r="758">
      <c r="A758" t="n">
        <v>11</v>
      </c>
      <c r="B758" t="inlineStr">
        <is>
          <t>Centeno Zúñiga Claudia Patricia</t>
        </is>
      </c>
      <c r="C758" t="inlineStr">
        <is>
          <t>MIERCOLES</t>
        </is>
      </c>
      <c r="D758" t="n">
        <v>4</v>
      </c>
      <c r="E758" t="n">
        <v>2</v>
      </c>
      <c r="F758" t="n">
        <v>2</v>
      </c>
      <c r="G758" t="inlineStr">
        <is>
          <t>09:05</t>
        </is>
      </c>
      <c r="H758" t="inlineStr">
        <is>
          <t>09:50</t>
        </is>
      </c>
      <c r="I758" t="inlineStr">
        <is>
          <t>AREAS_MULTIPLES</t>
        </is>
      </c>
      <c r="J758" t="inlineStr">
        <is>
          <t>0502</t>
        </is>
      </c>
      <c r="K758" t="inlineStr">
        <is>
          <t>ÁREAS MÚLTIPLES</t>
        </is>
      </c>
      <c r="L758" t="inlineStr"/>
      <c r="M758" t="inlineStr"/>
      <c r="N758" t="inlineStr"/>
      <c r="O758" t="inlineStr">
        <is>
          <t>Maestro de aula: todas las áreas con su grupo</t>
        </is>
      </c>
      <c r="P758" t="inlineStr"/>
      <c r="Q758">
        <f>IF(I758="ENFASIS","ÉNFASIS "&amp;M758,IFERROR(VLOOKUP(J758,Grupos!$A$2:$D$100,4,FALSE),J758))</f>
        <v/>
      </c>
      <c r="R758">
        <f>O758&amp;IF(N758&lt;&gt;"",IF(O758&lt;&gt;""," · ","")&amp;"Con: "&amp;N758,"")</f>
        <v/>
      </c>
      <c r="S758">
        <f>C758&amp;"|"&amp;D758</f>
        <v/>
      </c>
      <c r="T758">
        <f>COUNTIF($S$2:S758,S758)</f>
        <v/>
      </c>
      <c r="U758">
        <f>S758&amp;"|"&amp;T758</f>
        <v/>
      </c>
      <c r="V758">
        <f>IFERROR(VLOOKUP(IF(I758="ENFASIS",LEFT(M758,FIND("+",M758&amp;"+")-1),J758),Direccion_Grupo!$A$2:$G$100,7,FALSE),"")</f>
        <v/>
      </c>
    </row>
    <row r="759">
      <c r="A759" t="n">
        <v>32</v>
      </c>
      <c r="B759" t="inlineStr">
        <is>
          <t>Narváez Sánchez Dora Alejandra</t>
        </is>
      </c>
      <c r="C759" t="inlineStr">
        <is>
          <t>MIERCOLES</t>
        </is>
      </c>
      <c r="D759" t="n">
        <v>4</v>
      </c>
      <c r="E759" t="n">
        <v>2</v>
      </c>
      <c r="F759" t="n">
        <v>2</v>
      </c>
      <c r="G759" t="inlineStr">
        <is>
          <t>09:05</t>
        </is>
      </c>
      <c r="H759" t="inlineStr">
        <is>
          <t>09:50</t>
        </is>
      </c>
      <c r="I759" t="inlineStr">
        <is>
          <t>AREAS_MULTIPLES</t>
        </is>
      </c>
      <c r="J759" t="inlineStr">
        <is>
          <t>0503</t>
        </is>
      </c>
      <c r="K759" t="inlineStr">
        <is>
          <t>ÁREAS MÚLTIPLES</t>
        </is>
      </c>
      <c r="L759" t="inlineStr"/>
      <c r="M759" t="inlineStr"/>
      <c r="N759" t="inlineStr"/>
      <c r="O759" t="inlineStr">
        <is>
          <t>Maestro de aula: todas las áreas con su grupo</t>
        </is>
      </c>
      <c r="P759" t="inlineStr"/>
      <c r="Q759">
        <f>IF(I759="ENFASIS","ÉNFASIS "&amp;M759,IFERROR(VLOOKUP(J759,Grupos!$A$2:$D$100,4,FALSE),J759))</f>
        <v/>
      </c>
      <c r="R759">
        <f>O759&amp;IF(N759&lt;&gt;"",IF(O759&lt;&gt;""," · ","")&amp;"Con: "&amp;N759,"")</f>
        <v/>
      </c>
      <c r="S759">
        <f>C759&amp;"|"&amp;D759</f>
        <v/>
      </c>
      <c r="T759">
        <f>COUNTIF($S$2:S759,S759)</f>
        <v/>
      </c>
      <c r="U759">
        <f>S759&amp;"|"&amp;T759</f>
        <v/>
      </c>
      <c r="V759">
        <f>IFERROR(VLOOKUP(IF(I759="ENFASIS",LEFT(M759,FIND("+",M759&amp;"+")-1),J759),Direccion_Grupo!$A$2:$G$100,7,FALSE),"")</f>
        <v/>
      </c>
    </row>
    <row r="760">
      <c r="A760" t="n">
        <v>17</v>
      </c>
      <c r="B760" t="inlineStr">
        <is>
          <t>Escobar Cortés Liliana</t>
        </is>
      </c>
      <c r="C760" t="inlineStr">
        <is>
          <t>MIERCOLES</t>
        </is>
      </c>
      <c r="D760" t="n">
        <v>4</v>
      </c>
      <c r="E760" t="n">
        <v>2</v>
      </c>
      <c r="F760" t="n">
        <v>2</v>
      </c>
      <c r="G760" t="inlineStr">
        <is>
          <t>09:05</t>
        </is>
      </c>
      <c r="H760" t="inlineStr">
        <is>
          <t>09:50</t>
        </is>
      </c>
      <c r="I760" t="inlineStr">
        <is>
          <t>AREAS_MULTIPLES</t>
        </is>
      </c>
      <c r="J760" t="inlineStr">
        <is>
          <t>0504</t>
        </is>
      </c>
      <c r="K760" t="inlineStr">
        <is>
          <t>ÁREAS MÚLTIPLES</t>
        </is>
      </c>
      <c r="L760" t="inlineStr"/>
      <c r="M760" t="inlineStr"/>
      <c r="N760" t="inlineStr"/>
      <c r="O760" t="inlineStr">
        <is>
          <t>Maestro de aula: todas las áreas con su grupo</t>
        </is>
      </c>
      <c r="P760" t="inlineStr"/>
      <c r="Q760">
        <f>IF(I760="ENFASIS","ÉNFASIS "&amp;M760,IFERROR(VLOOKUP(J760,Grupos!$A$2:$D$100,4,FALSE),J760))</f>
        <v/>
      </c>
      <c r="R760">
        <f>O760&amp;IF(N760&lt;&gt;"",IF(O760&lt;&gt;""," · ","")&amp;"Con: "&amp;N760,"")</f>
        <v/>
      </c>
      <c r="S760">
        <f>C760&amp;"|"&amp;D760</f>
        <v/>
      </c>
      <c r="T760">
        <f>COUNTIF($S$2:S760,S760)</f>
        <v/>
      </c>
      <c r="U760">
        <f>S760&amp;"|"&amp;T760</f>
        <v/>
      </c>
      <c r="V760">
        <f>IFERROR(VLOOKUP(IF(I760="ENFASIS",LEFT(M760,FIND("+",M760&amp;"+")-1),J760),Direccion_Grupo!$A$2:$G$100,7,FALSE),"")</f>
        <v/>
      </c>
    </row>
    <row r="761">
      <c r="A761" t="n">
        <v>16</v>
      </c>
      <c r="B761" t="inlineStr">
        <is>
          <t>Cuero Rincón Hernando Jesús</t>
        </is>
      </c>
      <c r="C761" t="inlineStr">
        <is>
          <t>MIERCOLES</t>
        </is>
      </c>
      <c r="D761" t="n">
        <v>4</v>
      </c>
      <c r="E761" t="n">
        <v>2</v>
      </c>
      <c r="F761" t="n">
        <v>2</v>
      </c>
      <c r="G761" t="inlineStr">
        <is>
          <t>09:05</t>
        </is>
      </c>
      <c r="H761" t="inlineStr">
        <is>
          <t>09:50</t>
        </is>
      </c>
      <c r="I761" t="inlineStr">
        <is>
          <t>CLASE</t>
        </is>
      </c>
      <c r="J761" t="inlineStr">
        <is>
          <t>0601</t>
        </is>
      </c>
      <c r="K761" t="inlineStr">
        <is>
          <t>CAS</t>
        </is>
      </c>
      <c r="L761" t="inlineStr"/>
      <c r="M761" t="inlineStr"/>
      <c r="N761" t="inlineStr"/>
      <c r="O761" t="inlineStr"/>
      <c r="P761" t="inlineStr">
        <is>
          <t>0601-CAS</t>
        </is>
      </c>
      <c r="Q761">
        <f>IF(I761="ENFASIS","ÉNFASIS "&amp;M761,IFERROR(VLOOKUP(J761,Grupos!$A$2:$D$100,4,FALSE),J761))</f>
        <v/>
      </c>
      <c r="R761">
        <f>O761&amp;IF(N761&lt;&gt;"",IF(O761&lt;&gt;""," · ","")&amp;"Con: "&amp;N761,"")</f>
        <v/>
      </c>
      <c r="S761">
        <f>C761&amp;"|"&amp;D761</f>
        <v/>
      </c>
      <c r="T761">
        <f>COUNTIF($S$2:S761,S761)</f>
        <v/>
      </c>
      <c r="U761">
        <f>S761&amp;"|"&amp;T761</f>
        <v/>
      </c>
      <c r="V761">
        <f>IFERROR(VLOOKUP(IF(I761="ENFASIS",LEFT(M761,FIND("+",M761&amp;"+")-1),J761),Direccion_Grupo!$A$2:$G$100,7,FALSE),"")</f>
        <v/>
      </c>
    </row>
    <row r="762">
      <c r="A762" t="n">
        <v>37</v>
      </c>
      <c r="B762" t="inlineStr">
        <is>
          <t>Prado Quiñones Genís Maribel</t>
        </is>
      </c>
      <c r="C762" t="inlineStr">
        <is>
          <t>MIERCOLES</t>
        </is>
      </c>
      <c r="D762" t="n">
        <v>4</v>
      </c>
      <c r="E762" t="n">
        <v>2</v>
      </c>
      <c r="F762" t="n">
        <v>2</v>
      </c>
      <c r="G762" t="inlineStr">
        <is>
          <t>09:05</t>
        </is>
      </c>
      <c r="H762" t="inlineStr">
        <is>
          <t>09:50</t>
        </is>
      </c>
      <c r="I762" t="inlineStr">
        <is>
          <t>CLASE</t>
        </is>
      </c>
      <c r="J762" t="inlineStr">
        <is>
          <t>0602</t>
        </is>
      </c>
      <c r="K762" t="inlineStr">
        <is>
          <t>ART</t>
        </is>
      </c>
      <c r="L762" t="inlineStr"/>
      <c r="M762" t="inlineStr"/>
      <c r="N762" t="inlineStr"/>
      <c r="O762" t="inlineStr"/>
      <c r="P762" t="inlineStr">
        <is>
          <t>0602-ART</t>
        </is>
      </c>
      <c r="Q762">
        <f>IF(I762="ENFASIS","ÉNFASIS "&amp;M762,IFERROR(VLOOKUP(J762,Grupos!$A$2:$D$100,4,FALSE),J762))</f>
        <v/>
      </c>
      <c r="R762">
        <f>O762&amp;IF(N762&lt;&gt;"",IF(O762&lt;&gt;""," · ","")&amp;"Con: "&amp;N762,"")</f>
        <v/>
      </c>
      <c r="S762">
        <f>C762&amp;"|"&amp;D762</f>
        <v/>
      </c>
      <c r="T762">
        <f>COUNTIF($S$2:S762,S762)</f>
        <v/>
      </c>
      <c r="U762">
        <f>S762&amp;"|"&amp;T762</f>
        <v/>
      </c>
      <c r="V762">
        <f>IFERROR(VLOOKUP(IF(I762="ENFASIS",LEFT(M762,FIND("+",M762&amp;"+")-1),J762),Direccion_Grupo!$A$2:$G$100,7,FALSE),"")</f>
        <v/>
      </c>
    </row>
    <row r="763">
      <c r="A763" t="n">
        <v>10</v>
      </c>
      <c r="B763" t="inlineStr">
        <is>
          <t>Castillo Cuero Daira Eneida</t>
        </is>
      </c>
      <c r="C763" t="inlineStr">
        <is>
          <t>MIERCOLES</t>
        </is>
      </c>
      <c r="D763" t="n">
        <v>4</v>
      </c>
      <c r="E763" t="n">
        <v>2</v>
      </c>
      <c r="F763" t="n">
        <v>2</v>
      </c>
      <c r="G763" t="inlineStr">
        <is>
          <t>09:05</t>
        </is>
      </c>
      <c r="H763" t="inlineStr">
        <is>
          <t>09:50</t>
        </is>
      </c>
      <c r="I763" t="inlineStr">
        <is>
          <t>CLASE</t>
        </is>
      </c>
      <c r="J763" t="inlineStr">
        <is>
          <t>0701</t>
        </is>
      </c>
      <c r="K763" t="inlineStr">
        <is>
          <t>CAS</t>
        </is>
      </c>
      <c r="L763" t="inlineStr"/>
      <c r="M763" t="inlineStr"/>
      <c r="N763" t="inlineStr"/>
      <c r="O763" t="inlineStr"/>
      <c r="P763" t="inlineStr">
        <is>
          <t>0701-CAS</t>
        </is>
      </c>
      <c r="Q763">
        <f>IF(I763="ENFASIS","ÉNFASIS "&amp;M763,IFERROR(VLOOKUP(J763,Grupos!$A$2:$D$100,4,FALSE),J763))</f>
        <v/>
      </c>
      <c r="R763">
        <f>O763&amp;IF(N763&lt;&gt;"",IF(O763&lt;&gt;""," · ","")&amp;"Con: "&amp;N763,"")</f>
        <v/>
      </c>
      <c r="S763">
        <f>C763&amp;"|"&amp;D763</f>
        <v/>
      </c>
      <c r="T763">
        <f>COUNTIF($S$2:S763,S763)</f>
        <v/>
      </c>
      <c r="U763">
        <f>S763&amp;"|"&amp;T763</f>
        <v/>
      </c>
      <c r="V763">
        <f>IFERROR(VLOOKUP(IF(I763="ENFASIS",LEFT(M763,FIND("+",M763&amp;"+")-1),J763),Direccion_Grupo!$A$2:$G$100,7,FALSE),"")</f>
        <v/>
      </c>
    </row>
    <row r="764">
      <c r="A764" t="n">
        <v>39</v>
      </c>
      <c r="B764" t="inlineStr">
        <is>
          <t>Puches Ana Milena</t>
        </is>
      </c>
      <c r="C764" t="inlineStr">
        <is>
          <t>MIERCOLES</t>
        </is>
      </c>
      <c r="D764" t="n">
        <v>4</v>
      </c>
      <c r="E764" t="n">
        <v>2</v>
      </c>
      <c r="F764" t="n">
        <v>2</v>
      </c>
      <c r="G764" t="inlineStr">
        <is>
          <t>09:05</t>
        </is>
      </c>
      <c r="H764" t="inlineStr">
        <is>
          <t>09:50</t>
        </is>
      </c>
      <c r="I764" t="inlineStr">
        <is>
          <t>CLASE</t>
        </is>
      </c>
      <c r="J764" t="inlineStr">
        <is>
          <t>0702</t>
        </is>
      </c>
      <c r="K764" t="inlineStr">
        <is>
          <t>ART</t>
        </is>
      </c>
      <c r="L764" t="inlineStr"/>
      <c r="M764" t="inlineStr"/>
      <c r="N764" t="inlineStr"/>
      <c r="O764" t="inlineStr"/>
      <c r="P764" t="inlineStr">
        <is>
          <t>0702-ART</t>
        </is>
      </c>
      <c r="Q764">
        <f>IF(I764="ENFASIS","ÉNFASIS "&amp;M764,IFERROR(VLOOKUP(J764,Grupos!$A$2:$D$100,4,FALSE),J764))</f>
        <v/>
      </c>
      <c r="R764">
        <f>O764&amp;IF(N764&lt;&gt;"",IF(O764&lt;&gt;""," · ","")&amp;"Con: "&amp;N764,"")</f>
        <v/>
      </c>
      <c r="S764">
        <f>C764&amp;"|"&amp;D764</f>
        <v/>
      </c>
      <c r="T764">
        <f>COUNTIF($S$2:S764,S764)</f>
        <v/>
      </c>
      <c r="U764">
        <f>S764&amp;"|"&amp;T764</f>
        <v/>
      </c>
      <c r="V764">
        <f>IFERROR(VLOOKUP(IF(I764="ENFASIS",LEFT(M764,FIND("+",M764&amp;"+")-1),J764),Direccion_Grupo!$A$2:$G$100,7,FALSE),"")</f>
        <v/>
      </c>
    </row>
    <row r="765">
      <c r="A765" t="n">
        <v>34</v>
      </c>
      <c r="B765" t="inlineStr">
        <is>
          <t>Ordóñez Tenorio Jaime Marcial</t>
        </is>
      </c>
      <c r="C765" t="inlineStr">
        <is>
          <t>MIERCOLES</t>
        </is>
      </c>
      <c r="D765" t="n">
        <v>4</v>
      </c>
      <c r="E765" t="n">
        <v>2</v>
      </c>
      <c r="F765" t="n">
        <v>2</v>
      </c>
      <c r="G765" t="inlineStr">
        <is>
          <t>09:05</t>
        </is>
      </c>
      <c r="H765" t="inlineStr">
        <is>
          <t>09:50</t>
        </is>
      </c>
      <c r="I765" t="inlineStr">
        <is>
          <t>CLASE</t>
        </is>
      </c>
      <c r="J765" t="inlineStr">
        <is>
          <t>0703</t>
        </is>
      </c>
      <c r="K765" t="inlineStr">
        <is>
          <t>CNA</t>
        </is>
      </c>
      <c r="L765" t="inlineStr"/>
      <c r="M765" t="inlineStr"/>
      <c r="N765" t="inlineStr"/>
      <c r="O765" t="inlineStr"/>
      <c r="P765" t="inlineStr">
        <is>
          <t>0703-CNA</t>
        </is>
      </c>
      <c r="Q765">
        <f>IF(I765="ENFASIS","ÉNFASIS "&amp;M765,IFERROR(VLOOKUP(J765,Grupos!$A$2:$D$100,4,FALSE),J765))</f>
        <v/>
      </c>
      <c r="R765">
        <f>O765&amp;IF(N765&lt;&gt;"",IF(O765&lt;&gt;""," · ","")&amp;"Con: "&amp;N765,"")</f>
        <v/>
      </c>
      <c r="S765">
        <f>C765&amp;"|"&amp;D765</f>
        <v/>
      </c>
      <c r="T765">
        <f>COUNTIF($S$2:S765,S765)</f>
        <v/>
      </c>
      <c r="U765">
        <f>S765&amp;"|"&amp;T765</f>
        <v/>
      </c>
      <c r="V765">
        <f>IFERROR(VLOOKUP(IF(I765="ENFASIS",LEFT(M765,FIND("+",M765&amp;"+")-1),J765),Direccion_Grupo!$A$2:$G$100,7,FALSE),"")</f>
        <v/>
      </c>
    </row>
    <row r="766">
      <c r="A766" t="n">
        <v>4</v>
      </c>
      <c r="B766" t="inlineStr">
        <is>
          <t>Arizala Castro Roberto Carlos</t>
        </is>
      </c>
      <c r="C766" t="inlineStr">
        <is>
          <t>MIERCOLES</t>
        </is>
      </c>
      <c r="D766" t="n">
        <v>4</v>
      </c>
      <c r="E766" t="n">
        <v>2</v>
      </c>
      <c r="F766" t="n">
        <v>2</v>
      </c>
      <c r="G766" t="inlineStr">
        <is>
          <t>09:05</t>
        </is>
      </c>
      <c r="H766" t="inlineStr">
        <is>
          <t>09:50</t>
        </is>
      </c>
      <c r="I766" t="inlineStr">
        <is>
          <t>CLASE</t>
        </is>
      </c>
      <c r="J766" t="inlineStr">
        <is>
          <t>0704</t>
        </is>
      </c>
      <c r="K766" t="inlineStr">
        <is>
          <t>ERD</t>
        </is>
      </c>
      <c r="L766" t="inlineStr"/>
      <c r="M766" t="inlineStr"/>
      <c r="N766" t="inlineStr"/>
      <c r="O766" t="inlineStr"/>
      <c r="P766" t="inlineStr">
        <is>
          <t>0704-ERD</t>
        </is>
      </c>
      <c r="Q766">
        <f>IF(I766="ENFASIS","ÉNFASIS "&amp;M766,IFERROR(VLOOKUP(J766,Grupos!$A$2:$D$100,4,FALSE),J766))</f>
        <v/>
      </c>
      <c r="R766">
        <f>O766&amp;IF(N766&lt;&gt;"",IF(O766&lt;&gt;""," · ","")&amp;"Con: "&amp;N766,"")</f>
        <v/>
      </c>
      <c r="S766">
        <f>C766&amp;"|"&amp;D766</f>
        <v/>
      </c>
      <c r="T766">
        <f>COUNTIF($S$2:S766,S766)</f>
        <v/>
      </c>
      <c r="U766">
        <f>S766&amp;"|"&amp;T766</f>
        <v/>
      </c>
      <c r="V766">
        <f>IFERROR(VLOOKUP(IF(I766="ENFASIS",LEFT(M766,FIND("+",M766&amp;"+")-1),J766),Direccion_Grupo!$A$2:$G$100,7,FALSE),"")</f>
        <v/>
      </c>
    </row>
    <row r="767">
      <c r="A767" t="n">
        <v>35</v>
      </c>
      <c r="B767" t="inlineStr">
        <is>
          <t>Ortiz Araujo Adiela Carlota</t>
        </is>
      </c>
      <c r="C767" t="inlineStr">
        <is>
          <t>MIERCOLES</t>
        </is>
      </c>
      <c r="D767" t="n">
        <v>4</v>
      </c>
      <c r="E767" t="n">
        <v>2</v>
      </c>
      <c r="F767" t="n">
        <v>2</v>
      </c>
      <c r="G767" t="inlineStr">
        <is>
          <t>09:05</t>
        </is>
      </c>
      <c r="H767" t="inlineStr">
        <is>
          <t>09:50</t>
        </is>
      </c>
      <c r="I767" t="inlineStr">
        <is>
          <t>CLASE</t>
        </is>
      </c>
      <c r="J767" t="inlineStr">
        <is>
          <t>0802</t>
        </is>
      </c>
      <c r="K767" t="inlineStr">
        <is>
          <t>CSI</t>
        </is>
      </c>
      <c r="L767" t="inlineStr"/>
      <c r="M767" t="inlineStr"/>
      <c r="N767" t="inlineStr"/>
      <c r="O767" t="inlineStr">
        <is>
          <t>Sociales / Inglés (alternan cada semana)</t>
        </is>
      </c>
      <c r="P767" t="inlineStr">
        <is>
          <t>0802-CSI</t>
        </is>
      </c>
      <c r="Q767">
        <f>IF(I767="ENFASIS","ÉNFASIS "&amp;M767,IFERROR(VLOOKUP(J767,Grupos!$A$2:$D$100,4,FALSE),J767))</f>
        <v/>
      </c>
      <c r="R767">
        <f>O767&amp;IF(N767&lt;&gt;"",IF(O767&lt;&gt;""," · ","")&amp;"Con: "&amp;N767,"")</f>
        <v/>
      </c>
      <c r="S767">
        <f>C767&amp;"|"&amp;D767</f>
        <v/>
      </c>
      <c r="T767">
        <f>COUNTIF($S$2:S767,S767)</f>
        <v/>
      </c>
      <c r="U767">
        <f>S767&amp;"|"&amp;T767</f>
        <v/>
      </c>
      <c r="V767">
        <f>IFERROR(VLOOKUP(IF(I767="ENFASIS",LEFT(M767,FIND("+",M767&amp;"+")-1),J767),Direccion_Grupo!$A$2:$G$100,7,FALSE),"")</f>
        <v/>
      </c>
    </row>
    <row r="768">
      <c r="A768" t="n">
        <v>49</v>
      </c>
      <c r="B768" t="inlineStr">
        <is>
          <t>Valencia Marínez Saidy Eufemia</t>
        </is>
      </c>
      <c r="C768" t="inlineStr">
        <is>
          <t>MIERCOLES</t>
        </is>
      </c>
      <c r="D768" t="n">
        <v>4</v>
      </c>
      <c r="E768" t="n">
        <v>2</v>
      </c>
      <c r="F768" t="n">
        <v>2</v>
      </c>
      <c r="G768" t="inlineStr">
        <is>
          <t>09:05</t>
        </is>
      </c>
      <c r="H768" t="inlineStr">
        <is>
          <t>09:50</t>
        </is>
      </c>
      <c r="I768" t="inlineStr">
        <is>
          <t>CLASE</t>
        </is>
      </c>
      <c r="J768" t="inlineStr">
        <is>
          <t>0901</t>
        </is>
      </c>
      <c r="K768" t="inlineStr">
        <is>
          <t>ART</t>
        </is>
      </c>
      <c r="L768" t="inlineStr"/>
      <c r="M768" t="inlineStr"/>
      <c r="N768" t="inlineStr"/>
      <c r="O768" t="inlineStr"/>
      <c r="P768" t="inlineStr">
        <is>
          <t>0901-ART</t>
        </is>
      </c>
      <c r="Q768">
        <f>IF(I768="ENFASIS","ÉNFASIS "&amp;M768,IFERROR(VLOOKUP(J768,Grupos!$A$2:$D$100,4,FALSE),J768))</f>
        <v/>
      </c>
      <c r="R768">
        <f>O768&amp;IF(N768&lt;&gt;"",IF(O768&lt;&gt;""," · ","")&amp;"Con: "&amp;N768,"")</f>
        <v/>
      </c>
      <c r="S768">
        <f>C768&amp;"|"&amp;D768</f>
        <v/>
      </c>
      <c r="T768">
        <f>COUNTIF($S$2:S768,S768)</f>
        <v/>
      </c>
      <c r="U768">
        <f>S768&amp;"|"&amp;T768</f>
        <v/>
      </c>
      <c r="V768">
        <f>IFERROR(VLOOKUP(IF(I768="ENFASIS",LEFT(M768,FIND("+",M768&amp;"+")-1),J768),Direccion_Grupo!$A$2:$G$100,7,FALSE),"")</f>
        <v/>
      </c>
    </row>
    <row r="769">
      <c r="A769" t="n">
        <v>22</v>
      </c>
      <c r="B769" t="inlineStr">
        <is>
          <t>González Castillo Jólmer Jimy</t>
        </is>
      </c>
      <c r="C769" t="inlineStr">
        <is>
          <t>MIERCOLES</t>
        </is>
      </c>
      <c r="D769" t="n">
        <v>4</v>
      </c>
      <c r="E769" t="n">
        <v>2</v>
      </c>
      <c r="F769" t="n">
        <v>2</v>
      </c>
      <c r="G769" t="inlineStr">
        <is>
          <t>09:05</t>
        </is>
      </c>
      <c r="H769" t="inlineStr">
        <is>
          <t>09:50</t>
        </is>
      </c>
      <c r="I769" t="inlineStr">
        <is>
          <t>CLASE</t>
        </is>
      </c>
      <c r="J769" t="inlineStr">
        <is>
          <t>0902</t>
        </is>
      </c>
      <c r="K769" t="inlineStr">
        <is>
          <t>ERD</t>
        </is>
      </c>
      <c r="L769" t="inlineStr"/>
      <c r="M769" t="inlineStr"/>
      <c r="N769" t="inlineStr"/>
      <c r="O769" t="inlineStr"/>
      <c r="P769" t="inlineStr">
        <is>
          <t>0902-ERD</t>
        </is>
      </c>
      <c r="Q769">
        <f>IF(I769="ENFASIS","ÉNFASIS "&amp;M769,IFERROR(VLOOKUP(J769,Grupos!$A$2:$D$100,4,FALSE),J769))</f>
        <v/>
      </c>
      <c r="R769">
        <f>O769&amp;IF(N769&lt;&gt;"",IF(O769&lt;&gt;""," · ","")&amp;"Con: "&amp;N769,"")</f>
        <v/>
      </c>
      <c r="S769">
        <f>C769&amp;"|"&amp;D769</f>
        <v/>
      </c>
      <c r="T769">
        <f>COUNTIF($S$2:S769,S769)</f>
        <v/>
      </c>
      <c r="U769">
        <f>S769&amp;"|"&amp;T769</f>
        <v/>
      </c>
      <c r="V769">
        <f>IFERROR(VLOOKUP(IF(I769="ENFASIS",LEFT(M769,FIND("+",M769&amp;"+")-1),J769),Direccion_Grupo!$A$2:$G$100,7,FALSE),"")</f>
        <v/>
      </c>
    </row>
    <row r="770">
      <c r="A770" t="n">
        <v>28</v>
      </c>
      <c r="B770" t="inlineStr">
        <is>
          <t>Meza Banguera Gladys Alicia</t>
        </is>
      </c>
      <c r="C770" t="inlineStr">
        <is>
          <t>MIERCOLES</t>
        </is>
      </c>
      <c r="D770" t="n">
        <v>4</v>
      </c>
      <c r="E770" t="n">
        <v>2</v>
      </c>
      <c r="F770" t="n">
        <v>2</v>
      </c>
      <c r="G770" t="inlineStr">
        <is>
          <t>09:05</t>
        </is>
      </c>
      <c r="H770" t="inlineStr">
        <is>
          <t>09:50</t>
        </is>
      </c>
      <c r="I770" t="inlineStr">
        <is>
          <t>CLASE</t>
        </is>
      </c>
      <c r="J770" t="inlineStr">
        <is>
          <t>1001</t>
        </is>
      </c>
      <c r="K770" t="inlineStr">
        <is>
          <t>CAS</t>
        </is>
      </c>
      <c r="L770" t="inlineStr"/>
      <c r="M770" t="inlineStr"/>
      <c r="N770" t="inlineStr"/>
      <c r="O770" t="inlineStr"/>
      <c r="P770" t="inlineStr">
        <is>
          <t>1001-CAS</t>
        </is>
      </c>
      <c r="Q770">
        <f>IF(I770="ENFASIS","ÉNFASIS "&amp;M770,IFERROR(VLOOKUP(J770,Grupos!$A$2:$D$100,4,FALSE),J770))</f>
        <v/>
      </c>
      <c r="R770">
        <f>O770&amp;IF(N770&lt;&gt;"",IF(O770&lt;&gt;""," · ","")&amp;"Con: "&amp;N770,"")</f>
        <v/>
      </c>
      <c r="S770">
        <f>C770&amp;"|"&amp;D770</f>
        <v/>
      </c>
      <c r="T770">
        <f>COUNTIF($S$2:S770,S770)</f>
        <v/>
      </c>
      <c r="U770">
        <f>S770&amp;"|"&amp;T770</f>
        <v/>
      </c>
      <c r="V770">
        <f>IFERROR(VLOOKUP(IF(I770="ENFASIS",LEFT(M770,FIND("+",M770&amp;"+")-1),J770),Direccion_Grupo!$A$2:$G$100,7,FALSE),"")</f>
        <v/>
      </c>
    </row>
    <row r="771">
      <c r="A771" t="n">
        <v>30</v>
      </c>
      <c r="B771" t="inlineStr">
        <is>
          <t>Montaño Anchico Favio Héctor</t>
        </is>
      </c>
      <c r="C771" t="inlineStr">
        <is>
          <t>MIERCOLES</t>
        </is>
      </c>
      <c r="D771" t="n">
        <v>4</v>
      </c>
      <c r="E771" t="n">
        <v>2</v>
      </c>
      <c r="F771" t="n">
        <v>2</v>
      </c>
      <c r="G771" t="inlineStr">
        <is>
          <t>09:05</t>
        </is>
      </c>
      <c r="H771" t="inlineStr">
        <is>
          <t>09:50</t>
        </is>
      </c>
      <c r="I771" t="inlineStr">
        <is>
          <t>CLASE</t>
        </is>
      </c>
      <c r="J771" t="inlineStr">
        <is>
          <t>1002</t>
        </is>
      </c>
      <c r="K771" t="inlineStr">
        <is>
          <t>CAS</t>
        </is>
      </c>
      <c r="L771" t="inlineStr"/>
      <c r="M771" t="inlineStr"/>
      <c r="N771" t="inlineStr"/>
      <c r="O771" t="inlineStr"/>
      <c r="P771" t="inlineStr">
        <is>
          <t>1002-CAS</t>
        </is>
      </c>
      <c r="Q771">
        <f>IF(I771="ENFASIS","ÉNFASIS "&amp;M771,IFERROR(VLOOKUP(J771,Grupos!$A$2:$D$100,4,FALSE),J771))</f>
        <v/>
      </c>
      <c r="R771">
        <f>O771&amp;IF(N771&lt;&gt;"",IF(O771&lt;&gt;""," · ","")&amp;"Con: "&amp;N771,"")</f>
        <v/>
      </c>
      <c r="S771">
        <f>C771&amp;"|"&amp;D771</f>
        <v/>
      </c>
      <c r="T771">
        <f>COUNTIF($S$2:S771,S771)</f>
        <v/>
      </c>
      <c r="U771">
        <f>S771&amp;"|"&amp;T771</f>
        <v/>
      </c>
      <c r="V771">
        <f>IFERROR(VLOOKUP(IF(I771="ENFASIS",LEFT(M771,FIND("+",M771&amp;"+")-1),J771),Direccion_Grupo!$A$2:$G$100,7,FALSE),"")</f>
        <v/>
      </c>
    </row>
    <row r="772">
      <c r="A772" t="n">
        <v>3</v>
      </c>
      <c r="B772" t="inlineStr">
        <is>
          <t>Arboleda Ortiz Luz América</t>
        </is>
      </c>
      <c r="C772" t="inlineStr">
        <is>
          <t>MIERCOLES</t>
        </is>
      </c>
      <c r="D772" t="n">
        <v>4</v>
      </c>
      <c r="E772" t="n">
        <v>2</v>
      </c>
      <c r="F772" t="n">
        <v>2</v>
      </c>
      <c r="G772" t="inlineStr">
        <is>
          <t>09:05</t>
        </is>
      </c>
      <c r="H772" t="inlineStr">
        <is>
          <t>09:50</t>
        </is>
      </c>
      <c r="I772" t="inlineStr">
        <is>
          <t>CLASE</t>
        </is>
      </c>
      <c r="J772" t="inlineStr">
        <is>
          <t>1101</t>
        </is>
      </c>
      <c r="K772" t="inlineStr">
        <is>
          <t>ART</t>
        </is>
      </c>
      <c r="L772" t="inlineStr"/>
      <c r="M772" t="inlineStr"/>
      <c r="N772" t="inlineStr"/>
      <c r="O772" t="inlineStr"/>
      <c r="P772" t="inlineStr">
        <is>
          <t>1101-ART</t>
        </is>
      </c>
      <c r="Q772">
        <f>IF(I772="ENFASIS","ÉNFASIS "&amp;M772,IFERROR(VLOOKUP(J772,Grupos!$A$2:$D$100,4,FALSE),J772))</f>
        <v/>
      </c>
      <c r="R772">
        <f>O772&amp;IF(N772&lt;&gt;"",IF(O772&lt;&gt;""," · ","")&amp;"Con: "&amp;N772,"")</f>
        <v/>
      </c>
      <c r="S772">
        <f>C772&amp;"|"&amp;D772</f>
        <v/>
      </c>
      <c r="T772">
        <f>COUNTIF($S$2:S772,S772)</f>
        <v/>
      </c>
      <c r="U772">
        <f>S772&amp;"|"&amp;T772</f>
        <v/>
      </c>
      <c r="V772">
        <f>IFERROR(VLOOKUP(IF(I772="ENFASIS",LEFT(M772,FIND("+",M772&amp;"+")-1),J772),Direccion_Grupo!$A$2:$G$100,7,FALSE),"")</f>
        <v/>
      </c>
    </row>
    <row r="773">
      <c r="A773" t="n">
        <v>57</v>
      </c>
      <c r="B773" t="inlineStr">
        <is>
          <t>Armero Dájome Jesús</t>
        </is>
      </c>
      <c r="C773" t="inlineStr">
        <is>
          <t>MIERCOLES</t>
        </is>
      </c>
      <c r="D773" t="n">
        <v>4</v>
      </c>
      <c r="E773" t="n">
        <v>2</v>
      </c>
      <c r="F773" t="n">
        <v>2</v>
      </c>
      <c r="G773" t="inlineStr">
        <is>
          <t>09:05</t>
        </is>
      </c>
      <c r="H773" t="inlineStr">
        <is>
          <t>09:50</t>
        </is>
      </c>
      <c r="I773" t="inlineStr">
        <is>
          <t>CLASE</t>
        </is>
      </c>
      <c r="J773" t="inlineStr">
        <is>
          <t>CS101</t>
        </is>
      </c>
      <c r="K773" t="inlineStr">
        <is>
          <t>CNA</t>
        </is>
      </c>
      <c r="L773" t="inlineStr"/>
      <c r="M773" t="inlineStr"/>
      <c r="N773" t="inlineStr"/>
      <c r="O773" t="inlineStr"/>
      <c r="P773" t="inlineStr">
        <is>
          <t>CS101-CNA</t>
        </is>
      </c>
      <c r="Q773">
        <f>IF(I773="ENFASIS","ÉNFASIS "&amp;M773,IFERROR(VLOOKUP(J773,Grupos!$A$2:$D$100,4,FALSE),J773))</f>
        <v/>
      </c>
      <c r="R773">
        <f>O773&amp;IF(N773&lt;&gt;"",IF(O773&lt;&gt;""," · ","")&amp;"Con: "&amp;N773,"")</f>
        <v/>
      </c>
      <c r="S773">
        <f>C773&amp;"|"&amp;D773</f>
        <v/>
      </c>
      <c r="T773">
        <f>COUNTIF($S$2:S773,S773)</f>
        <v/>
      </c>
      <c r="U773">
        <f>S773&amp;"|"&amp;T773</f>
        <v/>
      </c>
      <c r="V773">
        <f>IFERROR(VLOOKUP(IF(I773="ENFASIS",LEFT(M773,FIND("+",M773&amp;"+")-1),J773),Direccion_Grupo!$A$2:$G$100,7,FALSE),"")</f>
        <v/>
      </c>
    </row>
    <row r="774">
      <c r="A774" t="n">
        <v>20</v>
      </c>
      <c r="B774" t="inlineStr">
        <is>
          <t>García Gobea Saydi Magali</t>
        </is>
      </c>
      <c r="C774" t="inlineStr">
        <is>
          <t>MIERCOLES</t>
        </is>
      </c>
      <c r="D774" t="n">
        <v>4</v>
      </c>
      <c r="E774" t="n">
        <v>2</v>
      </c>
      <c r="F774" t="n">
        <v>2</v>
      </c>
      <c r="G774" t="inlineStr">
        <is>
          <t>09:05</t>
        </is>
      </c>
      <c r="H774" t="inlineStr">
        <is>
          <t>09:50</t>
        </is>
      </c>
      <c r="I774" t="inlineStr">
        <is>
          <t>CLASE</t>
        </is>
      </c>
      <c r="J774" t="inlineStr">
        <is>
          <t>CS102</t>
        </is>
      </c>
      <c r="K774" t="inlineStr">
        <is>
          <t>CSI</t>
        </is>
      </c>
      <c r="L774" t="inlineStr"/>
      <c r="M774" t="inlineStr"/>
      <c r="N774" t="inlineStr"/>
      <c r="O774" t="inlineStr">
        <is>
          <t>Sociales / Inglés (alternan cada semana)</t>
        </is>
      </c>
      <c r="P774" t="inlineStr">
        <is>
          <t>CS102-CSI</t>
        </is>
      </c>
      <c r="Q774">
        <f>IF(I774="ENFASIS","ÉNFASIS "&amp;M774,IFERROR(VLOOKUP(J774,Grupos!$A$2:$D$100,4,FALSE),J774))</f>
        <v/>
      </c>
      <c r="R774">
        <f>O774&amp;IF(N774&lt;&gt;"",IF(O774&lt;&gt;""," · ","")&amp;"Con: "&amp;N774,"")</f>
        <v/>
      </c>
      <c r="S774">
        <f>C774&amp;"|"&amp;D774</f>
        <v/>
      </c>
      <c r="T774">
        <f>COUNTIF($S$2:S774,S774)</f>
        <v/>
      </c>
      <c r="U774">
        <f>S774&amp;"|"&amp;T774</f>
        <v/>
      </c>
      <c r="V774">
        <f>IFERROR(VLOOKUP(IF(I774="ENFASIS",LEFT(M774,FIND("+",M774&amp;"+")-1),J774),Direccion_Grupo!$A$2:$G$100,7,FALSE),"")</f>
        <v/>
      </c>
    </row>
    <row r="775">
      <c r="A775" t="n">
        <v>9</v>
      </c>
      <c r="B775" t="inlineStr">
        <is>
          <t>Castillo Angulo Martha Cecilia</t>
        </is>
      </c>
      <c r="C775" t="inlineStr">
        <is>
          <t>MIERCOLES</t>
        </is>
      </c>
      <c r="D775" t="n">
        <v>4</v>
      </c>
      <c r="E775" t="n">
        <v>2</v>
      </c>
      <c r="F775" t="n">
        <v>2</v>
      </c>
      <c r="G775" t="inlineStr">
        <is>
          <t>09:05</t>
        </is>
      </c>
      <c r="H775" t="inlineStr">
        <is>
          <t>09:50</t>
        </is>
      </c>
      <c r="I775" t="inlineStr">
        <is>
          <t>CLASE</t>
        </is>
      </c>
      <c r="J775" t="inlineStr">
        <is>
          <t>CS201</t>
        </is>
      </c>
      <c r="K775" t="inlineStr">
        <is>
          <t>ETR</t>
        </is>
      </c>
      <c r="L775" t="inlineStr"/>
      <c r="M775" t="inlineStr"/>
      <c r="N775" t="inlineStr"/>
      <c r="O775" t="inlineStr">
        <is>
          <t>Ética / Religión (alternan cada semana)</t>
        </is>
      </c>
      <c r="P775" t="inlineStr">
        <is>
          <t>CS201-ETR</t>
        </is>
      </c>
      <c r="Q775">
        <f>IF(I775="ENFASIS","ÉNFASIS "&amp;M775,IFERROR(VLOOKUP(J775,Grupos!$A$2:$D$100,4,FALSE),J775))</f>
        <v/>
      </c>
      <c r="R775">
        <f>O775&amp;IF(N775&lt;&gt;"",IF(O775&lt;&gt;""," · ","")&amp;"Con: "&amp;N775,"")</f>
        <v/>
      </c>
      <c r="S775">
        <f>C775&amp;"|"&amp;D775</f>
        <v/>
      </c>
      <c r="T775">
        <f>COUNTIF($S$2:S775,S775)</f>
        <v/>
      </c>
      <c r="U775">
        <f>S775&amp;"|"&amp;T775</f>
        <v/>
      </c>
      <c r="V775">
        <f>IFERROR(VLOOKUP(IF(I775="ENFASIS",LEFT(M775,FIND("+",M775&amp;"+")-1),J775),Direccion_Grupo!$A$2:$G$100,7,FALSE),"")</f>
        <v/>
      </c>
    </row>
    <row r="776">
      <c r="A776" t="n">
        <v>7</v>
      </c>
      <c r="B776" t="inlineStr">
        <is>
          <t>Casanova Casanova Johana Andrea</t>
        </is>
      </c>
      <c r="C776" t="inlineStr">
        <is>
          <t>MIERCOLES</t>
        </is>
      </c>
      <c r="D776" t="n">
        <v>4</v>
      </c>
      <c r="E776" t="n">
        <v>2</v>
      </c>
      <c r="F776" t="n">
        <v>2</v>
      </c>
      <c r="G776" t="inlineStr">
        <is>
          <t>09:05</t>
        </is>
      </c>
      <c r="H776" t="inlineStr">
        <is>
          <t>09:50</t>
        </is>
      </c>
      <c r="I776" t="inlineStr">
        <is>
          <t>ORIENTACION</t>
        </is>
      </c>
      <c r="J776" t="inlineStr">
        <is>
          <t>ORIENT</t>
        </is>
      </c>
      <c r="K776" t="inlineStr">
        <is>
          <t>ORIENTACIÓN ESCOLAR</t>
        </is>
      </c>
      <c r="L776" t="inlineStr"/>
      <c r="M776" t="inlineStr"/>
      <c r="N776" t="inlineStr"/>
      <c r="O776" t="inlineStr">
        <is>
          <t>Jornada 07:30 a 14:30</t>
        </is>
      </c>
      <c r="P776" t="inlineStr"/>
      <c r="Q776">
        <f>IF(I776="ENFASIS","ÉNFASIS "&amp;M776,IFERROR(VLOOKUP(J776,Grupos!$A$2:$D$100,4,FALSE),J776))</f>
        <v/>
      </c>
      <c r="R776">
        <f>O776&amp;IF(N776&lt;&gt;"",IF(O776&lt;&gt;""," · ","")&amp;"Con: "&amp;N776,"")</f>
        <v/>
      </c>
      <c r="S776">
        <f>C776&amp;"|"&amp;D776</f>
        <v/>
      </c>
      <c r="T776">
        <f>COUNTIF($S$2:S776,S776)</f>
        <v/>
      </c>
      <c r="U776">
        <f>S776&amp;"|"&amp;T776</f>
        <v/>
      </c>
      <c r="V776">
        <f>IFERROR(VLOOKUP(IF(I776="ENFASIS",LEFT(M776,FIND("+",M776&amp;"+")-1),J776),Direccion_Grupo!$A$2:$G$100,7,FALSE),"")</f>
        <v/>
      </c>
    </row>
    <row r="777">
      <c r="A777" t="n">
        <v>36</v>
      </c>
      <c r="B777" t="inlineStr">
        <is>
          <t>Ponce Moncayo Ángela Paola</t>
        </is>
      </c>
      <c r="C777" t="inlineStr">
        <is>
          <t>MIERCOLES</t>
        </is>
      </c>
      <c r="D777" t="n">
        <v>4</v>
      </c>
      <c r="E777" t="n">
        <v>2</v>
      </c>
      <c r="F777" t="n">
        <v>2</v>
      </c>
      <c r="G777" t="inlineStr">
        <is>
          <t>09:05</t>
        </is>
      </c>
      <c r="H777" t="inlineStr">
        <is>
          <t>09:50</t>
        </is>
      </c>
      <c r="I777" t="inlineStr">
        <is>
          <t>ORIENTACION</t>
        </is>
      </c>
      <c r="J777" t="inlineStr">
        <is>
          <t>ORIENT</t>
        </is>
      </c>
      <c r="K777" t="inlineStr">
        <is>
          <t>ORIENTACIÓN ESCOLAR</t>
        </is>
      </c>
      <c r="L777" t="inlineStr"/>
      <c r="M777" t="inlineStr"/>
      <c r="N777" t="inlineStr"/>
      <c r="O777" t="inlineStr">
        <is>
          <t>Jornada 08:30 a 13:30</t>
        </is>
      </c>
      <c r="P777" t="inlineStr"/>
      <c r="Q777">
        <f>IF(I777="ENFASIS","ÉNFASIS "&amp;M777,IFERROR(VLOOKUP(J777,Grupos!$A$2:$D$100,4,FALSE),J777))</f>
        <v/>
      </c>
      <c r="R777">
        <f>O777&amp;IF(N777&lt;&gt;"",IF(O777&lt;&gt;""," · ","")&amp;"Con: "&amp;N777,"")</f>
        <v/>
      </c>
      <c r="S777">
        <f>C777&amp;"|"&amp;D777</f>
        <v/>
      </c>
      <c r="T777">
        <f>COUNTIF($S$2:S777,S777)</f>
        <v/>
      </c>
      <c r="U777">
        <f>S777&amp;"|"&amp;T777</f>
        <v/>
      </c>
      <c r="V777">
        <f>IFERROR(VLOOKUP(IF(I777="ENFASIS",LEFT(M777,FIND("+",M777&amp;"+")-1),J777),Direccion_Grupo!$A$2:$G$100,7,FALSE),"")</f>
        <v/>
      </c>
    </row>
    <row r="778">
      <c r="A778" t="n">
        <v>56</v>
      </c>
      <c r="B778" t="inlineStr">
        <is>
          <t>Ortiz Estacio Martha Cecilia</t>
        </is>
      </c>
      <c r="C778" t="inlineStr">
        <is>
          <t>MIERCOLES</t>
        </is>
      </c>
      <c r="D778" t="n">
        <v>4</v>
      </c>
      <c r="E778" t="n">
        <v>2</v>
      </c>
      <c r="F778" t="n">
        <v>2</v>
      </c>
      <c r="G778" t="inlineStr">
        <is>
          <t>09:05</t>
        </is>
      </c>
      <c r="H778" t="inlineStr">
        <is>
          <t>09:50</t>
        </is>
      </c>
      <c r="I778" t="inlineStr">
        <is>
          <t>TUTORIA</t>
        </is>
      </c>
      <c r="J778" t="inlineStr">
        <is>
          <t>PTAFI</t>
        </is>
      </c>
      <c r="K778" t="inlineStr">
        <is>
          <t>TUTORÍA PTAFI</t>
        </is>
      </c>
      <c r="L778" t="inlineStr"/>
      <c r="M778" t="inlineStr"/>
      <c r="N778" t="inlineStr"/>
      <c r="O778" t="inlineStr">
        <is>
          <t>Jornada 06:30 a 12:00</t>
        </is>
      </c>
      <c r="P778" t="inlineStr"/>
      <c r="Q778">
        <f>IF(I778="ENFASIS","ÉNFASIS "&amp;M778,IFERROR(VLOOKUP(J778,Grupos!$A$2:$D$100,4,FALSE),J778))</f>
        <v/>
      </c>
      <c r="R778">
        <f>O778&amp;IF(N778&lt;&gt;"",IF(O778&lt;&gt;""," · ","")&amp;"Con: "&amp;N778,"")</f>
        <v/>
      </c>
      <c r="S778">
        <f>C778&amp;"|"&amp;D778</f>
        <v/>
      </c>
      <c r="T778">
        <f>COUNTIF($S$2:S778,S778)</f>
        <v/>
      </c>
      <c r="U778">
        <f>S778&amp;"|"&amp;T778</f>
        <v/>
      </c>
      <c r="V778">
        <f>IFERROR(VLOOKUP(IF(I778="ENFASIS",LEFT(M778,FIND("+",M778&amp;"+")-1),J778),Direccion_Grupo!$A$2:$G$100,7,FALSE),"")</f>
        <v/>
      </c>
    </row>
    <row r="779">
      <c r="A779" t="n">
        <v>12</v>
      </c>
      <c r="B779" t="inlineStr">
        <is>
          <t>Chillambo Quiñones María Rocío</t>
        </is>
      </c>
      <c r="C779" t="inlineStr">
        <is>
          <t>MIERCOLES</t>
        </is>
      </c>
      <c r="D779" t="n">
        <v>4</v>
      </c>
      <c r="E779" t="n">
        <v>2</v>
      </c>
      <c r="F779" t="n">
        <v>2</v>
      </c>
      <c r="G779" t="inlineStr">
        <is>
          <t>09:05</t>
        </is>
      </c>
      <c r="H779" t="inlineStr">
        <is>
          <t>09:50</t>
        </is>
      </c>
      <c r="I779" t="inlineStr">
        <is>
          <t>ENFASIS</t>
        </is>
      </c>
      <c r="J779" t="inlineStr"/>
      <c r="K779" t="inlineStr">
        <is>
          <t>CNA</t>
        </is>
      </c>
      <c r="L779" t="inlineStr">
        <is>
          <t>0801</t>
        </is>
      </c>
      <c r="M779" t="inlineStr">
        <is>
          <t>0801</t>
        </is>
      </c>
      <c r="N779" t="inlineStr">
        <is>
          <t>Samaniego Angulo Flor Mireya (ART); Valverde Montaño María Teresa (CAS); Cuero Bamba Berte Levi (ERD)</t>
        </is>
      </c>
      <c r="O779" t="inlineStr">
        <is>
          <t>EQUIPO DE 4: cada docente atiende un grupo de estudiantes en su área</t>
        </is>
      </c>
      <c r="P779" t="inlineStr">
        <is>
          <t>ENFASIS-0801</t>
        </is>
      </c>
      <c r="Q779">
        <f>IF(I779="ENFASIS","ÉNFASIS "&amp;M779,IFERROR(VLOOKUP(J779,Grupos!$A$2:$D$100,4,FALSE),J779))</f>
        <v/>
      </c>
      <c r="R779">
        <f>O779&amp;IF(N779&lt;&gt;"",IF(O779&lt;&gt;""," · ","")&amp;"Con: "&amp;N779,"")</f>
        <v/>
      </c>
      <c r="S779">
        <f>C779&amp;"|"&amp;D779</f>
        <v/>
      </c>
      <c r="T779">
        <f>COUNTIF($S$2:S779,S779)</f>
        <v/>
      </c>
      <c r="U779">
        <f>S779&amp;"|"&amp;T779</f>
        <v/>
      </c>
      <c r="V779">
        <f>IFERROR(VLOOKUP(IF(I779="ENFASIS",LEFT(M779,FIND("+",M779&amp;"+")-1),J779),Direccion_Grupo!$A$2:$G$100,7,FALSE),"")</f>
        <v/>
      </c>
    </row>
    <row r="780">
      <c r="A780" t="n">
        <v>15</v>
      </c>
      <c r="B780" t="inlineStr">
        <is>
          <t>Cuero Bamba Berte Levi</t>
        </is>
      </c>
      <c r="C780" t="inlineStr">
        <is>
          <t>MIERCOLES</t>
        </is>
      </c>
      <c r="D780" t="n">
        <v>4</v>
      </c>
      <c r="E780" t="n">
        <v>2</v>
      </c>
      <c r="F780" t="n">
        <v>2</v>
      </c>
      <c r="G780" t="inlineStr">
        <is>
          <t>09:05</t>
        </is>
      </c>
      <c r="H780" t="inlineStr">
        <is>
          <t>09:50</t>
        </is>
      </c>
      <c r="I780" t="inlineStr">
        <is>
          <t>ENFASIS</t>
        </is>
      </c>
      <c r="J780" t="inlineStr"/>
      <c r="K780" t="inlineStr">
        <is>
          <t>ERD</t>
        </is>
      </c>
      <c r="L780" t="inlineStr">
        <is>
          <t>0801</t>
        </is>
      </c>
      <c r="M780" t="inlineStr">
        <is>
          <t>0801</t>
        </is>
      </c>
      <c r="N780" t="inlineStr">
        <is>
          <t>Samaniego Angulo Flor Mireya (ART); Valverde Montaño María Teresa (CAS); Chillambo Quiñones María Rocío (CNA)</t>
        </is>
      </c>
      <c r="O780" t="inlineStr">
        <is>
          <t>EQUIPO DE 4: cada docente atiende un grupo de estudiantes en su área</t>
        </is>
      </c>
      <c r="P780" t="inlineStr">
        <is>
          <t>ENFASIS-0801</t>
        </is>
      </c>
      <c r="Q780">
        <f>IF(I780="ENFASIS","ÉNFASIS "&amp;M780,IFERROR(VLOOKUP(J780,Grupos!$A$2:$D$100,4,FALSE),J780))</f>
        <v/>
      </c>
      <c r="R780">
        <f>O780&amp;IF(N780&lt;&gt;"",IF(O780&lt;&gt;""," · ","")&amp;"Con: "&amp;N780,"")</f>
        <v/>
      </c>
      <c r="S780">
        <f>C780&amp;"|"&amp;D780</f>
        <v/>
      </c>
      <c r="T780">
        <f>COUNTIF($S$2:S780,S780)</f>
        <v/>
      </c>
      <c r="U780">
        <f>S780&amp;"|"&amp;T780</f>
        <v/>
      </c>
      <c r="V780">
        <f>IFERROR(VLOOKUP(IF(I780="ENFASIS",LEFT(M780,FIND("+",M780&amp;"+")-1),J780),Direccion_Grupo!$A$2:$G$100,7,FALSE),"")</f>
        <v/>
      </c>
    </row>
    <row r="781">
      <c r="A781" t="n">
        <v>44</v>
      </c>
      <c r="B781" t="inlineStr">
        <is>
          <t>Samaniego Angulo Flor Mireya</t>
        </is>
      </c>
      <c r="C781" t="inlineStr">
        <is>
          <t>MIERCOLES</t>
        </is>
      </c>
      <c r="D781" t="n">
        <v>4</v>
      </c>
      <c r="E781" t="n">
        <v>2</v>
      </c>
      <c r="F781" t="n">
        <v>2</v>
      </c>
      <c r="G781" t="inlineStr">
        <is>
          <t>09:05</t>
        </is>
      </c>
      <c r="H781" t="inlineStr">
        <is>
          <t>09:50</t>
        </is>
      </c>
      <c r="I781" t="inlineStr">
        <is>
          <t>ENFASIS</t>
        </is>
      </c>
      <c r="J781" t="inlineStr"/>
      <c r="K781" t="inlineStr">
        <is>
          <t>ART</t>
        </is>
      </c>
      <c r="L781" t="inlineStr">
        <is>
          <t>0801</t>
        </is>
      </c>
      <c r="M781" t="inlineStr">
        <is>
          <t>0801</t>
        </is>
      </c>
      <c r="N781" t="inlineStr">
        <is>
          <t>Valverde Montaño María Teresa (CAS); Cuero Bamba Berte Levi (ERD); Chillambo Quiñones María Rocío (CNA)</t>
        </is>
      </c>
      <c r="O781" t="inlineStr">
        <is>
          <t>EQUIPO DE 4: cada docente atiende un grupo de estudiantes en su área</t>
        </is>
      </c>
      <c r="P781" t="inlineStr">
        <is>
          <t>ENFASIS-0801</t>
        </is>
      </c>
      <c r="Q781">
        <f>IF(I781="ENFASIS","ÉNFASIS "&amp;M781,IFERROR(VLOOKUP(J781,Grupos!$A$2:$D$100,4,FALSE),J781))</f>
        <v/>
      </c>
      <c r="R781">
        <f>O781&amp;IF(N781&lt;&gt;"",IF(O781&lt;&gt;""," · ","")&amp;"Con: "&amp;N781,"")</f>
        <v/>
      </c>
      <c r="S781">
        <f>C781&amp;"|"&amp;D781</f>
        <v/>
      </c>
      <c r="T781">
        <f>COUNTIF($S$2:S781,S781)</f>
        <v/>
      </c>
      <c r="U781">
        <f>S781&amp;"|"&amp;T781</f>
        <v/>
      </c>
      <c r="V781">
        <f>IFERROR(VLOOKUP(IF(I781="ENFASIS",LEFT(M781,FIND("+",M781&amp;"+")-1),J781),Direccion_Grupo!$A$2:$G$100,7,FALSE),"")</f>
        <v/>
      </c>
    </row>
    <row r="782">
      <c r="A782" t="n">
        <v>51</v>
      </c>
      <c r="B782" t="inlineStr">
        <is>
          <t>Valverde Montaño María Teresa</t>
        </is>
      </c>
      <c r="C782" t="inlineStr">
        <is>
          <t>MIERCOLES</t>
        </is>
      </c>
      <c r="D782" t="n">
        <v>4</v>
      </c>
      <c r="E782" t="n">
        <v>2</v>
      </c>
      <c r="F782" t="n">
        <v>2</v>
      </c>
      <c r="G782" t="inlineStr">
        <is>
          <t>09:05</t>
        </is>
      </c>
      <c r="H782" t="inlineStr">
        <is>
          <t>09:50</t>
        </is>
      </c>
      <c r="I782" t="inlineStr">
        <is>
          <t>ENFASIS</t>
        </is>
      </c>
      <c r="J782" t="inlineStr"/>
      <c r="K782" t="inlineStr">
        <is>
          <t>CAS</t>
        </is>
      </c>
      <c r="L782" t="inlineStr">
        <is>
          <t>0801</t>
        </is>
      </c>
      <c r="M782" t="inlineStr">
        <is>
          <t>0801</t>
        </is>
      </c>
      <c r="N782" t="inlineStr">
        <is>
          <t>Samaniego Angulo Flor Mireya (ART); Cuero Bamba Berte Levi (ERD); Chillambo Quiñones María Rocío (CNA)</t>
        </is>
      </c>
      <c r="O782" t="inlineStr">
        <is>
          <t>EQUIPO DE 4: cada docente atiende un grupo de estudiantes en su área</t>
        </is>
      </c>
      <c r="P782" t="inlineStr">
        <is>
          <t>ENFASIS-0801</t>
        </is>
      </c>
      <c r="Q782">
        <f>IF(I782="ENFASIS","ÉNFASIS "&amp;M782,IFERROR(VLOOKUP(J782,Grupos!$A$2:$D$100,4,FALSE),J782))</f>
        <v/>
      </c>
      <c r="R782">
        <f>O782&amp;IF(N782&lt;&gt;"",IF(O782&lt;&gt;""," · ","")&amp;"Con: "&amp;N782,"")</f>
        <v/>
      </c>
      <c r="S782">
        <f>C782&amp;"|"&amp;D782</f>
        <v/>
      </c>
      <c r="T782">
        <f>COUNTIF($S$2:S782,S782)</f>
        <v/>
      </c>
      <c r="U782">
        <f>S782&amp;"|"&amp;T782</f>
        <v/>
      </c>
      <c r="V782">
        <f>IFERROR(VLOOKUP(IF(I782="ENFASIS",LEFT(M782,FIND("+",M782&amp;"+")-1),J782),Direccion_Grupo!$A$2:$G$100,7,FALSE),"")</f>
        <v/>
      </c>
    </row>
    <row r="783">
      <c r="A783" t="n">
        <v>2</v>
      </c>
      <c r="B783" t="inlineStr">
        <is>
          <t>Angulo Lucero Andrés Mauricio</t>
        </is>
      </c>
      <c r="C783" t="inlineStr">
        <is>
          <t>MIERCOLES</t>
        </is>
      </c>
      <c r="D783" t="n">
        <v>4</v>
      </c>
      <c r="E783" t="n">
        <v>2</v>
      </c>
      <c r="F783" t="n">
        <v>2</v>
      </c>
      <c r="G783" t="inlineStr">
        <is>
          <t>09:05</t>
        </is>
      </c>
      <c r="H783" t="inlineStr">
        <is>
          <t>09:50</t>
        </is>
      </c>
      <c r="I783" t="inlineStr">
        <is>
          <t>ENFASIS</t>
        </is>
      </c>
      <c r="J783" t="inlineStr"/>
      <c r="K783" t="inlineStr">
        <is>
          <t>TEI</t>
        </is>
      </c>
      <c r="L783" t="inlineStr">
        <is>
          <t>D5-11°</t>
        </is>
      </c>
      <c r="M783" t="inlineStr">
        <is>
          <t>1102</t>
        </is>
      </c>
      <c r="N783" t="inlineStr">
        <is>
          <t>Pulgarín Ortiz César Marino (CSI); Montaño Arizala Leidis Claudina (ETR); Villota Rubio Janeth del Carmen (MAT)</t>
        </is>
      </c>
      <c r="O783" t="inlineStr">
        <is>
          <t>EQUIPO DE 4: cada docente atiende un grupo de estudiantes en su área</t>
        </is>
      </c>
      <c r="P783" t="inlineStr">
        <is>
          <t>ENFASIS-D5-11°</t>
        </is>
      </c>
      <c r="Q783">
        <f>IF(I783="ENFASIS","ÉNFASIS "&amp;M783,IFERROR(VLOOKUP(J783,Grupos!$A$2:$D$100,4,FALSE),J783))</f>
        <v/>
      </c>
      <c r="R783">
        <f>O783&amp;IF(N783&lt;&gt;"",IF(O783&lt;&gt;""," · ","")&amp;"Con: "&amp;N783,"")</f>
        <v/>
      </c>
      <c r="S783">
        <f>C783&amp;"|"&amp;D783</f>
        <v/>
      </c>
      <c r="T783">
        <f>COUNTIF($S$2:S783,S783)</f>
        <v/>
      </c>
      <c r="U783">
        <f>S783&amp;"|"&amp;T783</f>
        <v/>
      </c>
      <c r="V783">
        <f>IFERROR(VLOOKUP(IF(I783="ENFASIS",LEFT(M783,FIND("+",M783&amp;"+")-1),J783),Direccion_Grupo!$A$2:$G$100,7,FALSE),"")</f>
        <v/>
      </c>
    </row>
    <row r="784">
      <c r="A784" t="n">
        <v>31</v>
      </c>
      <c r="B784" t="inlineStr">
        <is>
          <t>Montaño Arizala Leidis Claudina</t>
        </is>
      </c>
      <c r="C784" t="inlineStr">
        <is>
          <t>MIERCOLES</t>
        </is>
      </c>
      <c r="D784" t="n">
        <v>4</v>
      </c>
      <c r="E784" t="n">
        <v>2</v>
      </c>
      <c r="F784" t="n">
        <v>2</v>
      </c>
      <c r="G784" t="inlineStr">
        <is>
          <t>09:05</t>
        </is>
      </c>
      <c r="H784" t="inlineStr">
        <is>
          <t>09:50</t>
        </is>
      </c>
      <c r="I784" t="inlineStr">
        <is>
          <t>ENFASIS</t>
        </is>
      </c>
      <c r="J784" t="inlineStr"/>
      <c r="K784" t="inlineStr">
        <is>
          <t>ETR</t>
        </is>
      </c>
      <c r="L784" t="inlineStr">
        <is>
          <t>D5-11°</t>
        </is>
      </c>
      <c r="M784" t="inlineStr">
        <is>
          <t>1102</t>
        </is>
      </c>
      <c r="N784" t="inlineStr">
        <is>
          <t>Pulgarín Ortiz César Marino (CSI); Villota Rubio Janeth del Carmen (MAT); Angulo Lucero Andrés Mauricio (TEI)</t>
        </is>
      </c>
      <c r="O784" t="inlineStr">
        <is>
          <t>EQUIPO DE 4: cada docente atiende un grupo de estudiantes en su área</t>
        </is>
      </c>
      <c r="P784" t="inlineStr">
        <is>
          <t>ENFASIS-D5-11°</t>
        </is>
      </c>
      <c r="Q784">
        <f>IF(I784="ENFASIS","ÉNFASIS "&amp;M784,IFERROR(VLOOKUP(J784,Grupos!$A$2:$D$100,4,FALSE),J784))</f>
        <v/>
      </c>
      <c r="R784">
        <f>O784&amp;IF(N784&lt;&gt;"",IF(O784&lt;&gt;""," · ","")&amp;"Con: "&amp;N784,"")</f>
        <v/>
      </c>
      <c r="S784">
        <f>C784&amp;"|"&amp;D784</f>
        <v/>
      </c>
      <c r="T784">
        <f>COUNTIF($S$2:S784,S784)</f>
        <v/>
      </c>
      <c r="U784">
        <f>S784&amp;"|"&amp;T784</f>
        <v/>
      </c>
      <c r="V784">
        <f>IFERROR(VLOOKUP(IF(I784="ENFASIS",LEFT(M784,FIND("+",M784&amp;"+")-1),J784),Direccion_Grupo!$A$2:$G$100,7,FALSE),"")</f>
        <v/>
      </c>
    </row>
    <row r="785">
      <c r="A785" t="n">
        <v>40</v>
      </c>
      <c r="B785" t="inlineStr">
        <is>
          <t>Pulgarín Ortiz César Marino</t>
        </is>
      </c>
      <c r="C785" t="inlineStr">
        <is>
          <t>MIERCOLES</t>
        </is>
      </c>
      <c r="D785" t="n">
        <v>4</v>
      </c>
      <c r="E785" t="n">
        <v>2</v>
      </c>
      <c r="F785" t="n">
        <v>2</v>
      </c>
      <c r="G785" t="inlineStr">
        <is>
          <t>09:05</t>
        </is>
      </c>
      <c r="H785" t="inlineStr">
        <is>
          <t>09:50</t>
        </is>
      </c>
      <c r="I785" t="inlineStr">
        <is>
          <t>ENFASIS</t>
        </is>
      </c>
      <c r="J785" t="inlineStr"/>
      <c r="K785" t="inlineStr">
        <is>
          <t>CSI</t>
        </is>
      </c>
      <c r="L785" t="inlineStr">
        <is>
          <t>D5-11°</t>
        </is>
      </c>
      <c r="M785" t="inlineStr">
        <is>
          <t>1102</t>
        </is>
      </c>
      <c r="N785" t="inlineStr">
        <is>
          <t>Montaño Arizala Leidis Claudina (ETR); Villota Rubio Janeth del Carmen (MAT); Angulo Lucero Andrés Mauricio (TEI)</t>
        </is>
      </c>
      <c r="O785" t="inlineStr">
        <is>
          <t>EQUIPO DE 4: cada docente atiende un grupo de estudiantes en su área</t>
        </is>
      </c>
      <c r="P785" t="inlineStr">
        <is>
          <t>ENFASIS-D5-11°</t>
        </is>
      </c>
      <c r="Q785">
        <f>IF(I785="ENFASIS","ÉNFASIS "&amp;M785,IFERROR(VLOOKUP(J785,Grupos!$A$2:$D$100,4,FALSE),J785))</f>
        <v/>
      </c>
      <c r="R785">
        <f>O785&amp;IF(N785&lt;&gt;"",IF(O785&lt;&gt;""," · ","")&amp;"Con: "&amp;N785,"")</f>
        <v/>
      </c>
      <c r="S785">
        <f>C785&amp;"|"&amp;D785</f>
        <v/>
      </c>
      <c r="T785">
        <f>COUNTIF($S$2:S785,S785)</f>
        <v/>
      </c>
      <c r="U785">
        <f>S785&amp;"|"&amp;T785</f>
        <v/>
      </c>
      <c r="V785">
        <f>IFERROR(VLOOKUP(IF(I785="ENFASIS",LEFT(M785,FIND("+",M785&amp;"+")-1),J785),Direccion_Grupo!$A$2:$G$100,7,FALSE),"")</f>
        <v/>
      </c>
    </row>
    <row r="786">
      <c r="A786" t="n">
        <v>54</v>
      </c>
      <c r="B786" t="inlineStr">
        <is>
          <t>Villota Rubio Janeth del Carmen</t>
        </is>
      </c>
      <c r="C786" t="inlineStr">
        <is>
          <t>MIERCOLES</t>
        </is>
      </c>
      <c r="D786" t="n">
        <v>4</v>
      </c>
      <c r="E786" t="n">
        <v>2</v>
      </c>
      <c r="F786" t="n">
        <v>2</v>
      </c>
      <c r="G786" t="inlineStr">
        <is>
          <t>09:05</t>
        </is>
      </c>
      <c r="H786" t="inlineStr">
        <is>
          <t>09:50</t>
        </is>
      </c>
      <c r="I786" t="inlineStr">
        <is>
          <t>ENFASIS</t>
        </is>
      </c>
      <c r="J786" t="inlineStr"/>
      <c r="K786" t="inlineStr">
        <is>
          <t>MAT</t>
        </is>
      </c>
      <c r="L786" t="inlineStr">
        <is>
          <t>D5-11°</t>
        </is>
      </c>
      <c r="M786" t="inlineStr">
        <is>
          <t>1102</t>
        </is>
      </c>
      <c r="N786" t="inlineStr">
        <is>
          <t>Pulgarín Ortiz César Marino (CSI); Montaño Arizala Leidis Claudina (ETR); Angulo Lucero Andrés Mauricio (TEI)</t>
        </is>
      </c>
      <c r="O786" t="inlineStr">
        <is>
          <t>EQUIPO DE 4: cada docente atiende un grupo de estudiantes en su área</t>
        </is>
      </c>
      <c r="P786" t="inlineStr">
        <is>
          <t>ENFASIS-D5-11°</t>
        </is>
      </c>
      <c r="Q786">
        <f>IF(I786="ENFASIS","ÉNFASIS "&amp;M786,IFERROR(VLOOKUP(J786,Grupos!$A$2:$D$100,4,FALSE),J786))</f>
        <v/>
      </c>
      <c r="R786">
        <f>O786&amp;IF(N786&lt;&gt;"",IF(O786&lt;&gt;""," · ","")&amp;"Con: "&amp;N786,"")</f>
        <v/>
      </c>
      <c r="S786">
        <f>C786&amp;"|"&amp;D786</f>
        <v/>
      </c>
      <c r="T786">
        <f>COUNTIF($S$2:S786,S786)</f>
        <v/>
      </c>
      <c r="U786">
        <f>S786&amp;"|"&amp;T786</f>
        <v/>
      </c>
      <c r="V786">
        <f>IFERROR(VLOOKUP(IF(I786="ENFASIS",LEFT(M786,FIND("+",M786&amp;"+")-1),J786),Direccion_Grupo!$A$2:$G$100,7,FALSE),"")</f>
        <v/>
      </c>
    </row>
    <row r="787">
      <c r="A787" t="n">
        <v>5</v>
      </c>
      <c r="B787" t="inlineStr">
        <is>
          <t>Bastidas Valencia Zeneida Judith</t>
        </is>
      </c>
      <c r="C787" t="inlineStr">
        <is>
          <t>MIERCOLES</t>
        </is>
      </c>
      <c r="D787" t="n">
        <v>4</v>
      </c>
      <c r="E787" t="n">
        <v>2</v>
      </c>
      <c r="F787" t="n">
        <v>2</v>
      </c>
      <c r="G787" t="inlineStr">
        <is>
          <t>09:05</t>
        </is>
      </c>
      <c r="H787" t="inlineStr">
        <is>
          <t>09:50</t>
        </is>
      </c>
      <c r="I787" t="inlineStr">
        <is>
          <t>ENFASIS</t>
        </is>
      </c>
      <c r="J787" t="inlineStr"/>
      <c r="K787" t="inlineStr">
        <is>
          <t>MAT</t>
        </is>
      </c>
      <c r="L787" t="inlineStr">
        <is>
          <t>CS202</t>
        </is>
      </c>
      <c r="M787" t="inlineStr">
        <is>
          <t>CS202</t>
        </is>
      </c>
      <c r="N787" t="inlineStr">
        <is>
          <t>Betancourth Ocampo Yohana Patricia (CSI); Estacio Estupiñán Rosario (ETR); Mindineros Satizábal John Jáver (TEI)</t>
        </is>
      </c>
      <c r="O787" t="inlineStr">
        <is>
          <t>EQUIPO DE 4: cada docente atiende un grupo de estudiantes en su área</t>
        </is>
      </c>
      <c r="P787" t="inlineStr">
        <is>
          <t>ENFASIS-CS202</t>
        </is>
      </c>
      <c r="Q787">
        <f>IF(I787="ENFASIS","ÉNFASIS "&amp;M787,IFERROR(VLOOKUP(J787,Grupos!$A$2:$D$100,4,FALSE),J787))</f>
        <v/>
      </c>
      <c r="R787">
        <f>O787&amp;IF(N787&lt;&gt;"",IF(O787&lt;&gt;""," · ","")&amp;"Con: "&amp;N787,"")</f>
        <v/>
      </c>
      <c r="S787">
        <f>C787&amp;"|"&amp;D787</f>
        <v/>
      </c>
      <c r="T787">
        <f>COUNTIF($S$2:S787,S787)</f>
        <v/>
      </c>
      <c r="U787">
        <f>S787&amp;"|"&amp;T787</f>
        <v/>
      </c>
      <c r="V787">
        <f>IFERROR(VLOOKUP(IF(I787="ENFASIS",LEFT(M787,FIND("+",M787&amp;"+")-1),J787),Direccion_Grupo!$A$2:$G$100,7,FALSE),"")</f>
        <v/>
      </c>
    </row>
    <row r="788">
      <c r="A788" t="n">
        <v>6</v>
      </c>
      <c r="B788" t="inlineStr">
        <is>
          <t>Betancourth Ocampo Yohana Patricia</t>
        </is>
      </c>
      <c r="C788" t="inlineStr">
        <is>
          <t>MIERCOLES</t>
        </is>
      </c>
      <c r="D788" t="n">
        <v>4</v>
      </c>
      <c r="E788" t="n">
        <v>2</v>
      </c>
      <c r="F788" t="n">
        <v>2</v>
      </c>
      <c r="G788" t="inlineStr">
        <is>
          <t>09:05</t>
        </is>
      </c>
      <c r="H788" t="inlineStr">
        <is>
          <t>09:50</t>
        </is>
      </c>
      <c r="I788" t="inlineStr">
        <is>
          <t>ENFASIS</t>
        </is>
      </c>
      <c r="J788" t="inlineStr"/>
      <c r="K788" t="inlineStr">
        <is>
          <t>CSI</t>
        </is>
      </c>
      <c r="L788" t="inlineStr">
        <is>
          <t>CS202</t>
        </is>
      </c>
      <c r="M788" t="inlineStr">
        <is>
          <t>CS202</t>
        </is>
      </c>
      <c r="N788" t="inlineStr">
        <is>
          <t>Estacio Estupiñán Rosario (ETR); Bastidas Valencia Zeneida Judith (MAT); Mindineros Satizábal John Jáver (TEI)</t>
        </is>
      </c>
      <c r="O788" t="inlineStr">
        <is>
          <t>EQUIPO DE 4: cada docente atiende un grupo de estudiantes en su área</t>
        </is>
      </c>
      <c r="P788" t="inlineStr">
        <is>
          <t>ENFASIS-CS202</t>
        </is>
      </c>
      <c r="Q788">
        <f>IF(I788="ENFASIS","ÉNFASIS "&amp;M788,IFERROR(VLOOKUP(J788,Grupos!$A$2:$D$100,4,FALSE),J788))</f>
        <v/>
      </c>
      <c r="R788">
        <f>O788&amp;IF(N788&lt;&gt;"",IF(O788&lt;&gt;""," · ","")&amp;"Con: "&amp;N788,"")</f>
        <v/>
      </c>
      <c r="S788">
        <f>C788&amp;"|"&amp;D788</f>
        <v/>
      </c>
      <c r="T788">
        <f>COUNTIF($S$2:S788,S788)</f>
        <v/>
      </c>
      <c r="U788">
        <f>S788&amp;"|"&amp;T788</f>
        <v/>
      </c>
      <c r="V788">
        <f>IFERROR(VLOOKUP(IF(I788="ENFASIS",LEFT(M788,FIND("+",M788&amp;"+")-1),J788),Direccion_Grupo!$A$2:$G$100,7,FALSE),"")</f>
        <v/>
      </c>
    </row>
    <row r="789">
      <c r="A789" t="n">
        <v>18</v>
      </c>
      <c r="B789" t="inlineStr">
        <is>
          <t>Estacio Estupiñán Rosario</t>
        </is>
      </c>
      <c r="C789" t="inlineStr">
        <is>
          <t>MIERCOLES</t>
        </is>
      </c>
      <c r="D789" t="n">
        <v>4</v>
      </c>
      <c r="E789" t="n">
        <v>2</v>
      </c>
      <c r="F789" t="n">
        <v>2</v>
      </c>
      <c r="G789" t="inlineStr">
        <is>
          <t>09:05</t>
        </is>
      </c>
      <c r="H789" t="inlineStr">
        <is>
          <t>09:50</t>
        </is>
      </c>
      <c r="I789" t="inlineStr">
        <is>
          <t>ENFASIS</t>
        </is>
      </c>
      <c r="J789" t="inlineStr"/>
      <c r="K789" t="inlineStr">
        <is>
          <t>ETR</t>
        </is>
      </c>
      <c r="L789" t="inlineStr">
        <is>
          <t>CS202</t>
        </is>
      </c>
      <c r="M789" t="inlineStr">
        <is>
          <t>CS202</t>
        </is>
      </c>
      <c r="N789" t="inlineStr">
        <is>
          <t>Betancourth Ocampo Yohana Patricia (CSI); Bastidas Valencia Zeneida Judith (MAT); Mindineros Satizábal John Jáver (TEI)</t>
        </is>
      </c>
      <c r="O789" t="inlineStr">
        <is>
          <t>EQUIPO DE 4: cada docente atiende un grupo de estudiantes en su área</t>
        </is>
      </c>
      <c r="P789" t="inlineStr">
        <is>
          <t>ENFASIS-CS202</t>
        </is>
      </c>
      <c r="Q789">
        <f>IF(I789="ENFASIS","ÉNFASIS "&amp;M789,IFERROR(VLOOKUP(J789,Grupos!$A$2:$D$100,4,FALSE),J789))</f>
        <v/>
      </c>
      <c r="R789">
        <f>O789&amp;IF(N789&lt;&gt;"",IF(O789&lt;&gt;""," · ","")&amp;"Con: "&amp;N789,"")</f>
        <v/>
      </c>
      <c r="S789">
        <f>C789&amp;"|"&amp;D789</f>
        <v/>
      </c>
      <c r="T789">
        <f>COUNTIF($S$2:S789,S789)</f>
        <v/>
      </c>
      <c r="U789">
        <f>S789&amp;"|"&amp;T789</f>
        <v/>
      </c>
      <c r="V789">
        <f>IFERROR(VLOOKUP(IF(I789="ENFASIS",LEFT(M789,FIND("+",M789&amp;"+")-1),J789),Direccion_Grupo!$A$2:$G$100,7,FALSE),"")</f>
        <v/>
      </c>
    </row>
    <row r="790">
      <c r="A790" t="n">
        <v>29</v>
      </c>
      <c r="B790" t="inlineStr">
        <is>
          <t>Mindineros Satizábal John Jáver</t>
        </is>
      </c>
      <c r="C790" t="inlineStr">
        <is>
          <t>MIERCOLES</t>
        </is>
      </c>
      <c r="D790" t="n">
        <v>4</v>
      </c>
      <c r="E790" t="n">
        <v>2</v>
      </c>
      <c r="F790" t="n">
        <v>2</v>
      </c>
      <c r="G790" t="inlineStr">
        <is>
          <t>09:05</t>
        </is>
      </c>
      <c r="H790" t="inlineStr">
        <is>
          <t>09:50</t>
        </is>
      </c>
      <c r="I790" t="inlineStr">
        <is>
          <t>ENFASIS</t>
        </is>
      </c>
      <c r="J790" t="inlineStr"/>
      <c r="K790" t="inlineStr">
        <is>
          <t>TEI</t>
        </is>
      </c>
      <c r="L790" t="inlineStr">
        <is>
          <t>CS202</t>
        </is>
      </c>
      <c r="M790" t="inlineStr">
        <is>
          <t>CS202</t>
        </is>
      </c>
      <c r="N790" t="inlineStr">
        <is>
          <t>Betancourth Ocampo Yohana Patricia (CSI); Estacio Estupiñán Rosario (ETR); Bastidas Valencia Zeneida Judith (MAT)</t>
        </is>
      </c>
      <c r="O790" t="inlineStr">
        <is>
          <t>EQUIPO DE 4: cada docente atiende un grupo de estudiantes en su área</t>
        </is>
      </c>
      <c r="P790" t="inlineStr">
        <is>
          <t>ENFASIS-CS202</t>
        </is>
      </c>
      <c r="Q790">
        <f>IF(I790="ENFASIS","ÉNFASIS "&amp;M790,IFERROR(VLOOKUP(J790,Grupos!$A$2:$D$100,4,FALSE),J790))</f>
        <v/>
      </c>
      <c r="R790">
        <f>O790&amp;IF(N790&lt;&gt;"",IF(O790&lt;&gt;""," · ","")&amp;"Con: "&amp;N790,"")</f>
        <v/>
      </c>
      <c r="S790">
        <f>C790&amp;"|"&amp;D790</f>
        <v/>
      </c>
      <c r="T790">
        <f>COUNTIF($S$2:S790,S790)</f>
        <v/>
      </c>
      <c r="U790">
        <f>S790&amp;"|"&amp;T790</f>
        <v/>
      </c>
      <c r="V790">
        <f>IFERROR(VLOOKUP(IF(I790="ENFASIS",LEFT(M790,FIND("+",M790&amp;"+")-1),J790),Direccion_Grupo!$A$2:$G$100,7,FALSE),"")</f>
        <v/>
      </c>
    </row>
    <row r="791">
      <c r="A791" t="n">
        <v>50</v>
      </c>
      <c r="B791" t="inlineStr">
        <is>
          <t>Valencia Solís Gloria Alexa</t>
        </is>
      </c>
      <c r="C791" t="inlineStr">
        <is>
          <t>MIERCOLES</t>
        </is>
      </c>
      <c r="D791" t="n">
        <v>5</v>
      </c>
      <c r="E791" t="n">
        <v>3</v>
      </c>
      <c r="F791" t="n">
        <v>1</v>
      </c>
      <c r="G791" t="inlineStr">
        <is>
          <t>09:30</t>
        </is>
      </c>
      <c r="H791" t="inlineStr">
        <is>
          <t>10:30</t>
        </is>
      </c>
      <c r="I791" t="inlineStr">
        <is>
          <t>AREAS_MULTIPLES</t>
        </is>
      </c>
      <c r="J791" t="inlineStr">
        <is>
          <t>0001</t>
        </is>
      </c>
      <c r="K791" t="inlineStr">
        <is>
          <t>ÁREAS MÚLTIPLES</t>
        </is>
      </c>
      <c r="L791" t="inlineStr"/>
      <c r="M791" t="inlineStr"/>
      <c r="N791" t="inlineStr"/>
      <c r="O791" t="inlineStr">
        <is>
          <t>Maestro de aula: todas las áreas con su grupo</t>
        </is>
      </c>
      <c r="P791" t="inlineStr"/>
      <c r="Q791">
        <f>IF(I791="ENFASIS","ÉNFASIS "&amp;M791,IFERROR(VLOOKUP(J791,Grupos!$A$2:$D$100,4,FALSE),J791))</f>
        <v/>
      </c>
      <c r="R791">
        <f>O791&amp;IF(N791&lt;&gt;"",IF(O791&lt;&gt;""," · ","")&amp;"Con: "&amp;N791,"")</f>
        <v/>
      </c>
      <c r="S791">
        <f>C791&amp;"|"&amp;D791</f>
        <v/>
      </c>
      <c r="T791">
        <f>COUNTIF($S$2:S791,S791)</f>
        <v/>
      </c>
      <c r="U791">
        <f>S791&amp;"|"&amp;T791</f>
        <v/>
      </c>
      <c r="V791">
        <f>IFERROR(VLOOKUP(IF(I791="ENFASIS",LEFT(M791,FIND("+",M791&amp;"+")-1),J791),Direccion_Grupo!$A$2:$G$100,7,FALSE),"")</f>
        <v/>
      </c>
    </row>
    <row r="792">
      <c r="A792" t="n">
        <v>27</v>
      </c>
      <c r="B792" t="inlineStr">
        <is>
          <t>Martínez Álvarez Andrea Ascención</t>
        </is>
      </c>
      <c r="C792" t="inlineStr">
        <is>
          <t>MIERCOLES</t>
        </is>
      </c>
      <c r="D792" t="n">
        <v>5</v>
      </c>
      <c r="E792" t="n">
        <v>3</v>
      </c>
      <c r="F792" t="n">
        <v>1</v>
      </c>
      <c r="G792" t="inlineStr">
        <is>
          <t>09:30</t>
        </is>
      </c>
      <c r="H792" t="inlineStr">
        <is>
          <t>10:30</t>
        </is>
      </c>
      <c r="I792" t="inlineStr">
        <is>
          <t>AREAS_MULTIPLES</t>
        </is>
      </c>
      <c r="J792" t="inlineStr">
        <is>
          <t>0002</t>
        </is>
      </c>
      <c r="K792" t="inlineStr">
        <is>
          <t>ÁREAS MÚLTIPLES</t>
        </is>
      </c>
      <c r="L792" t="inlineStr"/>
      <c r="M792" t="inlineStr"/>
      <c r="N792" t="inlineStr"/>
      <c r="O792" t="inlineStr">
        <is>
          <t>Maestro de aula: todas las áreas con su grupo</t>
        </is>
      </c>
      <c r="P792" t="inlineStr"/>
      <c r="Q792">
        <f>IF(I792="ENFASIS","ÉNFASIS "&amp;M792,IFERROR(VLOOKUP(J792,Grupos!$A$2:$D$100,4,FALSE),J792))</f>
        <v/>
      </c>
      <c r="R792">
        <f>O792&amp;IF(N792&lt;&gt;"",IF(O792&lt;&gt;""," · ","")&amp;"Con: "&amp;N792,"")</f>
        <v/>
      </c>
      <c r="S792">
        <f>C792&amp;"|"&amp;D792</f>
        <v/>
      </c>
      <c r="T792">
        <f>COUNTIF($S$2:S792,S792)</f>
        <v/>
      </c>
      <c r="U792">
        <f>S792&amp;"|"&amp;T792</f>
        <v/>
      </c>
      <c r="V792">
        <f>IFERROR(VLOOKUP(IF(I792="ENFASIS",LEFT(M792,FIND("+",M792&amp;"+")-1),J792),Direccion_Grupo!$A$2:$G$100,7,FALSE),"")</f>
        <v/>
      </c>
    </row>
    <row r="793">
      <c r="A793" t="n">
        <v>23</v>
      </c>
      <c r="B793" t="inlineStr">
        <is>
          <t>Landázuri Quiñones María Elia</t>
        </is>
      </c>
      <c r="C793" t="inlineStr">
        <is>
          <t>MIERCOLES</t>
        </is>
      </c>
      <c r="D793" t="n">
        <v>5</v>
      </c>
      <c r="E793" t="n">
        <v>3</v>
      </c>
      <c r="F793" t="n">
        <v>1</v>
      </c>
      <c r="G793" t="inlineStr">
        <is>
          <t>10:10</t>
        </is>
      </c>
      <c r="H793" t="inlineStr">
        <is>
          <t>10:55</t>
        </is>
      </c>
      <c r="I793" t="inlineStr">
        <is>
          <t>AREAS_MULTIPLES</t>
        </is>
      </c>
      <c r="J793" t="inlineStr">
        <is>
          <t>0101</t>
        </is>
      </c>
      <c r="K793" t="inlineStr">
        <is>
          <t>ÁREAS MÚLTIPLES</t>
        </is>
      </c>
      <c r="L793" t="inlineStr"/>
      <c r="M793" t="inlineStr"/>
      <c r="N793" t="inlineStr"/>
      <c r="O793" t="inlineStr">
        <is>
          <t>Maestro de aula: todas las áreas con su grupo</t>
        </is>
      </c>
      <c r="P793" t="inlineStr"/>
      <c r="Q793">
        <f>IF(I793="ENFASIS","ÉNFASIS "&amp;M793,IFERROR(VLOOKUP(J793,Grupos!$A$2:$D$100,4,FALSE),J793))</f>
        <v/>
      </c>
      <c r="R793">
        <f>O793&amp;IF(N793&lt;&gt;"",IF(O793&lt;&gt;""," · ","")&amp;"Con: "&amp;N793,"")</f>
        <v/>
      </c>
      <c r="S793">
        <f>C793&amp;"|"&amp;D793</f>
        <v/>
      </c>
      <c r="T793">
        <f>COUNTIF($S$2:S793,S793)</f>
        <v/>
      </c>
      <c r="U793">
        <f>S793&amp;"|"&amp;T793</f>
        <v/>
      </c>
      <c r="V793">
        <f>IFERROR(VLOOKUP(IF(I793="ENFASIS",LEFT(M793,FIND("+",M793&amp;"+")-1),J793),Direccion_Grupo!$A$2:$G$100,7,FALSE),"")</f>
        <v/>
      </c>
    </row>
    <row r="794">
      <c r="A794" t="n">
        <v>45</v>
      </c>
      <c r="B794" t="inlineStr">
        <is>
          <t>Sinisterra Ana Lucía</t>
        </is>
      </c>
      <c r="C794" t="inlineStr">
        <is>
          <t>MIERCOLES</t>
        </is>
      </c>
      <c r="D794" t="n">
        <v>5</v>
      </c>
      <c r="E794" t="n">
        <v>3</v>
      </c>
      <c r="F794" t="n">
        <v>1</v>
      </c>
      <c r="G794" t="inlineStr">
        <is>
          <t>10:10</t>
        </is>
      </c>
      <c r="H794" t="inlineStr">
        <is>
          <t>10:55</t>
        </is>
      </c>
      <c r="I794" t="inlineStr">
        <is>
          <t>AREAS_MULTIPLES</t>
        </is>
      </c>
      <c r="J794" t="inlineStr">
        <is>
          <t>0102</t>
        </is>
      </c>
      <c r="K794" t="inlineStr">
        <is>
          <t>ÁREAS MÚLTIPLES</t>
        </is>
      </c>
      <c r="L794" t="inlineStr"/>
      <c r="M794" t="inlineStr"/>
      <c r="N794" t="inlineStr"/>
      <c r="O794" t="inlineStr">
        <is>
          <t>Maestro de aula: todas las áreas con su grupo</t>
        </is>
      </c>
      <c r="P794" t="inlineStr"/>
      <c r="Q794">
        <f>IF(I794="ENFASIS","ÉNFASIS "&amp;M794,IFERROR(VLOOKUP(J794,Grupos!$A$2:$D$100,4,FALSE),J794))</f>
        <v/>
      </c>
      <c r="R794">
        <f>O794&amp;IF(N794&lt;&gt;"",IF(O794&lt;&gt;""," · ","")&amp;"Con: "&amp;N794,"")</f>
        <v/>
      </c>
      <c r="S794">
        <f>C794&amp;"|"&amp;D794</f>
        <v/>
      </c>
      <c r="T794">
        <f>COUNTIF($S$2:S794,S794)</f>
        <v/>
      </c>
      <c r="U794">
        <f>S794&amp;"|"&amp;T794</f>
        <v/>
      </c>
      <c r="V794">
        <f>IFERROR(VLOOKUP(IF(I794="ENFASIS",LEFT(M794,FIND("+",M794&amp;"+")-1),J794),Direccion_Grupo!$A$2:$G$100,7,FALSE),"")</f>
        <v/>
      </c>
    </row>
    <row r="795">
      <c r="A795" t="n">
        <v>13</v>
      </c>
      <c r="B795" t="inlineStr">
        <is>
          <t>Cortés Salazar María Ebelice</t>
        </is>
      </c>
      <c r="C795" t="inlineStr">
        <is>
          <t>MIERCOLES</t>
        </is>
      </c>
      <c r="D795" t="n">
        <v>5</v>
      </c>
      <c r="E795" t="n">
        <v>3</v>
      </c>
      <c r="F795" t="n">
        <v>1</v>
      </c>
      <c r="G795" t="inlineStr">
        <is>
          <t>10:10</t>
        </is>
      </c>
      <c r="H795" t="inlineStr">
        <is>
          <t>10:55</t>
        </is>
      </c>
      <c r="I795" t="inlineStr">
        <is>
          <t>AREAS_MULTIPLES</t>
        </is>
      </c>
      <c r="J795" t="inlineStr">
        <is>
          <t>0201</t>
        </is>
      </c>
      <c r="K795" t="inlineStr">
        <is>
          <t>ÁREAS MÚLTIPLES</t>
        </is>
      </c>
      <c r="L795" t="inlineStr"/>
      <c r="M795" t="inlineStr"/>
      <c r="N795" t="inlineStr"/>
      <c r="O795" t="inlineStr">
        <is>
          <t>Maestro de aula: todas las áreas con su grupo</t>
        </is>
      </c>
      <c r="P795" t="inlineStr"/>
      <c r="Q795">
        <f>IF(I795="ENFASIS","ÉNFASIS "&amp;M795,IFERROR(VLOOKUP(J795,Grupos!$A$2:$D$100,4,FALSE),J795))</f>
        <v/>
      </c>
      <c r="R795">
        <f>O795&amp;IF(N795&lt;&gt;"",IF(O795&lt;&gt;""," · ","")&amp;"Con: "&amp;N795,"")</f>
        <v/>
      </c>
      <c r="S795">
        <f>C795&amp;"|"&amp;D795</f>
        <v/>
      </c>
      <c r="T795">
        <f>COUNTIF($S$2:S795,S795)</f>
        <v/>
      </c>
      <c r="U795">
        <f>S795&amp;"|"&amp;T795</f>
        <v/>
      </c>
      <c r="V795">
        <f>IFERROR(VLOOKUP(IF(I795="ENFASIS",LEFT(M795,FIND("+",M795&amp;"+")-1),J795),Direccion_Grupo!$A$2:$G$100,7,FALSE),"")</f>
        <v/>
      </c>
    </row>
    <row r="796">
      <c r="A796" t="n">
        <v>21</v>
      </c>
      <c r="B796" t="inlineStr">
        <is>
          <t>Garzón Quiñones Sixta Janina</t>
        </is>
      </c>
      <c r="C796" t="inlineStr">
        <is>
          <t>MIERCOLES</t>
        </is>
      </c>
      <c r="D796" t="n">
        <v>5</v>
      </c>
      <c r="E796" t="n">
        <v>3</v>
      </c>
      <c r="F796" t="n">
        <v>1</v>
      </c>
      <c r="G796" t="inlineStr">
        <is>
          <t>10:10</t>
        </is>
      </c>
      <c r="H796" t="inlineStr">
        <is>
          <t>10:55</t>
        </is>
      </c>
      <c r="I796" t="inlineStr">
        <is>
          <t>AREAS_MULTIPLES</t>
        </is>
      </c>
      <c r="J796" t="inlineStr">
        <is>
          <t>0202</t>
        </is>
      </c>
      <c r="K796" t="inlineStr">
        <is>
          <t>ÁREAS MÚLTIPLES</t>
        </is>
      </c>
      <c r="L796" t="inlineStr"/>
      <c r="M796" t="inlineStr"/>
      <c r="N796" t="inlineStr"/>
      <c r="O796" t="inlineStr">
        <is>
          <t>Maestro de aula: todas las áreas con su grupo</t>
        </is>
      </c>
      <c r="P796" t="inlineStr"/>
      <c r="Q796">
        <f>IF(I796="ENFASIS","ÉNFASIS "&amp;M796,IFERROR(VLOOKUP(J796,Grupos!$A$2:$D$100,4,FALSE),J796))</f>
        <v/>
      </c>
      <c r="R796">
        <f>O796&amp;IF(N796&lt;&gt;"",IF(O796&lt;&gt;""," · ","")&amp;"Con: "&amp;N796,"")</f>
        <v/>
      </c>
      <c r="S796">
        <f>C796&amp;"|"&amp;D796</f>
        <v/>
      </c>
      <c r="T796">
        <f>COUNTIF($S$2:S796,S796)</f>
        <v/>
      </c>
      <c r="U796">
        <f>S796&amp;"|"&amp;T796</f>
        <v/>
      </c>
      <c r="V796">
        <f>IFERROR(VLOOKUP(IF(I796="ENFASIS",LEFT(M796,FIND("+",M796&amp;"+")-1),J796),Direccion_Grupo!$A$2:$G$100,7,FALSE),"")</f>
        <v/>
      </c>
    </row>
    <row r="797">
      <c r="A797" t="n">
        <v>46</v>
      </c>
      <c r="B797" t="inlineStr">
        <is>
          <t>Tenorio Cuero Lucy Bivian</t>
        </is>
      </c>
      <c r="C797" t="inlineStr">
        <is>
          <t>MIERCOLES</t>
        </is>
      </c>
      <c r="D797" t="n">
        <v>5</v>
      </c>
      <c r="E797" t="n">
        <v>3</v>
      </c>
      <c r="F797" t="n">
        <v>1</v>
      </c>
      <c r="G797" t="inlineStr">
        <is>
          <t>10:10</t>
        </is>
      </c>
      <c r="H797" t="inlineStr">
        <is>
          <t>10:55</t>
        </is>
      </c>
      <c r="I797" t="inlineStr">
        <is>
          <t>AREAS_MULTIPLES</t>
        </is>
      </c>
      <c r="J797" t="inlineStr">
        <is>
          <t>0203</t>
        </is>
      </c>
      <c r="K797" t="inlineStr">
        <is>
          <t>ÁREAS MÚLTIPLES</t>
        </is>
      </c>
      <c r="L797" t="inlineStr"/>
      <c r="M797" t="inlineStr"/>
      <c r="N797" t="inlineStr"/>
      <c r="O797" t="inlineStr">
        <is>
          <t>Maestro de aula: todas las áreas con su grupo</t>
        </is>
      </c>
      <c r="P797" t="inlineStr"/>
      <c r="Q797">
        <f>IF(I797="ENFASIS","ÉNFASIS "&amp;M797,IFERROR(VLOOKUP(J797,Grupos!$A$2:$D$100,4,FALSE),J797))</f>
        <v/>
      </c>
      <c r="R797">
        <f>O797&amp;IF(N797&lt;&gt;"",IF(O797&lt;&gt;""," · ","")&amp;"Con: "&amp;N797,"")</f>
        <v/>
      </c>
      <c r="S797">
        <f>C797&amp;"|"&amp;D797</f>
        <v/>
      </c>
      <c r="T797">
        <f>COUNTIF($S$2:S797,S797)</f>
        <v/>
      </c>
      <c r="U797">
        <f>S797&amp;"|"&amp;T797</f>
        <v/>
      </c>
      <c r="V797">
        <f>IFERROR(VLOOKUP(IF(I797="ENFASIS",LEFT(M797,FIND("+",M797&amp;"+")-1),J797),Direccion_Grupo!$A$2:$G$100,7,FALSE),"")</f>
        <v/>
      </c>
    </row>
    <row r="798">
      <c r="A798" t="n">
        <v>48</v>
      </c>
      <c r="B798" t="inlineStr">
        <is>
          <t>Torres Segura Encarnación</t>
        </is>
      </c>
      <c r="C798" t="inlineStr">
        <is>
          <t>MIERCOLES</t>
        </is>
      </c>
      <c r="D798" t="n">
        <v>5</v>
      </c>
      <c r="E798" t="n">
        <v>3</v>
      </c>
      <c r="F798" t="n">
        <v>1</v>
      </c>
      <c r="G798" t="inlineStr">
        <is>
          <t>10:10</t>
        </is>
      </c>
      <c r="H798" t="inlineStr">
        <is>
          <t>10:55</t>
        </is>
      </c>
      <c r="I798" t="inlineStr">
        <is>
          <t>AREAS_MULTIPLES</t>
        </is>
      </c>
      <c r="J798" t="inlineStr">
        <is>
          <t>0301</t>
        </is>
      </c>
      <c r="K798" t="inlineStr">
        <is>
          <t>ÁREAS MÚLTIPLES</t>
        </is>
      </c>
      <c r="L798" t="inlineStr"/>
      <c r="M798" t="inlineStr"/>
      <c r="N798" t="inlineStr"/>
      <c r="O798" t="inlineStr">
        <is>
          <t>Maestro de aula: todas las áreas con su grupo</t>
        </is>
      </c>
      <c r="P798" t="inlineStr"/>
      <c r="Q798">
        <f>IF(I798="ENFASIS","ÉNFASIS "&amp;M798,IFERROR(VLOOKUP(J798,Grupos!$A$2:$D$100,4,FALSE),J798))</f>
        <v/>
      </c>
      <c r="R798">
        <f>O798&amp;IF(N798&lt;&gt;"",IF(O798&lt;&gt;""," · ","")&amp;"Con: "&amp;N798,"")</f>
        <v/>
      </c>
      <c r="S798">
        <f>C798&amp;"|"&amp;D798</f>
        <v/>
      </c>
      <c r="T798">
        <f>COUNTIF($S$2:S798,S798)</f>
        <v/>
      </c>
      <c r="U798">
        <f>S798&amp;"|"&amp;T798</f>
        <v/>
      </c>
      <c r="V798">
        <f>IFERROR(VLOOKUP(IF(I798="ENFASIS",LEFT(M798,FIND("+",M798&amp;"+")-1),J798),Direccion_Grupo!$A$2:$G$100,7,FALSE),"")</f>
        <v/>
      </c>
    </row>
    <row r="799">
      <c r="A799" t="n">
        <v>24</v>
      </c>
      <c r="B799" t="inlineStr">
        <is>
          <t>Landázuri Gallón Teresa</t>
        </is>
      </c>
      <c r="C799" t="inlineStr">
        <is>
          <t>MIERCOLES</t>
        </is>
      </c>
      <c r="D799" t="n">
        <v>5</v>
      </c>
      <c r="E799" t="n">
        <v>3</v>
      </c>
      <c r="F799" t="n">
        <v>1</v>
      </c>
      <c r="G799" t="inlineStr">
        <is>
          <t>10:10</t>
        </is>
      </c>
      <c r="H799" t="inlineStr">
        <is>
          <t>10:55</t>
        </is>
      </c>
      <c r="I799" t="inlineStr">
        <is>
          <t>AREAS_MULTIPLES</t>
        </is>
      </c>
      <c r="J799" t="inlineStr">
        <is>
          <t>0302</t>
        </is>
      </c>
      <c r="K799" t="inlineStr">
        <is>
          <t>ÁREAS MÚLTIPLES</t>
        </is>
      </c>
      <c r="L799" t="inlineStr"/>
      <c r="M799" t="inlineStr"/>
      <c r="N799" t="inlineStr"/>
      <c r="O799" t="inlineStr">
        <is>
          <t>Maestro de aula: todas las áreas con su grupo</t>
        </is>
      </c>
      <c r="P799" t="inlineStr"/>
      <c r="Q799">
        <f>IF(I799="ENFASIS","ÉNFASIS "&amp;M799,IFERROR(VLOOKUP(J799,Grupos!$A$2:$D$100,4,FALSE),J799))</f>
        <v/>
      </c>
      <c r="R799">
        <f>O799&amp;IF(N799&lt;&gt;"",IF(O799&lt;&gt;""," · ","")&amp;"Con: "&amp;N799,"")</f>
        <v/>
      </c>
      <c r="S799">
        <f>C799&amp;"|"&amp;D799</f>
        <v/>
      </c>
      <c r="T799">
        <f>COUNTIF($S$2:S799,S799)</f>
        <v/>
      </c>
      <c r="U799">
        <f>S799&amp;"|"&amp;T799</f>
        <v/>
      </c>
      <c r="V799">
        <f>IFERROR(VLOOKUP(IF(I799="ENFASIS",LEFT(M799,FIND("+",M799&amp;"+")-1),J799),Direccion_Grupo!$A$2:$G$100,7,FALSE),"")</f>
        <v/>
      </c>
    </row>
    <row r="800">
      <c r="A800" t="n">
        <v>55</v>
      </c>
      <c r="B800" t="inlineStr">
        <is>
          <t>Zamora Ordóñez Celia Pastora</t>
        </is>
      </c>
      <c r="C800" t="inlineStr">
        <is>
          <t>MIERCOLES</t>
        </is>
      </c>
      <c r="D800" t="n">
        <v>5</v>
      </c>
      <c r="E800" t="n">
        <v>3</v>
      </c>
      <c r="F800" t="n">
        <v>1</v>
      </c>
      <c r="G800" t="inlineStr">
        <is>
          <t>10:10</t>
        </is>
      </c>
      <c r="H800" t="inlineStr">
        <is>
          <t>10:55</t>
        </is>
      </c>
      <c r="I800" t="inlineStr">
        <is>
          <t>AREAS_MULTIPLES</t>
        </is>
      </c>
      <c r="J800" t="inlineStr">
        <is>
          <t>0401</t>
        </is>
      </c>
      <c r="K800" t="inlineStr">
        <is>
          <t>ÁREAS MÚLTIPLES</t>
        </is>
      </c>
      <c r="L800" t="inlineStr"/>
      <c r="M800" t="inlineStr"/>
      <c r="N800" t="inlineStr"/>
      <c r="O800" t="inlineStr">
        <is>
          <t>Maestro de aula: todas las áreas con su grupo</t>
        </is>
      </c>
      <c r="P800" t="inlineStr"/>
      <c r="Q800">
        <f>IF(I800="ENFASIS","ÉNFASIS "&amp;M800,IFERROR(VLOOKUP(J800,Grupos!$A$2:$D$100,4,FALSE),J800))</f>
        <v/>
      </c>
      <c r="R800">
        <f>O800&amp;IF(N800&lt;&gt;"",IF(O800&lt;&gt;""," · ","")&amp;"Con: "&amp;N800,"")</f>
        <v/>
      </c>
      <c r="S800">
        <f>C800&amp;"|"&amp;D800</f>
        <v/>
      </c>
      <c r="T800">
        <f>COUNTIF($S$2:S800,S800)</f>
        <v/>
      </c>
      <c r="U800">
        <f>S800&amp;"|"&amp;T800</f>
        <v/>
      </c>
      <c r="V800">
        <f>IFERROR(VLOOKUP(IF(I800="ENFASIS",LEFT(M800,FIND("+",M800&amp;"+")-1),J800),Direccion_Grupo!$A$2:$G$100,7,FALSE),"")</f>
        <v/>
      </c>
    </row>
    <row r="801">
      <c r="A801" t="n">
        <v>33</v>
      </c>
      <c r="B801" t="inlineStr">
        <is>
          <t>Núñez Perlaza Elcy</t>
        </is>
      </c>
      <c r="C801" t="inlineStr">
        <is>
          <t>MIERCOLES</t>
        </is>
      </c>
      <c r="D801" t="n">
        <v>5</v>
      </c>
      <c r="E801" t="n">
        <v>3</v>
      </c>
      <c r="F801" t="n">
        <v>1</v>
      </c>
      <c r="G801" t="inlineStr">
        <is>
          <t>10:10</t>
        </is>
      </c>
      <c r="H801" t="inlineStr">
        <is>
          <t>10:55</t>
        </is>
      </c>
      <c r="I801" t="inlineStr">
        <is>
          <t>AREAS_MULTIPLES</t>
        </is>
      </c>
      <c r="J801" t="inlineStr">
        <is>
          <t>0402</t>
        </is>
      </c>
      <c r="K801" t="inlineStr">
        <is>
          <t>ÁREAS MÚLTIPLES</t>
        </is>
      </c>
      <c r="L801" t="inlineStr"/>
      <c r="M801" t="inlineStr"/>
      <c r="N801" t="inlineStr"/>
      <c r="O801" t="inlineStr">
        <is>
          <t>Maestro de aula: todas las áreas con su grupo</t>
        </is>
      </c>
      <c r="P801" t="inlineStr"/>
      <c r="Q801">
        <f>IF(I801="ENFASIS","ÉNFASIS "&amp;M801,IFERROR(VLOOKUP(J801,Grupos!$A$2:$D$100,4,FALSE),J801))</f>
        <v/>
      </c>
      <c r="R801">
        <f>O801&amp;IF(N801&lt;&gt;"",IF(O801&lt;&gt;""," · ","")&amp;"Con: "&amp;N801,"")</f>
        <v/>
      </c>
      <c r="S801">
        <f>C801&amp;"|"&amp;D801</f>
        <v/>
      </c>
      <c r="T801">
        <f>COUNTIF($S$2:S801,S801)</f>
        <v/>
      </c>
      <c r="U801">
        <f>S801&amp;"|"&amp;T801</f>
        <v/>
      </c>
      <c r="V801">
        <f>IFERROR(VLOOKUP(IF(I801="ENFASIS",LEFT(M801,FIND("+",M801&amp;"+")-1),J801),Direccion_Grupo!$A$2:$G$100,7,FALSE),"")</f>
        <v/>
      </c>
    </row>
    <row r="802">
      <c r="A802" t="n">
        <v>14</v>
      </c>
      <c r="B802" t="inlineStr">
        <is>
          <t>Cuéllar Gallo Nemesia</t>
        </is>
      </c>
      <c r="C802" t="inlineStr">
        <is>
          <t>MIERCOLES</t>
        </is>
      </c>
      <c r="D802" t="n">
        <v>5</v>
      </c>
      <c r="E802" t="n">
        <v>3</v>
      </c>
      <c r="F802" t="n">
        <v>1</v>
      </c>
      <c r="G802" t="inlineStr">
        <is>
          <t>10:10</t>
        </is>
      </c>
      <c r="H802" t="inlineStr">
        <is>
          <t>10:55</t>
        </is>
      </c>
      <c r="I802" t="inlineStr">
        <is>
          <t>AREAS_MULTIPLES</t>
        </is>
      </c>
      <c r="J802" t="inlineStr">
        <is>
          <t>0501</t>
        </is>
      </c>
      <c r="K802" t="inlineStr">
        <is>
          <t>ÁREAS MÚLTIPLES</t>
        </is>
      </c>
      <c r="L802" t="inlineStr"/>
      <c r="M802" t="inlineStr"/>
      <c r="N802" t="inlineStr"/>
      <c r="O802" t="inlineStr">
        <is>
          <t>Maestro de aula: todas las áreas con su grupo</t>
        </is>
      </c>
      <c r="P802" t="inlineStr"/>
      <c r="Q802">
        <f>IF(I802="ENFASIS","ÉNFASIS "&amp;M802,IFERROR(VLOOKUP(J802,Grupos!$A$2:$D$100,4,FALSE),J802))</f>
        <v/>
      </c>
      <c r="R802">
        <f>O802&amp;IF(N802&lt;&gt;"",IF(O802&lt;&gt;""," · ","")&amp;"Con: "&amp;N802,"")</f>
        <v/>
      </c>
      <c r="S802">
        <f>C802&amp;"|"&amp;D802</f>
        <v/>
      </c>
      <c r="T802">
        <f>COUNTIF($S$2:S802,S802)</f>
        <v/>
      </c>
      <c r="U802">
        <f>S802&amp;"|"&amp;T802</f>
        <v/>
      </c>
      <c r="V802">
        <f>IFERROR(VLOOKUP(IF(I802="ENFASIS",LEFT(M802,FIND("+",M802&amp;"+")-1),J802),Direccion_Grupo!$A$2:$G$100,7,FALSE),"")</f>
        <v/>
      </c>
    </row>
    <row r="803">
      <c r="A803" t="n">
        <v>11</v>
      </c>
      <c r="B803" t="inlineStr">
        <is>
          <t>Centeno Zúñiga Claudia Patricia</t>
        </is>
      </c>
      <c r="C803" t="inlineStr">
        <is>
          <t>MIERCOLES</t>
        </is>
      </c>
      <c r="D803" t="n">
        <v>5</v>
      </c>
      <c r="E803" t="n">
        <v>3</v>
      </c>
      <c r="F803" t="n">
        <v>1</v>
      </c>
      <c r="G803" t="inlineStr">
        <is>
          <t>10:10</t>
        </is>
      </c>
      <c r="H803" t="inlineStr">
        <is>
          <t>10:55</t>
        </is>
      </c>
      <c r="I803" t="inlineStr">
        <is>
          <t>AREAS_MULTIPLES</t>
        </is>
      </c>
      <c r="J803" t="inlineStr">
        <is>
          <t>0502</t>
        </is>
      </c>
      <c r="K803" t="inlineStr">
        <is>
          <t>ÁREAS MÚLTIPLES</t>
        </is>
      </c>
      <c r="L803" t="inlineStr"/>
      <c r="M803" t="inlineStr"/>
      <c r="N803" t="inlineStr"/>
      <c r="O803" t="inlineStr">
        <is>
          <t>Maestro de aula: todas las áreas con su grupo</t>
        </is>
      </c>
      <c r="P803" t="inlineStr"/>
      <c r="Q803">
        <f>IF(I803="ENFASIS","ÉNFASIS "&amp;M803,IFERROR(VLOOKUP(J803,Grupos!$A$2:$D$100,4,FALSE),J803))</f>
        <v/>
      </c>
      <c r="R803">
        <f>O803&amp;IF(N803&lt;&gt;"",IF(O803&lt;&gt;""," · ","")&amp;"Con: "&amp;N803,"")</f>
        <v/>
      </c>
      <c r="S803">
        <f>C803&amp;"|"&amp;D803</f>
        <v/>
      </c>
      <c r="T803">
        <f>COUNTIF($S$2:S803,S803)</f>
        <v/>
      </c>
      <c r="U803">
        <f>S803&amp;"|"&amp;T803</f>
        <v/>
      </c>
      <c r="V803">
        <f>IFERROR(VLOOKUP(IF(I803="ENFASIS",LEFT(M803,FIND("+",M803&amp;"+")-1),J803),Direccion_Grupo!$A$2:$G$100,7,FALSE),"")</f>
        <v/>
      </c>
    </row>
    <row r="804">
      <c r="A804" t="n">
        <v>32</v>
      </c>
      <c r="B804" t="inlineStr">
        <is>
          <t>Narváez Sánchez Dora Alejandra</t>
        </is>
      </c>
      <c r="C804" t="inlineStr">
        <is>
          <t>MIERCOLES</t>
        </is>
      </c>
      <c r="D804" t="n">
        <v>5</v>
      </c>
      <c r="E804" t="n">
        <v>3</v>
      </c>
      <c r="F804" t="n">
        <v>1</v>
      </c>
      <c r="G804" t="inlineStr">
        <is>
          <t>10:10</t>
        </is>
      </c>
      <c r="H804" t="inlineStr">
        <is>
          <t>10:55</t>
        </is>
      </c>
      <c r="I804" t="inlineStr">
        <is>
          <t>AREAS_MULTIPLES</t>
        </is>
      </c>
      <c r="J804" t="inlineStr">
        <is>
          <t>0503</t>
        </is>
      </c>
      <c r="K804" t="inlineStr">
        <is>
          <t>ÁREAS MÚLTIPLES</t>
        </is>
      </c>
      <c r="L804" t="inlineStr"/>
      <c r="M804" t="inlineStr"/>
      <c r="N804" t="inlineStr"/>
      <c r="O804" t="inlineStr">
        <is>
          <t>Maestro de aula: todas las áreas con su grupo</t>
        </is>
      </c>
      <c r="P804" t="inlineStr"/>
      <c r="Q804">
        <f>IF(I804="ENFASIS","ÉNFASIS "&amp;M804,IFERROR(VLOOKUP(J804,Grupos!$A$2:$D$100,4,FALSE),J804))</f>
        <v/>
      </c>
      <c r="R804">
        <f>O804&amp;IF(N804&lt;&gt;"",IF(O804&lt;&gt;""," · ","")&amp;"Con: "&amp;N804,"")</f>
        <v/>
      </c>
      <c r="S804">
        <f>C804&amp;"|"&amp;D804</f>
        <v/>
      </c>
      <c r="T804">
        <f>COUNTIF($S$2:S804,S804)</f>
        <v/>
      </c>
      <c r="U804">
        <f>S804&amp;"|"&amp;T804</f>
        <v/>
      </c>
      <c r="V804">
        <f>IFERROR(VLOOKUP(IF(I804="ENFASIS",LEFT(M804,FIND("+",M804&amp;"+")-1),J804),Direccion_Grupo!$A$2:$G$100,7,FALSE),"")</f>
        <v/>
      </c>
    </row>
    <row r="805">
      <c r="A805" t="n">
        <v>17</v>
      </c>
      <c r="B805" t="inlineStr">
        <is>
          <t>Escobar Cortés Liliana</t>
        </is>
      </c>
      <c r="C805" t="inlineStr">
        <is>
          <t>MIERCOLES</t>
        </is>
      </c>
      <c r="D805" t="n">
        <v>5</v>
      </c>
      <c r="E805" t="n">
        <v>3</v>
      </c>
      <c r="F805" t="n">
        <v>1</v>
      </c>
      <c r="G805" t="inlineStr">
        <is>
          <t>10:10</t>
        </is>
      </c>
      <c r="H805" t="inlineStr">
        <is>
          <t>10:55</t>
        </is>
      </c>
      <c r="I805" t="inlineStr">
        <is>
          <t>AREAS_MULTIPLES</t>
        </is>
      </c>
      <c r="J805" t="inlineStr">
        <is>
          <t>0504</t>
        </is>
      </c>
      <c r="K805" t="inlineStr">
        <is>
          <t>ÁREAS MÚLTIPLES</t>
        </is>
      </c>
      <c r="L805" t="inlineStr"/>
      <c r="M805" t="inlineStr"/>
      <c r="N805" t="inlineStr"/>
      <c r="O805" t="inlineStr">
        <is>
          <t>Maestro de aula: todas las áreas con su grupo</t>
        </is>
      </c>
      <c r="P805" t="inlineStr"/>
      <c r="Q805">
        <f>IF(I805="ENFASIS","ÉNFASIS "&amp;M805,IFERROR(VLOOKUP(J805,Grupos!$A$2:$D$100,4,FALSE),J805))</f>
        <v/>
      </c>
      <c r="R805">
        <f>O805&amp;IF(N805&lt;&gt;"",IF(O805&lt;&gt;""," · ","")&amp;"Con: "&amp;N805,"")</f>
        <v/>
      </c>
      <c r="S805">
        <f>C805&amp;"|"&amp;D805</f>
        <v/>
      </c>
      <c r="T805">
        <f>COUNTIF($S$2:S805,S805)</f>
        <v/>
      </c>
      <c r="U805">
        <f>S805&amp;"|"&amp;T805</f>
        <v/>
      </c>
      <c r="V805">
        <f>IFERROR(VLOOKUP(IF(I805="ENFASIS",LEFT(M805,FIND("+",M805&amp;"+")-1),J805),Direccion_Grupo!$A$2:$G$100,7,FALSE),"")</f>
        <v/>
      </c>
    </row>
    <row r="806">
      <c r="A806" t="n">
        <v>26</v>
      </c>
      <c r="B806" t="inlineStr">
        <is>
          <t>Lozano Torres Amanda Inés</t>
        </is>
      </c>
      <c r="C806" t="inlineStr">
        <is>
          <t>MIERCOLES</t>
        </is>
      </c>
      <c r="D806" t="n">
        <v>5</v>
      </c>
      <c r="E806" t="n">
        <v>3</v>
      </c>
      <c r="F806" t="n">
        <v>1</v>
      </c>
      <c r="G806" t="inlineStr">
        <is>
          <t>10:10</t>
        </is>
      </c>
      <c r="H806" t="inlineStr">
        <is>
          <t>10:55</t>
        </is>
      </c>
      <c r="I806" t="inlineStr">
        <is>
          <t>CLASE</t>
        </is>
      </c>
      <c r="J806" t="inlineStr">
        <is>
          <t>0601</t>
        </is>
      </c>
      <c r="K806" t="inlineStr">
        <is>
          <t>ETR</t>
        </is>
      </c>
      <c r="L806" t="inlineStr"/>
      <c r="M806" t="inlineStr"/>
      <c r="N806" t="inlineStr"/>
      <c r="O806" t="inlineStr">
        <is>
          <t>Ética / Religión (alternan cada semana)</t>
        </is>
      </c>
      <c r="P806" t="inlineStr">
        <is>
          <t>0601-ETR</t>
        </is>
      </c>
      <c r="Q806">
        <f>IF(I806="ENFASIS","ÉNFASIS "&amp;M806,IFERROR(VLOOKUP(J806,Grupos!$A$2:$D$100,4,FALSE),J806))</f>
        <v/>
      </c>
      <c r="R806">
        <f>O806&amp;IF(N806&lt;&gt;"",IF(O806&lt;&gt;""," · ","")&amp;"Con: "&amp;N806,"")</f>
        <v/>
      </c>
      <c r="S806">
        <f>C806&amp;"|"&amp;D806</f>
        <v/>
      </c>
      <c r="T806">
        <f>COUNTIF($S$2:S806,S806)</f>
        <v/>
      </c>
      <c r="U806">
        <f>S806&amp;"|"&amp;T806</f>
        <v/>
      </c>
      <c r="V806">
        <f>IFERROR(VLOOKUP(IF(I806="ENFASIS",LEFT(M806,FIND("+",M806&amp;"+")-1),J806),Direccion_Grupo!$A$2:$G$100,7,FALSE),"")</f>
        <v/>
      </c>
    </row>
    <row r="807">
      <c r="A807" t="n">
        <v>20</v>
      </c>
      <c r="B807" t="inlineStr">
        <is>
          <t>García Gobea Saydi Magali</t>
        </is>
      </c>
      <c r="C807" t="inlineStr">
        <is>
          <t>MIERCOLES</t>
        </is>
      </c>
      <c r="D807" t="n">
        <v>5</v>
      </c>
      <c r="E807" t="n">
        <v>3</v>
      </c>
      <c r="F807" t="n">
        <v>1</v>
      </c>
      <c r="G807" t="inlineStr">
        <is>
          <t>10:10</t>
        </is>
      </c>
      <c r="H807" t="inlineStr">
        <is>
          <t>10:55</t>
        </is>
      </c>
      <c r="I807" t="inlineStr">
        <is>
          <t>CLASE</t>
        </is>
      </c>
      <c r="J807" t="inlineStr">
        <is>
          <t>0602</t>
        </is>
      </c>
      <c r="K807" t="inlineStr">
        <is>
          <t>CSI</t>
        </is>
      </c>
      <c r="L807" t="inlineStr"/>
      <c r="M807" t="inlineStr"/>
      <c r="N807" t="inlineStr"/>
      <c r="O807" t="inlineStr">
        <is>
          <t>Sociales / Inglés (alternan cada semana)</t>
        </is>
      </c>
      <c r="P807" t="inlineStr">
        <is>
          <t>0602-CSI</t>
        </is>
      </c>
      <c r="Q807">
        <f>IF(I807="ENFASIS","ÉNFASIS "&amp;M807,IFERROR(VLOOKUP(J807,Grupos!$A$2:$D$100,4,FALSE),J807))</f>
        <v/>
      </c>
      <c r="R807">
        <f>O807&amp;IF(N807&lt;&gt;"",IF(O807&lt;&gt;""," · ","")&amp;"Con: "&amp;N807,"")</f>
        <v/>
      </c>
      <c r="S807">
        <f>C807&amp;"|"&amp;D807</f>
        <v/>
      </c>
      <c r="T807">
        <f>COUNTIF($S$2:S807,S807)</f>
        <v/>
      </c>
      <c r="U807">
        <f>S807&amp;"|"&amp;T807</f>
        <v/>
      </c>
      <c r="V807">
        <f>IFERROR(VLOOKUP(IF(I807="ENFASIS",LEFT(M807,FIND("+",M807&amp;"+")-1),J807),Direccion_Grupo!$A$2:$G$100,7,FALSE),"")</f>
        <v/>
      </c>
    </row>
    <row r="808">
      <c r="A808" t="n">
        <v>8</v>
      </c>
      <c r="B808" t="inlineStr">
        <is>
          <t>Casanova Quiñones Yoli del Carmen</t>
        </is>
      </c>
      <c r="C808" t="inlineStr">
        <is>
          <t>MIERCOLES</t>
        </is>
      </c>
      <c r="D808" t="n">
        <v>5</v>
      </c>
      <c r="E808" t="n">
        <v>3</v>
      </c>
      <c r="F808" t="n">
        <v>1</v>
      </c>
      <c r="G808" t="inlineStr">
        <is>
          <t>10:10</t>
        </is>
      </c>
      <c r="H808" t="inlineStr">
        <is>
          <t>10:55</t>
        </is>
      </c>
      <c r="I808" t="inlineStr">
        <is>
          <t>CLASE</t>
        </is>
      </c>
      <c r="J808" t="inlineStr">
        <is>
          <t>0701</t>
        </is>
      </c>
      <c r="K808" t="inlineStr">
        <is>
          <t>ETR</t>
        </is>
      </c>
      <c r="L808" t="inlineStr"/>
      <c r="M808" t="inlineStr"/>
      <c r="N808" t="inlineStr"/>
      <c r="O808" t="inlineStr">
        <is>
          <t>Ética / Religión (alternan cada semana)</t>
        </is>
      </c>
      <c r="P808" t="inlineStr">
        <is>
          <t>0701-ETR</t>
        </is>
      </c>
      <c r="Q808">
        <f>IF(I808="ENFASIS","ÉNFASIS "&amp;M808,IFERROR(VLOOKUP(J808,Grupos!$A$2:$D$100,4,FALSE),J808))</f>
        <v/>
      </c>
      <c r="R808">
        <f>O808&amp;IF(N808&lt;&gt;"",IF(O808&lt;&gt;""," · ","")&amp;"Con: "&amp;N808,"")</f>
        <v/>
      </c>
      <c r="S808">
        <f>C808&amp;"|"&amp;D808</f>
        <v/>
      </c>
      <c r="T808">
        <f>COUNTIF($S$2:S808,S808)</f>
        <v/>
      </c>
      <c r="U808">
        <f>S808&amp;"|"&amp;T808</f>
        <v/>
      </c>
      <c r="V808">
        <f>IFERROR(VLOOKUP(IF(I808="ENFASIS",LEFT(M808,FIND("+",M808&amp;"+")-1),J808),Direccion_Grupo!$A$2:$G$100,7,FALSE),"")</f>
        <v/>
      </c>
    </row>
    <row r="809">
      <c r="A809" t="n">
        <v>10</v>
      </c>
      <c r="B809" t="inlineStr">
        <is>
          <t>Castillo Cuero Daira Eneida</t>
        </is>
      </c>
      <c r="C809" t="inlineStr">
        <is>
          <t>MIERCOLES</t>
        </is>
      </c>
      <c r="D809" t="n">
        <v>5</v>
      </c>
      <c r="E809" t="n">
        <v>3</v>
      </c>
      <c r="F809" t="n">
        <v>1</v>
      </c>
      <c r="G809" t="inlineStr">
        <is>
          <t>10:10</t>
        </is>
      </c>
      <c r="H809" t="inlineStr">
        <is>
          <t>10:55</t>
        </is>
      </c>
      <c r="I809" t="inlineStr">
        <is>
          <t>CLASE</t>
        </is>
      </c>
      <c r="J809" t="inlineStr">
        <is>
          <t>0702</t>
        </is>
      </c>
      <c r="K809" t="inlineStr">
        <is>
          <t>CAS</t>
        </is>
      </c>
      <c r="L809" t="inlineStr"/>
      <c r="M809" t="inlineStr"/>
      <c r="N809" t="inlineStr"/>
      <c r="O809" t="inlineStr"/>
      <c r="P809" t="inlineStr">
        <is>
          <t>0702-CAS</t>
        </is>
      </c>
      <c r="Q809">
        <f>IF(I809="ENFASIS","ÉNFASIS "&amp;M809,IFERROR(VLOOKUP(J809,Grupos!$A$2:$D$100,4,FALSE),J809))</f>
        <v/>
      </c>
      <c r="R809">
        <f>O809&amp;IF(N809&lt;&gt;"",IF(O809&lt;&gt;""," · ","")&amp;"Con: "&amp;N809,"")</f>
        <v/>
      </c>
      <c r="S809">
        <f>C809&amp;"|"&amp;D809</f>
        <v/>
      </c>
      <c r="T809">
        <f>COUNTIF($S$2:S809,S809)</f>
        <v/>
      </c>
      <c r="U809">
        <f>S809&amp;"|"&amp;T809</f>
        <v/>
      </c>
      <c r="V809">
        <f>IFERROR(VLOOKUP(IF(I809="ENFASIS",LEFT(M809,FIND("+",M809&amp;"+")-1),J809),Direccion_Grupo!$A$2:$G$100,7,FALSE),"")</f>
        <v/>
      </c>
    </row>
    <row r="810">
      <c r="A810" t="n">
        <v>4</v>
      </c>
      <c r="B810" t="inlineStr">
        <is>
          <t>Arizala Castro Roberto Carlos</t>
        </is>
      </c>
      <c r="C810" t="inlineStr">
        <is>
          <t>MIERCOLES</t>
        </is>
      </c>
      <c r="D810" t="n">
        <v>5</v>
      </c>
      <c r="E810" t="n">
        <v>3</v>
      </c>
      <c r="F810" t="n">
        <v>1</v>
      </c>
      <c r="G810" t="inlineStr">
        <is>
          <t>10:10</t>
        </is>
      </c>
      <c r="H810" t="inlineStr">
        <is>
          <t>10:55</t>
        </is>
      </c>
      <c r="I810" t="inlineStr">
        <is>
          <t>CLASE</t>
        </is>
      </c>
      <c r="J810" t="inlineStr">
        <is>
          <t>0703</t>
        </is>
      </c>
      <c r="K810" t="inlineStr">
        <is>
          <t>ERD</t>
        </is>
      </c>
      <c r="L810" t="inlineStr"/>
      <c r="M810" t="inlineStr"/>
      <c r="N810" t="inlineStr"/>
      <c r="O810" t="inlineStr"/>
      <c r="P810" t="inlineStr">
        <is>
          <t>0703-ERD</t>
        </is>
      </c>
      <c r="Q810">
        <f>IF(I810="ENFASIS","ÉNFASIS "&amp;M810,IFERROR(VLOOKUP(J810,Grupos!$A$2:$D$100,4,FALSE),J810))</f>
        <v/>
      </c>
      <c r="R810">
        <f>O810&amp;IF(N810&lt;&gt;"",IF(O810&lt;&gt;""," · ","")&amp;"Con: "&amp;N810,"")</f>
        <v/>
      </c>
      <c r="S810">
        <f>C810&amp;"|"&amp;D810</f>
        <v/>
      </c>
      <c r="T810">
        <f>COUNTIF($S$2:S810,S810)</f>
        <v/>
      </c>
      <c r="U810">
        <f>S810&amp;"|"&amp;T810</f>
        <v/>
      </c>
      <c r="V810">
        <f>IFERROR(VLOOKUP(IF(I810="ENFASIS",LEFT(M810,FIND("+",M810&amp;"+")-1),J810),Direccion_Grupo!$A$2:$G$100,7,FALSE),"")</f>
        <v/>
      </c>
    </row>
    <row r="811">
      <c r="A811" t="n">
        <v>44</v>
      </c>
      <c r="B811" t="inlineStr">
        <is>
          <t>Samaniego Angulo Flor Mireya</t>
        </is>
      </c>
      <c r="C811" t="inlineStr">
        <is>
          <t>MIERCOLES</t>
        </is>
      </c>
      <c r="D811" t="n">
        <v>5</v>
      </c>
      <c r="E811" t="n">
        <v>3</v>
      </c>
      <c r="F811" t="n">
        <v>1</v>
      </c>
      <c r="G811" t="inlineStr">
        <is>
          <t>10:10</t>
        </is>
      </c>
      <c r="H811" t="inlineStr">
        <is>
          <t>10:55</t>
        </is>
      </c>
      <c r="I811" t="inlineStr">
        <is>
          <t>CLASE</t>
        </is>
      </c>
      <c r="J811" t="inlineStr">
        <is>
          <t>0801</t>
        </is>
      </c>
      <c r="K811" t="inlineStr">
        <is>
          <t>ART</t>
        </is>
      </c>
      <c r="L811" t="inlineStr"/>
      <c r="M811" t="inlineStr"/>
      <c r="N811" t="inlineStr"/>
      <c r="O811" t="inlineStr"/>
      <c r="P811" t="inlineStr">
        <is>
          <t>0801-ART</t>
        </is>
      </c>
      <c r="Q811">
        <f>IF(I811="ENFASIS","ÉNFASIS "&amp;M811,IFERROR(VLOOKUP(J811,Grupos!$A$2:$D$100,4,FALSE),J811))</f>
        <v/>
      </c>
      <c r="R811">
        <f>O811&amp;IF(N811&lt;&gt;"",IF(O811&lt;&gt;""," · ","")&amp;"Con: "&amp;N811,"")</f>
        <v/>
      </c>
      <c r="S811">
        <f>C811&amp;"|"&amp;D811</f>
        <v/>
      </c>
      <c r="T811">
        <f>COUNTIF($S$2:S811,S811)</f>
        <v/>
      </c>
      <c r="U811">
        <f>S811&amp;"|"&amp;T811</f>
        <v/>
      </c>
      <c r="V811">
        <f>IFERROR(VLOOKUP(IF(I811="ENFASIS",LEFT(M811,FIND("+",M811&amp;"+")-1),J811),Direccion_Grupo!$A$2:$G$100,7,FALSE),"")</f>
        <v/>
      </c>
    </row>
    <row r="812">
      <c r="A812" t="n">
        <v>25</v>
      </c>
      <c r="B812" t="inlineStr">
        <is>
          <t>Lemos Guancha Miriam</t>
        </is>
      </c>
      <c r="C812" t="inlineStr">
        <is>
          <t>MIERCOLES</t>
        </is>
      </c>
      <c r="D812" t="n">
        <v>5</v>
      </c>
      <c r="E812" t="n">
        <v>3</v>
      </c>
      <c r="F812" t="n">
        <v>1</v>
      </c>
      <c r="G812" t="inlineStr">
        <is>
          <t>10:10</t>
        </is>
      </c>
      <c r="H812" t="inlineStr">
        <is>
          <t>10:55</t>
        </is>
      </c>
      <c r="I812" t="inlineStr">
        <is>
          <t>CLASE</t>
        </is>
      </c>
      <c r="J812" t="inlineStr">
        <is>
          <t>0901</t>
        </is>
      </c>
      <c r="K812" t="inlineStr">
        <is>
          <t>CNA</t>
        </is>
      </c>
      <c r="L812" t="inlineStr"/>
      <c r="M812" t="inlineStr"/>
      <c r="N812" t="inlineStr"/>
      <c r="O812" t="inlineStr"/>
      <c r="P812" t="inlineStr">
        <is>
          <t>0901-CNA</t>
        </is>
      </c>
      <c r="Q812">
        <f>IF(I812="ENFASIS","ÉNFASIS "&amp;M812,IFERROR(VLOOKUP(J812,Grupos!$A$2:$D$100,4,FALSE),J812))</f>
        <v/>
      </c>
      <c r="R812">
        <f>O812&amp;IF(N812&lt;&gt;"",IF(O812&lt;&gt;""," · ","")&amp;"Con: "&amp;N812,"")</f>
        <v/>
      </c>
      <c r="S812">
        <f>C812&amp;"|"&amp;D812</f>
        <v/>
      </c>
      <c r="T812">
        <f>COUNTIF($S$2:S812,S812)</f>
        <v/>
      </c>
      <c r="U812">
        <f>S812&amp;"|"&amp;T812</f>
        <v/>
      </c>
      <c r="V812">
        <f>IFERROR(VLOOKUP(IF(I812="ENFASIS",LEFT(M812,FIND("+",M812&amp;"+")-1),J812),Direccion_Grupo!$A$2:$G$100,7,FALSE),"")</f>
        <v/>
      </c>
    </row>
    <row r="813">
      <c r="A813" t="n">
        <v>49</v>
      </c>
      <c r="B813" t="inlineStr">
        <is>
          <t>Valencia Marínez Saidy Eufemia</t>
        </is>
      </c>
      <c r="C813" t="inlineStr">
        <is>
          <t>MIERCOLES</t>
        </is>
      </c>
      <c r="D813" t="n">
        <v>5</v>
      </c>
      <c r="E813" t="n">
        <v>3</v>
      </c>
      <c r="F813" t="n">
        <v>1</v>
      </c>
      <c r="G813" t="inlineStr">
        <is>
          <t>10:10</t>
        </is>
      </c>
      <c r="H813" t="inlineStr">
        <is>
          <t>10:55</t>
        </is>
      </c>
      <c r="I813" t="inlineStr">
        <is>
          <t>CLASE</t>
        </is>
      </c>
      <c r="J813" t="inlineStr">
        <is>
          <t>0902</t>
        </is>
      </c>
      <c r="K813" t="inlineStr">
        <is>
          <t>ART</t>
        </is>
      </c>
      <c r="L813" t="inlineStr"/>
      <c r="M813" t="inlineStr"/>
      <c r="N813" t="inlineStr"/>
      <c r="O813" t="inlineStr"/>
      <c r="P813" t="inlineStr">
        <is>
          <t>0902-ART</t>
        </is>
      </c>
      <c r="Q813">
        <f>IF(I813="ENFASIS","ÉNFASIS "&amp;M813,IFERROR(VLOOKUP(J813,Grupos!$A$2:$D$100,4,FALSE),J813))</f>
        <v/>
      </c>
      <c r="R813">
        <f>O813&amp;IF(N813&lt;&gt;"",IF(O813&lt;&gt;""," · ","")&amp;"Con: "&amp;N813,"")</f>
        <v/>
      </c>
      <c r="S813">
        <f>C813&amp;"|"&amp;D813</f>
        <v/>
      </c>
      <c r="T813">
        <f>COUNTIF($S$2:S813,S813)</f>
        <v/>
      </c>
      <c r="U813">
        <f>S813&amp;"|"&amp;T813</f>
        <v/>
      </c>
      <c r="V813">
        <f>IFERROR(VLOOKUP(IF(I813="ENFASIS",LEFT(M813,FIND("+",M813&amp;"+")-1),J813),Direccion_Grupo!$A$2:$G$100,7,FALSE),"")</f>
        <v/>
      </c>
    </row>
    <row r="814">
      <c r="A814" t="n">
        <v>5</v>
      </c>
      <c r="B814" t="inlineStr">
        <is>
          <t>Bastidas Valencia Zeneida Judith</t>
        </is>
      </c>
      <c r="C814" t="inlineStr">
        <is>
          <t>MIERCOLES</t>
        </is>
      </c>
      <c r="D814" t="n">
        <v>5</v>
      </c>
      <c r="E814" t="n">
        <v>3</v>
      </c>
      <c r="F814" t="n">
        <v>1</v>
      </c>
      <c r="G814" t="inlineStr">
        <is>
          <t>10:10</t>
        </is>
      </c>
      <c r="H814" t="inlineStr">
        <is>
          <t>10:55</t>
        </is>
      </c>
      <c r="I814" t="inlineStr">
        <is>
          <t>CLASE</t>
        </is>
      </c>
      <c r="J814" t="inlineStr">
        <is>
          <t>1001</t>
        </is>
      </c>
      <c r="K814" t="inlineStr">
        <is>
          <t>MAT</t>
        </is>
      </c>
      <c r="L814" t="inlineStr"/>
      <c r="M814" t="inlineStr"/>
      <c r="N814" t="inlineStr"/>
      <c r="O814" t="inlineStr"/>
      <c r="P814" t="inlineStr">
        <is>
          <t>1001-MAT</t>
        </is>
      </c>
      <c r="Q814">
        <f>IF(I814="ENFASIS","ÉNFASIS "&amp;M814,IFERROR(VLOOKUP(J814,Grupos!$A$2:$D$100,4,FALSE),J814))</f>
        <v/>
      </c>
      <c r="R814">
        <f>O814&amp;IF(N814&lt;&gt;"",IF(O814&lt;&gt;""," · ","")&amp;"Con: "&amp;N814,"")</f>
        <v/>
      </c>
      <c r="S814">
        <f>C814&amp;"|"&amp;D814</f>
        <v/>
      </c>
      <c r="T814">
        <f>COUNTIF($S$2:S814,S814)</f>
        <v/>
      </c>
      <c r="U814">
        <f>S814&amp;"|"&amp;T814</f>
        <v/>
      </c>
      <c r="V814">
        <f>IFERROR(VLOOKUP(IF(I814="ENFASIS",LEFT(M814,FIND("+",M814&amp;"+")-1),J814),Direccion_Grupo!$A$2:$G$100,7,FALSE),"")</f>
        <v/>
      </c>
    </row>
    <row r="815">
      <c r="A815" t="n">
        <v>54</v>
      </c>
      <c r="B815" t="inlineStr">
        <is>
          <t>Villota Rubio Janeth del Carmen</t>
        </is>
      </c>
      <c r="C815" t="inlineStr">
        <is>
          <t>MIERCOLES</t>
        </is>
      </c>
      <c r="D815" t="n">
        <v>5</v>
      </c>
      <c r="E815" t="n">
        <v>3</v>
      </c>
      <c r="F815" t="n">
        <v>1</v>
      </c>
      <c r="G815" t="inlineStr">
        <is>
          <t>10:10</t>
        </is>
      </c>
      <c r="H815" t="inlineStr">
        <is>
          <t>10:55</t>
        </is>
      </c>
      <c r="I815" t="inlineStr">
        <is>
          <t>CLASE</t>
        </is>
      </c>
      <c r="J815" t="inlineStr">
        <is>
          <t>1002</t>
        </is>
      </c>
      <c r="K815" t="inlineStr">
        <is>
          <t>MAT</t>
        </is>
      </c>
      <c r="L815" t="inlineStr"/>
      <c r="M815" t="inlineStr"/>
      <c r="N815" t="inlineStr"/>
      <c r="O815" t="inlineStr"/>
      <c r="P815" t="inlineStr">
        <is>
          <t>1002-MAT</t>
        </is>
      </c>
      <c r="Q815">
        <f>IF(I815="ENFASIS","ÉNFASIS "&amp;M815,IFERROR(VLOOKUP(J815,Grupos!$A$2:$D$100,4,FALSE),J815))</f>
        <v/>
      </c>
      <c r="R815">
        <f>O815&amp;IF(N815&lt;&gt;"",IF(O815&lt;&gt;""," · ","")&amp;"Con: "&amp;N815,"")</f>
        <v/>
      </c>
      <c r="S815">
        <f>C815&amp;"|"&amp;D815</f>
        <v/>
      </c>
      <c r="T815">
        <f>COUNTIF($S$2:S815,S815)</f>
        <v/>
      </c>
      <c r="U815">
        <f>S815&amp;"|"&amp;T815</f>
        <v/>
      </c>
      <c r="V815">
        <f>IFERROR(VLOOKUP(IF(I815="ENFASIS",LEFT(M815,FIND("+",M815&amp;"+")-1),J815),Direccion_Grupo!$A$2:$G$100,7,FALSE),"")</f>
        <v/>
      </c>
    </row>
    <row r="816">
      <c r="A816" t="n">
        <v>2</v>
      </c>
      <c r="B816" t="inlineStr">
        <is>
          <t>Angulo Lucero Andrés Mauricio</t>
        </is>
      </c>
      <c r="C816" t="inlineStr">
        <is>
          <t>MIERCOLES</t>
        </is>
      </c>
      <c r="D816" t="n">
        <v>5</v>
      </c>
      <c r="E816" t="n">
        <v>3</v>
      </c>
      <c r="F816" t="n">
        <v>1</v>
      </c>
      <c r="G816" t="inlineStr">
        <is>
          <t>10:10</t>
        </is>
      </c>
      <c r="H816" t="inlineStr">
        <is>
          <t>10:55</t>
        </is>
      </c>
      <c r="I816" t="inlineStr">
        <is>
          <t>CLASE</t>
        </is>
      </c>
      <c r="J816" t="inlineStr">
        <is>
          <t>1102</t>
        </is>
      </c>
      <c r="K816" t="inlineStr">
        <is>
          <t>TEI</t>
        </is>
      </c>
      <c r="L816" t="inlineStr"/>
      <c r="M816" t="inlineStr"/>
      <c r="N816" t="inlineStr"/>
      <c r="O816" t="inlineStr"/>
      <c r="P816" t="inlineStr">
        <is>
          <t>1102-TEI</t>
        </is>
      </c>
      <c r="Q816">
        <f>IF(I816="ENFASIS","ÉNFASIS "&amp;M816,IFERROR(VLOOKUP(J816,Grupos!$A$2:$D$100,4,FALSE),J816))</f>
        <v/>
      </c>
      <c r="R816">
        <f>O816&amp;IF(N816&lt;&gt;"",IF(O816&lt;&gt;""," · ","")&amp;"Con: "&amp;N816,"")</f>
        <v/>
      </c>
      <c r="S816">
        <f>C816&amp;"|"&amp;D816</f>
        <v/>
      </c>
      <c r="T816">
        <f>COUNTIF($S$2:S816,S816)</f>
        <v/>
      </c>
      <c r="U816">
        <f>S816&amp;"|"&amp;T816</f>
        <v/>
      </c>
      <c r="V816">
        <f>IFERROR(VLOOKUP(IF(I816="ENFASIS",LEFT(M816,FIND("+",M816&amp;"+")-1),J816),Direccion_Grupo!$A$2:$G$100,7,FALSE),"")</f>
        <v/>
      </c>
    </row>
    <row r="817">
      <c r="A817" t="n">
        <v>57</v>
      </c>
      <c r="B817" t="inlineStr">
        <is>
          <t>Armero Dájome Jesús</t>
        </is>
      </c>
      <c r="C817" t="inlineStr">
        <is>
          <t>MIERCOLES</t>
        </is>
      </c>
      <c r="D817" t="n">
        <v>5</v>
      </c>
      <c r="E817" t="n">
        <v>3</v>
      </c>
      <c r="F817" t="n">
        <v>1</v>
      </c>
      <c r="G817" t="inlineStr">
        <is>
          <t>10:10</t>
        </is>
      </c>
      <c r="H817" t="inlineStr">
        <is>
          <t>10:55</t>
        </is>
      </c>
      <c r="I817" t="inlineStr">
        <is>
          <t>CLASE</t>
        </is>
      </c>
      <c r="J817" t="inlineStr">
        <is>
          <t>CS101</t>
        </is>
      </c>
      <c r="K817" t="inlineStr">
        <is>
          <t>ERD</t>
        </is>
      </c>
      <c r="L817" t="inlineStr"/>
      <c r="M817" t="inlineStr"/>
      <c r="N817" t="inlineStr"/>
      <c r="O817" t="inlineStr"/>
      <c r="P817" t="inlineStr">
        <is>
          <t>CS101-ERD</t>
        </is>
      </c>
      <c r="Q817">
        <f>IF(I817="ENFASIS","ÉNFASIS "&amp;M817,IFERROR(VLOOKUP(J817,Grupos!$A$2:$D$100,4,FALSE),J817))</f>
        <v/>
      </c>
      <c r="R817">
        <f>O817&amp;IF(N817&lt;&gt;"",IF(O817&lt;&gt;""," · ","")&amp;"Con: "&amp;N817,"")</f>
        <v/>
      </c>
      <c r="S817">
        <f>C817&amp;"|"&amp;D817</f>
        <v/>
      </c>
      <c r="T817">
        <f>COUNTIF($S$2:S817,S817)</f>
        <v/>
      </c>
      <c r="U817">
        <f>S817&amp;"|"&amp;T817</f>
        <v/>
      </c>
      <c r="V817">
        <f>IFERROR(VLOOKUP(IF(I817="ENFASIS",LEFT(M817,FIND("+",M817&amp;"+")-1),J817),Direccion_Grupo!$A$2:$G$100,7,FALSE),"")</f>
        <v/>
      </c>
    </row>
    <row r="818">
      <c r="A818" t="n">
        <v>37</v>
      </c>
      <c r="B818" t="inlineStr">
        <is>
          <t>Prado Quiñones Genís Maribel</t>
        </is>
      </c>
      <c r="C818" t="inlineStr">
        <is>
          <t>MIERCOLES</t>
        </is>
      </c>
      <c r="D818" t="n">
        <v>5</v>
      </c>
      <c r="E818" t="n">
        <v>3</v>
      </c>
      <c r="F818" t="n">
        <v>1</v>
      </c>
      <c r="G818" t="inlineStr">
        <is>
          <t>10:10</t>
        </is>
      </c>
      <c r="H818" t="inlineStr">
        <is>
          <t>10:55</t>
        </is>
      </c>
      <c r="I818" t="inlineStr">
        <is>
          <t>CLASE</t>
        </is>
      </c>
      <c r="J818" t="inlineStr">
        <is>
          <t>CS102</t>
        </is>
      </c>
      <c r="K818" t="inlineStr">
        <is>
          <t>ART</t>
        </is>
      </c>
      <c r="L818" t="inlineStr"/>
      <c r="M818" t="inlineStr"/>
      <c r="N818" t="inlineStr"/>
      <c r="O818" t="inlineStr"/>
      <c r="P818" t="inlineStr">
        <is>
          <t>CS102-ART</t>
        </is>
      </c>
      <c r="Q818">
        <f>IF(I818="ENFASIS","ÉNFASIS "&amp;M818,IFERROR(VLOOKUP(J818,Grupos!$A$2:$D$100,4,FALSE),J818))</f>
        <v/>
      </c>
      <c r="R818">
        <f>O818&amp;IF(N818&lt;&gt;"",IF(O818&lt;&gt;""," · ","")&amp;"Con: "&amp;N818,"")</f>
        <v/>
      </c>
      <c r="S818">
        <f>C818&amp;"|"&amp;D818</f>
        <v/>
      </c>
      <c r="T818">
        <f>COUNTIF($S$2:S818,S818)</f>
        <v/>
      </c>
      <c r="U818">
        <f>S818&amp;"|"&amp;T818</f>
        <v/>
      </c>
      <c r="V818">
        <f>IFERROR(VLOOKUP(IF(I818="ENFASIS",LEFT(M818,FIND("+",M818&amp;"+")-1),J818),Direccion_Grupo!$A$2:$G$100,7,FALSE),"")</f>
        <v/>
      </c>
    </row>
    <row r="819">
      <c r="A819" t="n">
        <v>51</v>
      </c>
      <c r="B819" t="inlineStr">
        <is>
          <t>Valverde Montaño María Teresa</t>
        </is>
      </c>
      <c r="C819" t="inlineStr">
        <is>
          <t>MIERCOLES</t>
        </is>
      </c>
      <c r="D819" t="n">
        <v>5</v>
      </c>
      <c r="E819" t="n">
        <v>3</v>
      </c>
      <c r="F819" t="n">
        <v>1</v>
      </c>
      <c r="G819" t="inlineStr">
        <is>
          <t>10:10</t>
        </is>
      </c>
      <c r="H819" t="inlineStr">
        <is>
          <t>10:55</t>
        </is>
      </c>
      <c r="I819" t="inlineStr">
        <is>
          <t>CLASE</t>
        </is>
      </c>
      <c r="J819" t="inlineStr">
        <is>
          <t>CS201</t>
        </is>
      </c>
      <c r="K819" t="inlineStr">
        <is>
          <t>CAS</t>
        </is>
      </c>
      <c r="L819" t="inlineStr"/>
      <c r="M819" t="inlineStr"/>
      <c r="N819" t="inlineStr"/>
      <c r="O819" t="inlineStr"/>
      <c r="P819" t="inlineStr">
        <is>
          <t>CS201-CAS</t>
        </is>
      </c>
      <c r="Q819">
        <f>IF(I819="ENFASIS","ÉNFASIS "&amp;M819,IFERROR(VLOOKUP(J819,Grupos!$A$2:$D$100,4,FALSE),J819))</f>
        <v/>
      </c>
      <c r="R819">
        <f>O819&amp;IF(N819&lt;&gt;"",IF(O819&lt;&gt;""," · ","")&amp;"Con: "&amp;N819,"")</f>
        <v/>
      </c>
      <c r="S819">
        <f>C819&amp;"|"&amp;D819</f>
        <v/>
      </c>
      <c r="T819">
        <f>COUNTIF($S$2:S819,S819)</f>
        <v/>
      </c>
      <c r="U819">
        <f>S819&amp;"|"&amp;T819</f>
        <v/>
      </c>
      <c r="V819">
        <f>IFERROR(VLOOKUP(IF(I819="ENFASIS",LEFT(M819,FIND("+",M819&amp;"+")-1),J819),Direccion_Grupo!$A$2:$G$100,7,FALSE),"")</f>
        <v/>
      </c>
    </row>
    <row r="820">
      <c r="A820" t="n">
        <v>12</v>
      </c>
      <c r="B820" t="inlineStr">
        <is>
          <t>Chillambo Quiñones María Rocío</t>
        </is>
      </c>
      <c r="C820" t="inlineStr">
        <is>
          <t>MIERCOLES</t>
        </is>
      </c>
      <c r="D820" t="n">
        <v>5</v>
      </c>
      <c r="E820" t="n">
        <v>3</v>
      </c>
      <c r="F820" t="n">
        <v>1</v>
      </c>
      <c r="G820" t="inlineStr">
        <is>
          <t>10:10</t>
        </is>
      </c>
      <c r="H820" t="inlineStr">
        <is>
          <t>10:55</t>
        </is>
      </c>
      <c r="I820" t="inlineStr">
        <is>
          <t>CLASE</t>
        </is>
      </c>
      <c r="J820" t="inlineStr">
        <is>
          <t>CS202</t>
        </is>
      </c>
      <c r="K820" t="inlineStr">
        <is>
          <t>CNA</t>
        </is>
      </c>
      <c r="L820" t="inlineStr"/>
      <c r="M820" t="inlineStr"/>
      <c r="N820" t="inlineStr"/>
      <c r="O820" t="inlineStr"/>
      <c r="P820" t="inlineStr">
        <is>
          <t>CS202-CNA</t>
        </is>
      </c>
      <c r="Q820">
        <f>IF(I820="ENFASIS","ÉNFASIS "&amp;M820,IFERROR(VLOOKUP(J820,Grupos!$A$2:$D$100,4,FALSE),J820))</f>
        <v/>
      </c>
      <c r="R820">
        <f>O820&amp;IF(N820&lt;&gt;"",IF(O820&lt;&gt;""," · ","")&amp;"Con: "&amp;N820,"")</f>
        <v/>
      </c>
      <c r="S820">
        <f>C820&amp;"|"&amp;D820</f>
        <v/>
      </c>
      <c r="T820">
        <f>COUNTIF($S$2:S820,S820)</f>
        <v/>
      </c>
      <c r="U820">
        <f>S820&amp;"|"&amp;T820</f>
        <v/>
      </c>
      <c r="V820">
        <f>IFERROR(VLOOKUP(IF(I820="ENFASIS",LEFT(M820,FIND("+",M820&amp;"+")-1),J820),Direccion_Grupo!$A$2:$G$100,7,FALSE),"")</f>
        <v/>
      </c>
    </row>
    <row r="821">
      <c r="A821" t="n">
        <v>7</v>
      </c>
      <c r="B821" t="inlineStr">
        <is>
          <t>Casanova Casanova Johana Andrea</t>
        </is>
      </c>
      <c r="C821" t="inlineStr">
        <is>
          <t>MIERCOLES</t>
        </is>
      </c>
      <c r="D821" t="n">
        <v>5</v>
      </c>
      <c r="E821" t="n">
        <v>3</v>
      </c>
      <c r="F821" t="n">
        <v>1</v>
      </c>
      <c r="G821" t="inlineStr">
        <is>
          <t>10:10</t>
        </is>
      </c>
      <c r="H821" t="inlineStr">
        <is>
          <t>10:55</t>
        </is>
      </c>
      <c r="I821" t="inlineStr">
        <is>
          <t>ORIENTACION</t>
        </is>
      </c>
      <c r="J821" t="inlineStr">
        <is>
          <t>ORIENT</t>
        </is>
      </c>
      <c r="K821" t="inlineStr">
        <is>
          <t>ORIENTACIÓN ESCOLAR</t>
        </is>
      </c>
      <c r="L821" t="inlineStr"/>
      <c r="M821" t="inlineStr"/>
      <c r="N821" t="inlineStr"/>
      <c r="O821" t="inlineStr">
        <is>
          <t>Jornada 07:30 a 14:30</t>
        </is>
      </c>
      <c r="P821" t="inlineStr"/>
      <c r="Q821">
        <f>IF(I821="ENFASIS","ÉNFASIS "&amp;M821,IFERROR(VLOOKUP(J821,Grupos!$A$2:$D$100,4,FALSE),J821))</f>
        <v/>
      </c>
      <c r="R821">
        <f>O821&amp;IF(N821&lt;&gt;"",IF(O821&lt;&gt;""," · ","")&amp;"Con: "&amp;N821,"")</f>
        <v/>
      </c>
      <c r="S821">
        <f>C821&amp;"|"&amp;D821</f>
        <v/>
      </c>
      <c r="T821">
        <f>COUNTIF($S$2:S821,S821)</f>
        <v/>
      </c>
      <c r="U821">
        <f>S821&amp;"|"&amp;T821</f>
        <v/>
      </c>
      <c r="V821">
        <f>IFERROR(VLOOKUP(IF(I821="ENFASIS",LEFT(M821,FIND("+",M821&amp;"+")-1),J821),Direccion_Grupo!$A$2:$G$100,7,FALSE),"")</f>
        <v/>
      </c>
    </row>
    <row r="822">
      <c r="A822" t="n">
        <v>36</v>
      </c>
      <c r="B822" t="inlineStr">
        <is>
          <t>Ponce Moncayo Ángela Paola</t>
        </is>
      </c>
      <c r="C822" t="inlineStr">
        <is>
          <t>MIERCOLES</t>
        </is>
      </c>
      <c r="D822" t="n">
        <v>5</v>
      </c>
      <c r="E822" t="n">
        <v>3</v>
      </c>
      <c r="F822" t="n">
        <v>1</v>
      </c>
      <c r="G822" t="inlineStr">
        <is>
          <t>10:10</t>
        </is>
      </c>
      <c r="H822" t="inlineStr">
        <is>
          <t>10:55</t>
        </is>
      </c>
      <c r="I822" t="inlineStr">
        <is>
          <t>ORIENTACION</t>
        </is>
      </c>
      <c r="J822" t="inlineStr">
        <is>
          <t>ORIENT</t>
        </is>
      </c>
      <c r="K822" t="inlineStr">
        <is>
          <t>ORIENTACIÓN ESCOLAR</t>
        </is>
      </c>
      <c r="L822" t="inlineStr"/>
      <c r="M822" t="inlineStr"/>
      <c r="N822" t="inlineStr"/>
      <c r="O822" t="inlineStr">
        <is>
          <t>Jornada 08:30 a 13:30</t>
        </is>
      </c>
      <c r="P822" t="inlineStr"/>
      <c r="Q822">
        <f>IF(I822="ENFASIS","ÉNFASIS "&amp;M822,IFERROR(VLOOKUP(J822,Grupos!$A$2:$D$100,4,FALSE),J822))</f>
        <v/>
      </c>
      <c r="R822">
        <f>O822&amp;IF(N822&lt;&gt;"",IF(O822&lt;&gt;""," · ","")&amp;"Con: "&amp;N822,"")</f>
        <v/>
      </c>
      <c r="S822">
        <f>C822&amp;"|"&amp;D822</f>
        <v/>
      </c>
      <c r="T822">
        <f>COUNTIF($S$2:S822,S822)</f>
        <v/>
      </c>
      <c r="U822">
        <f>S822&amp;"|"&amp;T822</f>
        <v/>
      </c>
      <c r="V822">
        <f>IFERROR(VLOOKUP(IF(I822="ENFASIS",LEFT(M822,FIND("+",M822&amp;"+")-1),J822),Direccion_Grupo!$A$2:$G$100,7,FALSE),"")</f>
        <v/>
      </c>
    </row>
    <row r="823">
      <c r="A823" t="n">
        <v>56</v>
      </c>
      <c r="B823" t="inlineStr">
        <is>
          <t>Ortiz Estacio Martha Cecilia</t>
        </is>
      </c>
      <c r="C823" t="inlineStr">
        <is>
          <t>MIERCOLES</t>
        </is>
      </c>
      <c r="D823" t="n">
        <v>5</v>
      </c>
      <c r="E823" t="n">
        <v>3</v>
      </c>
      <c r="F823" t="n">
        <v>1</v>
      </c>
      <c r="G823" t="inlineStr">
        <is>
          <t>10:10</t>
        </is>
      </c>
      <c r="H823" t="inlineStr">
        <is>
          <t>10:55</t>
        </is>
      </c>
      <c r="I823" t="inlineStr">
        <is>
          <t>TUTORIA</t>
        </is>
      </c>
      <c r="J823" t="inlineStr">
        <is>
          <t>PTAFI</t>
        </is>
      </c>
      <c r="K823" t="inlineStr">
        <is>
          <t>TUTORÍA PTAFI</t>
        </is>
      </c>
      <c r="L823" t="inlineStr"/>
      <c r="M823" t="inlineStr"/>
      <c r="N823" t="inlineStr"/>
      <c r="O823" t="inlineStr">
        <is>
          <t>Jornada 06:30 a 12:00</t>
        </is>
      </c>
      <c r="P823" t="inlineStr"/>
      <c r="Q823">
        <f>IF(I823="ENFASIS","ÉNFASIS "&amp;M823,IFERROR(VLOOKUP(J823,Grupos!$A$2:$D$100,4,FALSE),J823))</f>
        <v/>
      </c>
      <c r="R823">
        <f>O823&amp;IF(N823&lt;&gt;"",IF(O823&lt;&gt;""," · ","")&amp;"Con: "&amp;N823,"")</f>
        <v/>
      </c>
      <c r="S823">
        <f>C823&amp;"|"&amp;D823</f>
        <v/>
      </c>
      <c r="T823">
        <f>COUNTIF($S$2:S823,S823)</f>
        <v/>
      </c>
      <c r="U823">
        <f>S823&amp;"|"&amp;T823</f>
        <v/>
      </c>
      <c r="V823">
        <f>IFERROR(VLOOKUP(IF(I823="ENFASIS",LEFT(M823,FIND("+",M823&amp;"+")-1),J823),Direccion_Grupo!$A$2:$G$100,7,FALSE),"")</f>
        <v/>
      </c>
    </row>
    <row r="824">
      <c r="A824" t="n">
        <v>1</v>
      </c>
      <c r="B824" t="inlineStr">
        <is>
          <t>Aguirre Riascos Jorge Andrés</t>
        </is>
      </c>
      <c r="C824" t="inlineStr">
        <is>
          <t>MIERCOLES</t>
        </is>
      </c>
      <c r="D824" t="n">
        <v>5</v>
      </c>
      <c r="E824" t="n">
        <v>3</v>
      </c>
      <c r="F824" t="n">
        <v>1</v>
      </c>
      <c r="G824" t="inlineStr">
        <is>
          <t>10:10</t>
        </is>
      </c>
      <c r="H824" t="inlineStr">
        <is>
          <t>10:55</t>
        </is>
      </c>
      <c r="I824" t="inlineStr">
        <is>
          <t>ENFASIS</t>
        </is>
      </c>
      <c r="J824" t="inlineStr"/>
      <c r="K824" t="inlineStr">
        <is>
          <t>TEI</t>
        </is>
      </c>
      <c r="L824" t="inlineStr">
        <is>
          <t>0704</t>
        </is>
      </c>
      <c r="M824" t="inlineStr">
        <is>
          <t>0704</t>
        </is>
      </c>
      <c r="N824" t="inlineStr">
        <is>
          <t>Vásquez Valencia Segundo Leoncio (MAT)</t>
        </is>
      </c>
      <c r="O824" t="inlineStr">
        <is>
          <t>PAREJA: comparten el énfasis y alternan por semana</t>
        </is>
      </c>
      <c r="P824" t="inlineStr">
        <is>
          <t>ENFASIS-0704</t>
        </is>
      </c>
      <c r="Q824">
        <f>IF(I824="ENFASIS","ÉNFASIS "&amp;M824,IFERROR(VLOOKUP(J824,Grupos!$A$2:$D$100,4,FALSE),J824))</f>
        <v/>
      </c>
      <c r="R824">
        <f>O824&amp;IF(N824&lt;&gt;"",IF(O824&lt;&gt;""," · ","")&amp;"Con: "&amp;N824,"")</f>
        <v/>
      </c>
      <c r="S824">
        <f>C824&amp;"|"&amp;D824</f>
        <v/>
      </c>
      <c r="T824">
        <f>COUNTIF($S$2:S824,S824)</f>
        <v/>
      </c>
      <c r="U824">
        <f>S824&amp;"|"&amp;T824</f>
        <v/>
      </c>
      <c r="V824">
        <f>IFERROR(VLOOKUP(IF(I824="ENFASIS",LEFT(M824,FIND("+",M824&amp;"+")-1),J824),Direccion_Grupo!$A$2:$G$100,7,FALSE),"")</f>
        <v/>
      </c>
    </row>
    <row r="825">
      <c r="A825" t="n">
        <v>52</v>
      </c>
      <c r="B825" t="inlineStr">
        <is>
          <t>Vásquez Valencia Segundo Leoncio</t>
        </is>
      </c>
      <c r="C825" t="inlineStr">
        <is>
          <t>MIERCOLES</t>
        </is>
      </c>
      <c r="D825" t="n">
        <v>5</v>
      </c>
      <c r="E825" t="n">
        <v>3</v>
      </c>
      <c r="F825" t="n">
        <v>1</v>
      </c>
      <c r="G825" t="inlineStr">
        <is>
          <t>10:10</t>
        </is>
      </c>
      <c r="H825" t="inlineStr">
        <is>
          <t>10:55</t>
        </is>
      </c>
      <c r="I825" t="inlineStr">
        <is>
          <t>ENFASIS</t>
        </is>
      </c>
      <c r="J825" t="inlineStr"/>
      <c r="K825" t="inlineStr">
        <is>
          <t>MAT</t>
        </is>
      </c>
      <c r="L825" t="inlineStr">
        <is>
          <t>0704</t>
        </is>
      </c>
      <c r="M825" t="inlineStr">
        <is>
          <t>0704</t>
        </is>
      </c>
      <c r="N825" t="inlineStr">
        <is>
          <t>Aguirre Riascos Jorge Andrés (TEI)</t>
        </is>
      </c>
      <c r="O825" t="inlineStr">
        <is>
          <t>PAREJA: comparten el énfasis y alternan por semana</t>
        </is>
      </c>
      <c r="P825" t="inlineStr">
        <is>
          <t>ENFASIS-0704</t>
        </is>
      </c>
      <c r="Q825">
        <f>IF(I825="ENFASIS","ÉNFASIS "&amp;M825,IFERROR(VLOOKUP(J825,Grupos!$A$2:$D$100,4,FALSE),J825))</f>
        <v/>
      </c>
      <c r="R825">
        <f>O825&amp;IF(N825&lt;&gt;"",IF(O825&lt;&gt;""," · ","")&amp;"Con: "&amp;N825,"")</f>
        <v/>
      </c>
      <c r="S825">
        <f>C825&amp;"|"&amp;D825</f>
        <v/>
      </c>
      <c r="T825">
        <f>COUNTIF($S$2:S825,S825)</f>
        <v/>
      </c>
      <c r="U825">
        <f>S825&amp;"|"&amp;T825</f>
        <v/>
      </c>
      <c r="V825">
        <f>IFERROR(VLOOKUP(IF(I825="ENFASIS",LEFT(M825,FIND("+",M825&amp;"+")-1),J825),Direccion_Grupo!$A$2:$G$100,7,FALSE),"")</f>
        <v/>
      </c>
    </row>
    <row r="826">
      <c r="A826" t="n">
        <v>9</v>
      </c>
      <c r="B826" t="inlineStr">
        <is>
          <t>Castillo Angulo Martha Cecilia</t>
        </is>
      </c>
      <c r="C826" t="inlineStr">
        <is>
          <t>MIERCOLES</t>
        </is>
      </c>
      <c r="D826" t="n">
        <v>5</v>
      </c>
      <c r="E826" t="n">
        <v>3</v>
      </c>
      <c r="F826" t="n">
        <v>1</v>
      </c>
      <c r="G826" t="inlineStr">
        <is>
          <t>10:10</t>
        </is>
      </c>
      <c r="H826" t="inlineStr">
        <is>
          <t>10:55</t>
        </is>
      </c>
      <c r="I826" t="inlineStr">
        <is>
          <t>ENFASIS</t>
        </is>
      </c>
      <c r="J826" t="inlineStr"/>
      <c r="K826" t="inlineStr">
        <is>
          <t>ETR</t>
        </is>
      </c>
      <c r="L826" t="inlineStr">
        <is>
          <t>0802</t>
        </is>
      </c>
      <c r="M826" t="inlineStr">
        <is>
          <t>0802</t>
        </is>
      </c>
      <c r="N826" t="inlineStr">
        <is>
          <t>Ortiz Araujo Adiela Carlota (CSI)</t>
        </is>
      </c>
      <c r="O826" t="inlineStr">
        <is>
          <t>PAREJA: comparten el énfasis y alternan por semana</t>
        </is>
      </c>
      <c r="P826" t="inlineStr">
        <is>
          <t>ENFASIS-0802</t>
        </is>
      </c>
      <c r="Q826">
        <f>IF(I826="ENFASIS","ÉNFASIS "&amp;M826,IFERROR(VLOOKUP(J826,Grupos!$A$2:$D$100,4,FALSE),J826))</f>
        <v/>
      </c>
      <c r="R826">
        <f>O826&amp;IF(N826&lt;&gt;"",IF(O826&lt;&gt;""," · ","")&amp;"Con: "&amp;N826,"")</f>
        <v/>
      </c>
      <c r="S826">
        <f>C826&amp;"|"&amp;D826</f>
        <v/>
      </c>
      <c r="T826">
        <f>COUNTIF($S$2:S826,S826)</f>
        <v/>
      </c>
      <c r="U826">
        <f>S826&amp;"|"&amp;T826</f>
        <v/>
      </c>
      <c r="V826">
        <f>IFERROR(VLOOKUP(IF(I826="ENFASIS",LEFT(M826,FIND("+",M826&amp;"+")-1),J826),Direccion_Grupo!$A$2:$G$100,7,FALSE),"")</f>
        <v/>
      </c>
    </row>
    <row r="827">
      <c r="A827" t="n">
        <v>19</v>
      </c>
      <c r="B827" t="inlineStr">
        <is>
          <t>Fernández Vélez Alfredo Enrique</t>
        </is>
      </c>
      <c r="C827" t="inlineStr">
        <is>
          <t>MIERCOLES</t>
        </is>
      </c>
      <c r="D827" t="n">
        <v>5</v>
      </c>
      <c r="E827" t="n">
        <v>3</v>
      </c>
      <c r="F827" t="n">
        <v>1</v>
      </c>
      <c r="G827" t="inlineStr">
        <is>
          <t>10:10</t>
        </is>
      </c>
      <c r="H827" t="inlineStr">
        <is>
          <t>10:55</t>
        </is>
      </c>
      <c r="I827" t="inlineStr">
        <is>
          <t>ENFASIS</t>
        </is>
      </c>
      <c r="J827" t="inlineStr"/>
      <c r="K827" t="inlineStr">
        <is>
          <t>TEI</t>
        </is>
      </c>
      <c r="L827" t="inlineStr">
        <is>
          <t>D3-8°</t>
        </is>
      </c>
      <c r="M827" t="inlineStr">
        <is>
          <t>0802</t>
        </is>
      </c>
      <c r="N827" t="inlineStr">
        <is>
          <t>Preciado Torres Oleisa (MAT)</t>
        </is>
      </c>
      <c r="O827" t="inlineStr">
        <is>
          <t>PAREJA: comparten el énfasis y alternan por semana</t>
        </is>
      </c>
      <c r="P827" t="inlineStr">
        <is>
          <t>ENFASIS-D3-8°</t>
        </is>
      </c>
      <c r="Q827">
        <f>IF(I827="ENFASIS","ÉNFASIS "&amp;M827,IFERROR(VLOOKUP(J827,Grupos!$A$2:$D$100,4,FALSE),J827))</f>
        <v/>
      </c>
      <c r="R827">
        <f>O827&amp;IF(N827&lt;&gt;"",IF(O827&lt;&gt;""," · ","")&amp;"Con: "&amp;N827,"")</f>
        <v/>
      </c>
      <c r="S827">
        <f>C827&amp;"|"&amp;D827</f>
        <v/>
      </c>
      <c r="T827">
        <f>COUNTIF($S$2:S827,S827)</f>
        <v/>
      </c>
      <c r="U827">
        <f>S827&amp;"|"&amp;T827</f>
        <v/>
      </c>
      <c r="V827">
        <f>IFERROR(VLOOKUP(IF(I827="ENFASIS",LEFT(M827,FIND("+",M827&amp;"+")-1),J827),Direccion_Grupo!$A$2:$G$100,7,FALSE),"")</f>
        <v/>
      </c>
    </row>
    <row r="828">
      <c r="A828" t="n">
        <v>35</v>
      </c>
      <c r="B828" t="inlineStr">
        <is>
          <t>Ortiz Araujo Adiela Carlota</t>
        </is>
      </c>
      <c r="C828" t="inlineStr">
        <is>
          <t>MIERCOLES</t>
        </is>
      </c>
      <c r="D828" t="n">
        <v>5</v>
      </c>
      <c r="E828" t="n">
        <v>3</v>
      </c>
      <c r="F828" t="n">
        <v>1</v>
      </c>
      <c r="G828" t="inlineStr">
        <is>
          <t>10:10</t>
        </is>
      </c>
      <c r="H828" t="inlineStr">
        <is>
          <t>10:55</t>
        </is>
      </c>
      <c r="I828" t="inlineStr">
        <is>
          <t>ENFASIS</t>
        </is>
      </c>
      <c r="J828" t="inlineStr"/>
      <c r="K828" t="inlineStr">
        <is>
          <t>CSI</t>
        </is>
      </c>
      <c r="L828" t="inlineStr">
        <is>
          <t>0802</t>
        </is>
      </c>
      <c r="M828" t="inlineStr">
        <is>
          <t>0802</t>
        </is>
      </c>
      <c r="N828" t="inlineStr">
        <is>
          <t>Castillo Angulo Martha Cecilia (ETR)</t>
        </is>
      </c>
      <c r="O828" t="inlineStr">
        <is>
          <t>PAREJA: comparten el énfasis y alternan por semana</t>
        </is>
      </c>
      <c r="P828" t="inlineStr">
        <is>
          <t>ENFASIS-0802</t>
        </is>
      </c>
      <c r="Q828">
        <f>IF(I828="ENFASIS","ÉNFASIS "&amp;M828,IFERROR(VLOOKUP(J828,Grupos!$A$2:$D$100,4,FALSE),J828))</f>
        <v/>
      </c>
      <c r="R828">
        <f>O828&amp;IF(N828&lt;&gt;"",IF(O828&lt;&gt;""," · ","")&amp;"Con: "&amp;N828,"")</f>
        <v/>
      </c>
      <c r="S828">
        <f>C828&amp;"|"&amp;D828</f>
        <v/>
      </c>
      <c r="T828">
        <f>COUNTIF($S$2:S828,S828)</f>
        <v/>
      </c>
      <c r="U828">
        <f>S828&amp;"|"&amp;T828</f>
        <v/>
      </c>
      <c r="V828">
        <f>IFERROR(VLOOKUP(IF(I828="ENFASIS",LEFT(M828,FIND("+",M828&amp;"+")-1),J828),Direccion_Grupo!$A$2:$G$100,7,FALSE),"")</f>
        <v/>
      </c>
    </row>
    <row r="829">
      <c r="A829" t="n">
        <v>38</v>
      </c>
      <c r="B829" t="inlineStr">
        <is>
          <t>Preciado Torres Oleisa</t>
        </is>
      </c>
      <c r="C829" t="inlineStr">
        <is>
          <t>MIERCOLES</t>
        </is>
      </c>
      <c r="D829" t="n">
        <v>5</v>
      </c>
      <c r="E829" t="n">
        <v>3</v>
      </c>
      <c r="F829" t="n">
        <v>1</v>
      </c>
      <c r="G829" t="inlineStr">
        <is>
          <t>10:10</t>
        </is>
      </c>
      <c r="H829" t="inlineStr">
        <is>
          <t>10:55</t>
        </is>
      </c>
      <c r="I829" t="inlineStr">
        <is>
          <t>ENFASIS</t>
        </is>
      </c>
      <c r="J829" t="inlineStr"/>
      <c r="K829" t="inlineStr">
        <is>
          <t>MAT</t>
        </is>
      </c>
      <c r="L829" t="inlineStr">
        <is>
          <t>D3-8°</t>
        </is>
      </c>
      <c r="M829" t="inlineStr">
        <is>
          <t>0802</t>
        </is>
      </c>
      <c r="N829" t="inlineStr">
        <is>
          <t>Fernández Vélez Alfredo Enrique (TEI)</t>
        </is>
      </c>
      <c r="O829" t="inlineStr">
        <is>
          <t>PAREJA: comparten el énfasis y alternan por semana</t>
        </is>
      </c>
      <c r="P829" t="inlineStr">
        <is>
          <t>ENFASIS-D3-8°</t>
        </is>
      </c>
      <c r="Q829">
        <f>IF(I829="ENFASIS","ÉNFASIS "&amp;M829,IFERROR(VLOOKUP(J829,Grupos!$A$2:$D$100,4,FALSE),J829))</f>
        <v/>
      </c>
      <c r="R829">
        <f>O829&amp;IF(N829&lt;&gt;"",IF(O829&lt;&gt;""," · ","")&amp;"Con: "&amp;N829,"")</f>
        <v/>
      </c>
      <c r="S829">
        <f>C829&amp;"|"&amp;D829</f>
        <v/>
      </c>
      <c r="T829">
        <f>COUNTIF($S$2:S829,S829)</f>
        <v/>
      </c>
      <c r="U829">
        <f>S829&amp;"|"&amp;T829</f>
        <v/>
      </c>
      <c r="V829">
        <f>IFERROR(VLOOKUP(IF(I829="ENFASIS",LEFT(M829,FIND("+",M829&amp;"+")-1),J829),Direccion_Grupo!$A$2:$G$100,7,FALSE),"")</f>
        <v/>
      </c>
    </row>
    <row r="830">
      <c r="A830" t="n">
        <v>3</v>
      </c>
      <c r="B830" t="inlineStr">
        <is>
          <t>Arboleda Ortiz Luz América</t>
        </is>
      </c>
      <c r="C830" t="inlineStr">
        <is>
          <t>MIERCOLES</t>
        </is>
      </c>
      <c r="D830" t="n">
        <v>5</v>
      </c>
      <c r="E830" t="n">
        <v>3</v>
      </c>
      <c r="F830" t="n">
        <v>1</v>
      </c>
      <c r="G830" t="inlineStr">
        <is>
          <t>10:10</t>
        </is>
      </c>
      <c r="H830" t="inlineStr">
        <is>
          <t>10:55</t>
        </is>
      </c>
      <c r="I830" t="inlineStr">
        <is>
          <t>ENFASIS</t>
        </is>
      </c>
      <c r="J830" t="inlineStr"/>
      <c r="K830" t="inlineStr">
        <is>
          <t>ART</t>
        </is>
      </c>
      <c r="L830" t="inlineStr">
        <is>
          <t>D5-11°</t>
        </is>
      </c>
      <c r="M830" t="inlineStr">
        <is>
          <t>1101</t>
        </is>
      </c>
      <c r="N830" t="inlineStr">
        <is>
          <t>Montaño Anchico Favio Héctor (CAS); Ramírez Guerra Jimmy Eduardo (ERD); Villota Rubio Héctor Hugo (CNA)</t>
        </is>
      </c>
      <c r="O830" t="inlineStr">
        <is>
          <t>EQUIPO DE 4: cada docente atiende un grupo de estudiantes en su área</t>
        </is>
      </c>
      <c r="P830" t="inlineStr">
        <is>
          <t>ENFASIS-D5-11°</t>
        </is>
      </c>
      <c r="Q830">
        <f>IF(I830="ENFASIS","ÉNFASIS "&amp;M830,IFERROR(VLOOKUP(J830,Grupos!$A$2:$D$100,4,FALSE),J830))</f>
        <v/>
      </c>
      <c r="R830">
        <f>O830&amp;IF(N830&lt;&gt;"",IF(O830&lt;&gt;""," · ","")&amp;"Con: "&amp;N830,"")</f>
        <v/>
      </c>
      <c r="S830">
        <f>C830&amp;"|"&amp;D830</f>
        <v/>
      </c>
      <c r="T830">
        <f>COUNTIF($S$2:S830,S830)</f>
        <v/>
      </c>
      <c r="U830">
        <f>S830&amp;"|"&amp;T830</f>
        <v/>
      </c>
      <c r="V830">
        <f>IFERROR(VLOOKUP(IF(I830="ENFASIS",LEFT(M830,FIND("+",M830&amp;"+")-1),J830),Direccion_Grupo!$A$2:$G$100,7,FALSE),"")</f>
        <v/>
      </c>
    </row>
    <row r="831">
      <c r="A831" t="n">
        <v>30</v>
      </c>
      <c r="B831" t="inlineStr">
        <is>
          <t>Montaño Anchico Favio Héctor</t>
        </is>
      </c>
      <c r="C831" t="inlineStr">
        <is>
          <t>MIERCOLES</t>
        </is>
      </c>
      <c r="D831" t="n">
        <v>5</v>
      </c>
      <c r="E831" t="n">
        <v>3</v>
      </c>
      <c r="F831" t="n">
        <v>1</v>
      </c>
      <c r="G831" t="inlineStr">
        <is>
          <t>10:10</t>
        </is>
      </c>
      <c r="H831" t="inlineStr">
        <is>
          <t>10:55</t>
        </is>
      </c>
      <c r="I831" t="inlineStr">
        <is>
          <t>ENFASIS</t>
        </is>
      </c>
      <c r="J831" t="inlineStr"/>
      <c r="K831" t="inlineStr">
        <is>
          <t>CAS</t>
        </is>
      </c>
      <c r="L831" t="inlineStr">
        <is>
          <t>D5-11°</t>
        </is>
      </c>
      <c r="M831" t="inlineStr">
        <is>
          <t>1101</t>
        </is>
      </c>
      <c r="N831" t="inlineStr">
        <is>
          <t>Arboleda Ortiz Luz América (ART); Ramírez Guerra Jimmy Eduardo (ERD); Villota Rubio Héctor Hugo (CNA)</t>
        </is>
      </c>
      <c r="O831" t="inlineStr">
        <is>
          <t>EQUIPO DE 4: cada docente atiende un grupo de estudiantes en su área</t>
        </is>
      </c>
      <c r="P831" t="inlineStr">
        <is>
          <t>ENFASIS-D5-11°</t>
        </is>
      </c>
      <c r="Q831">
        <f>IF(I831="ENFASIS","ÉNFASIS "&amp;M831,IFERROR(VLOOKUP(J831,Grupos!$A$2:$D$100,4,FALSE),J831))</f>
        <v/>
      </c>
      <c r="R831">
        <f>O831&amp;IF(N831&lt;&gt;"",IF(O831&lt;&gt;""," · ","")&amp;"Con: "&amp;N831,"")</f>
        <v/>
      </c>
      <c r="S831">
        <f>C831&amp;"|"&amp;D831</f>
        <v/>
      </c>
      <c r="T831">
        <f>COUNTIF($S$2:S831,S831)</f>
        <v/>
      </c>
      <c r="U831">
        <f>S831&amp;"|"&amp;T831</f>
        <v/>
      </c>
      <c r="V831">
        <f>IFERROR(VLOOKUP(IF(I831="ENFASIS",LEFT(M831,FIND("+",M831&amp;"+")-1),J831),Direccion_Grupo!$A$2:$G$100,7,FALSE),"")</f>
        <v/>
      </c>
    </row>
    <row r="832">
      <c r="A832" t="n">
        <v>43</v>
      </c>
      <c r="B832" t="inlineStr">
        <is>
          <t>Ramírez Guerra Jimmy Eduardo</t>
        </is>
      </c>
      <c r="C832" t="inlineStr">
        <is>
          <t>MIERCOLES</t>
        </is>
      </c>
      <c r="D832" t="n">
        <v>5</v>
      </c>
      <c r="E832" t="n">
        <v>3</v>
      </c>
      <c r="F832" t="n">
        <v>1</v>
      </c>
      <c r="G832" t="inlineStr">
        <is>
          <t>10:10</t>
        </is>
      </c>
      <c r="H832" t="inlineStr">
        <is>
          <t>10:55</t>
        </is>
      </c>
      <c r="I832" t="inlineStr">
        <is>
          <t>ENFASIS</t>
        </is>
      </c>
      <c r="J832" t="inlineStr"/>
      <c r="K832" t="inlineStr">
        <is>
          <t>ERD</t>
        </is>
      </c>
      <c r="L832" t="inlineStr">
        <is>
          <t>D5-11°</t>
        </is>
      </c>
      <c r="M832" t="inlineStr">
        <is>
          <t>1101</t>
        </is>
      </c>
      <c r="N832" t="inlineStr">
        <is>
          <t>Arboleda Ortiz Luz América (ART); Montaño Anchico Favio Héctor (CAS); Villota Rubio Héctor Hugo (CNA)</t>
        </is>
      </c>
      <c r="O832" t="inlineStr">
        <is>
          <t>EQUIPO DE 4: cada docente atiende un grupo de estudiantes en su área</t>
        </is>
      </c>
      <c r="P832" t="inlineStr">
        <is>
          <t>ENFASIS-D5-11°</t>
        </is>
      </c>
      <c r="Q832">
        <f>IF(I832="ENFASIS","ÉNFASIS "&amp;M832,IFERROR(VLOOKUP(J832,Grupos!$A$2:$D$100,4,FALSE),J832))</f>
        <v/>
      </c>
      <c r="R832">
        <f>O832&amp;IF(N832&lt;&gt;"",IF(O832&lt;&gt;""," · ","")&amp;"Con: "&amp;N832,"")</f>
        <v/>
      </c>
      <c r="S832">
        <f>C832&amp;"|"&amp;D832</f>
        <v/>
      </c>
      <c r="T832">
        <f>COUNTIF($S$2:S832,S832)</f>
        <v/>
      </c>
      <c r="U832">
        <f>S832&amp;"|"&amp;T832</f>
        <v/>
      </c>
      <c r="V832">
        <f>IFERROR(VLOOKUP(IF(I832="ENFASIS",LEFT(M832,FIND("+",M832&amp;"+")-1),J832),Direccion_Grupo!$A$2:$G$100,7,FALSE),"")</f>
        <v/>
      </c>
    </row>
    <row r="833">
      <c r="A833" t="n">
        <v>53</v>
      </c>
      <c r="B833" t="inlineStr">
        <is>
          <t>Villota Rubio Héctor Hugo</t>
        </is>
      </c>
      <c r="C833" t="inlineStr">
        <is>
          <t>MIERCOLES</t>
        </is>
      </c>
      <c r="D833" t="n">
        <v>5</v>
      </c>
      <c r="E833" t="n">
        <v>3</v>
      </c>
      <c r="F833" t="n">
        <v>1</v>
      </c>
      <c r="G833" t="inlineStr">
        <is>
          <t>10:10</t>
        </is>
      </c>
      <c r="H833" t="inlineStr">
        <is>
          <t>10:55</t>
        </is>
      </c>
      <c r="I833" t="inlineStr">
        <is>
          <t>ENFASIS</t>
        </is>
      </c>
      <c r="J833" t="inlineStr"/>
      <c r="K833" t="inlineStr">
        <is>
          <t>CNA</t>
        </is>
      </c>
      <c r="L833" t="inlineStr">
        <is>
          <t>D5-11°</t>
        </is>
      </c>
      <c r="M833" t="inlineStr">
        <is>
          <t>1101</t>
        </is>
      </c>
      <c r="N833" t="inlineStr">
        <is>
          <t>Arboleda Ortiz Luz América (ART); Montaño Anchico Favio Héctor (CAS); Ramírez Guerra Jimmy Eduardo (ERD)</t>
        </is>
      </c>
      <c r="O833" t="inlineStr">
        <is>
          <t>EQUIPO DE 4: cada docente atiende un grupo de estudiantes en su área</t>
        </is>
      </c>
      <c r="P833" t="inlineStr">
        <is>
          <t>ENFASIS-D5-11°</t>
        </is>
      </c>
      <c r="Q833">
        <f>IF(I833="ENFASIS","ÉNFASIS "&amp;M833,IFERROR(VLOOKUP(J833,Grupos!$A$2:$D$100,4,FALSE),J833))</f>
        <v/>
      </c>
      <c r="R833">
        <f>O833&amp;IF(N833&lt;&gt;"",IF(O833&lt;&gt;""," · ","")&amp;"Con: "&amp;N833,"")</f>
        <v/>
      </c>
      <c r="S833">
        <f>C833&amp;"|"&amp;D833</f>
        <v/>
      </c>
      <c r="T833">
        <f>COUNTIF($S$2:S833,S833)</f>
        <v/>
      </c>
      <c r="U833">
        <f>S833&amp;"|"&amp;T833</f>
        <v/>
      </c>
      <c r="V833">
        <f>IFERROR(VLOOKUP(IF(I833="ENFASIS",LEFT(M833,FIND("+",M833&amp;"+")-1),J833),Direccion_Grupo!$A$2:$G$100,7,FALSE),"")</f>
        <v/>
      </c>
    </row>
    <row r="834">
      <c r="A834" t="n">
        <v>50</v>
      </c>
      <c r="B834" t="inlineStr">
        <is>
          <t>Valencia Solís Gloria Alexa</t>
        </is>
      </c>
      <c r="C834" t="inlineStr">
        <is>
          <t>MIERCOLES</t>
        </is>
      </c>
      <c r="D834" t="n">
        <v>6</v>
      </c>
      <c r="E834" t="n">
        <v>3</v>
      </c>
      <c r="F834" t="n">
        <v>2</v>
      </c>
      <c r="G834" t="inlineStr">
        <is>
          <t>10:30</t>
        </is>
      </c>
      <c r="H834" t="inlineStr">
        <is>
          <t>11:30</t>
        </is>
      </c>
      <c r="I834" t="inlineStr">
        <is>
          <t>AREAS_MULTIPLES</t>
        </is>
      </c>
      <c r="J834" t="inlineStr">
        <is>
          <t>0001</t>
        </is>
      </c>
      <c r="K834" t="inlineStr">
        <is>
          <t>ÁREAS MÚLTIPLES</t>
        </is>
      </c>
      <c r="L834" t="inlineStr"/>
      <c r="M834" t="inlineStr"/>
      <c r="N834" t="inlineStr"/>
      <c r="O834" t="inlineStr">
        <is>
          <t>Maestro de aula: todas las áreas con su grupo</t>
        </is>
      </c>
      <c r="P834" t="inlineStr"/>
      <c r="Q834">
        <f>IF(I834="ENFASIS","ÉNFASIS "&amp;M834,IFERROR(VLOOKUP(J834,Grupos!$A$2:$D$100,4,FALSE),J834))</f>
        <v/>
      </c>
      <c r="R834">
        <f>O834&amp;IF(N834&lt;&gt;"",IF(O834&lt;&gt;""," · ","")&amp;"Con: "&amp;N834,"")</f>
        <v/>
      </c>
      <c r="S834">
        <f>C834&amp;"|"&amp;D834</f>
        <v/>
      </c>
      <c r="T834">
        <f>COUNTIF($S$2:S834,S834)</f>
        <v/>
      </c>
      <c r="U834">
        <f>S834&amp;"|"&amp;T834</f>
        <v/>
      </c>
      <c r="V834">
        <f>IFERROR(VLOOKUP(IF(I834="ENFASIS",LEFT(M834,FIND("+",M834&amp;"+")-1),J834),Direccion_Grupo!$A$2:$G$100,7,FALSE),"")</f>
        <v/>
      </c>
    </row>
    <row r="835">
      <c r="A835" t="n">
        <v>27</v>
      </c>
      <c r="B835" t="inlineStr">
        <is>
          <t>Martínez Álvarez Andrea Ascención</t>
        </is>
      </c>
      <c r="C835" t="inlineStr">
        <is>
          <t>MIERCOLES</t>
        </is>
      </c>
      <c r="D835" t="n">
        <v>6</v>
      </c>
      <c r="E835" t="n">
        <v>3</v>
      </c>
      <c r="F835" t="n">
        <v>2</v>
      </c>
      <c r="G835" t="inlineStr">
        <is>
          <t>10:30</t>
        </is>
      </c>
      <c r="H835" t="inlineStr">
        <is>
          <t>11:30</t>
        </is>
      </c>
      <c r="I835" t="inlineStr">
        <is>
          <t>AREAS_MULTIPLES</t>
        </is>
      </c>
      <c r="J835" t="inlineStr">
        <is>
          <t>0002</t>
        </is>
      </c>
      <c r="K835" t="inlineStr">
        <is>
          <t>ÁREAS MÚLTIPLES</t>
        </is>
      </c>
      <c r="L835" t="inlineStr"/>
      <c r="M835" t="inlineStr"/>
      <c r="N835" t="inlineStr"/>
      <c r="O835" t="inlineStr">
        <is>
          <t>Maestro de aula: todas las áreas con su grupo</t>
        </is>
      </c>
      <c r="P835" t="inlineStr"/>
      <c r="Q835">
        <f>IF(I835="ENFASIS","ÉNFASIS "&amp;M835,IFERROR(VLOOKUP(J835,Grupos!$A$2:$D$100,4,FALSE),J835))</f>
        <v/>
      </c>
      <c r="R835">
        <f>O835&amp;IF(N835&lt;&gt;"",IF(O835&lt;&gt;""," · ","")&amp;"Con: "&amp;N835,"")</f>
        <v/>
      </c>
      <c r="S835">
        <f>C835&amp;"|"&amp;D835</f>
        <v/>
      </c>
      <c r="T835">
        <f>COUNTIF($S$2:S835,S835)</f>
        <v/>
      </c>
      <c r="U835">
        <f>S835&amp;"|"&amp;T835</f>
        <v/>
      </c>
      <c r="V835">
        <f>IFERROR(VLOOKUP(IF(I835="ENFASIS",LEFT(M835,FIND("+",M835&amp;"+")-1),J835),Direccion_Grupo!$A$2:$G$100,7,FALSE),"")</f>
        <v/>
      </c>
    </row>
    <row r="836">
      <c r="A836" t="n">
        <v>23</v>
      </c>
      <c r="B836" t="inlineStr">
        <is>
          <t>Landázuri Quiñones María Elia</t>
        </is>
      </c>
      <c r="C836" t="inlineStr">
        <is>
          <t>MIERCOLES</t>
        </is>
      </c>
      <c r="D836" t="n">
        <v>6</v>
      </c>
      <c r="E836" t="n">
        <v>3</v>
      </c>
      <c r="F836" t="n">
        <v>2</v>
      </c>
      <c r="G836" t="inlineStr">
        <is>
          <t>10:55</t>
        </is>
      </c>
      <c r="H836" t="inlineStr">
        <is>
          <t>11:40</t>
        </is>
      </c>
      <c r="I836" t="inlineStr">
        <is>
          <t>AREAS_MULTIPLES</t>
        </is>
      </c>
      <c r="J836" t="inlineStr">
        <is>
          <t>0101</t>
        </is>
      </c>
      <c r="K836" t="inlineStr">
        <is>
          <t>ÁREAS MÚLTIPLES</t>
        </is>
      </c>
      <c r="L836" t="inlineStr"/>
      <c r="M836" t="inlineStr"/>
      <c r="N836" t="inlineStr"/>
      <c r="O836" t="inlineStr">
        <is>
          <t>Maestro de aula: todas las áreas con su grupo</t>
        </is>
      </c>
      <c r="P836" t="inlineStr"/>
      <c r="Q836">
        <f>IF(I836="ENFASIS","ÉNFASIS "&amp;M836,IFERROR(VLOOKUP(J836,Grupos!$A$2:$D$100,4,FALSE),J836))</f>
        <v/>
      </c>
      <c r="R836">
        <f>O836&amp;IF(N836&lt;&gt;"",IF(O836&lt;&gt;""," · ","")&amp;"Con: "&amp;N836,"")</f>
        <v/>
      </c>
      <c r="S836">
        <f>C836&amp;"|"&amp;D836</f>
        <v/>
      </c>
      <c r="T836">
        <f>COUNTIF($S$2:S836,S836)</f>
        <v/>
      </c>
      <c r="U836">
        <f>S836&amp;"|"&amp;T836</f>
        <v/>
      </c>
      <c r="V836">
        <f>IFERROR(VLOOKUP(IF(I836="ENFASIS",LEFT(M836,FIND("+",M836&amp;"+")-1),J836),Direccion_Grupo!$A$2:$G$100,7,FALSE),"")</f>
        <v/>
      </c>
    </row>
    <row r="837">
      <c r="A837" t="n">
        <v>45</v>
      </c>
      <c r="B837" t="inlineStr">
        <is>
          <t>Sinisterra Ana Lucía</t>
        </is>
      </c>
      <c r="C837" t="inlineStr">
        <is>
          <t>MIERCOLES</t>
        </is>
      </c>
      <c r="D837" t="n">
        <v>6</v>
      </c>
      <c r="E837" t="n">
        <v>3</v>
      </c>
      <c r="F837" t="n">
        <v>2</v>
      </c>
      <c r="G837" t="inlineStr">
        <is>
          <t>10:55</t>
        </is>
      </c>
      <c r="H837" t="inlineStr">
        <is>
          <t>11:40</t>
        </is>
      </c>
      <c r="I837" t="inlineStr">
        <is>
          <t>AREAS_MULTIPLES</t>
        </is>
      </c>
      <c r="J837" t="inlineStr">
        <is>
          <t>0102</t>
        </is>
      </c>
      <c r="K837" t="inlineStr">
        <is>
          <t>ÁREAS MÚLTIPLES</t>
        </is>
      </c>
      <c r="L837" t="inlineStr"/>
      <c r="M837" t="inlineStr"/>
      <c r="N837" t="inlineStr"/>
      <c r="O837" t="inlineStr">
        <is>
          <t>Maestro de aula: todas las áreas con su grupo</t>
        </is>
      </c>
      <c r="P837" t="inlineStr"/>
      <c r="Q837">
        <f>IF(I837="ENFASIS","ÉNFASIS "&amp;M837,IFERROR(VLOOKUP(J837,Grupos!$A$2:$D$100,4,FALSE),J837))</f>
        <v/>
      </c>
      <c r="R837">
        <f>O837&amp;IF(N837&lt;&gt;"",IF(O837&lt;&gt;""," · ","")&amp;"Con: "&amp;N837,"")</f>
        <v/>
      </c>
      <c r="S837">
        <f>C837&amp;"|"&amp;D837</f>
        <v/>
      </c>
      <c r="T837">
        <f>COUNTIF($S$2:S837,S837)</f>
        <v/>
      </c>
      <c r="U837">
        <f>S837&amp;"|"&amp;T837</f>
        <v/>
      </c>
      <c r="V837">
        <f>IFERROR(VLOOKUP(IF(I837="ENFASIS",LEFT(M837,FIND("+",M837&amp;"+")-1),J837),Direccion_Grupo!$A$2:$G$100,7,FALSE),"")</f>
        <v/>
      </c>
    </row>
    <row r="838">
      <c r="A838" t="n">
        <v>13</v>
      </c>
      <c r="B838" t="inlineStr">
        <is>
          <t>Cortés Salazar María Ebelice</t>
        </is>
      </c>
      <c r="C838" t="inlineStr">
        <is>
          <t>MIERCOLES</t>
        </is>
      </c>
      <c r="D838" t="n">
        <v>6</v>
      </c>
      <c r="E838" t="n">
        <v>3</v>
      </c>
      <c r="F838" t="n">
        <v>2</v>
      </c>
      <c r="G838" t="inlineStr">
        <is>
          <t>10:55</t>
        </is>
      </c>
      <c r="H838" t="inlineStr">
        <is>
          <t>11:40</t>
        </is>
      </c>
      <c r="I838" t="inlineStr">
        <is>
          <t>AREAS_MULTIPLES</t>
        </is>
      </c>
      <c r="J838" t="inlineStr">
        <is>
          <t>0201</t>
        </is>
      </c>
      <c r="K838" t="inlineStr">
        <is>
          <t>ÁREAS MÚLTIPLES</t>
        </is>
      </c>
      <c r="L838" t="inlineStr"/>
      <c r="M838" t="inlineStr"/>
      <c r="N838" t="inlineStr"/>
      <c r="O838" t="inlineStr">
        <is>
          <t>Maestro de aula: todas las áreas con su grupo</t>
        </is>
      </c>
      <c r="P838" t="inlineStr"/>
      <c r="Q838">
        <f>IF(I838="ENFASIS","ÉNFASIS "&amp;M838,IFERROR(VLOOKUP(J838,Grupos!$A$2:$D$100,4,FALSE),J838))</f>
        <v/>
      </c>
      <c r="R838">
        <f>O838&amp;IF(N838&lt;&gt;"",IF(O838&lt;&gt;""," · ","")&amp;"Con: "&amp;N838,"")</f>
        <v/>
      </c>
      <c r="S838">
        <f>C838&amp;"|"&amp;D838</f>
        <v/>
      </c>
      <c r="T838">
        <f>COUNTIF($S$2:S838,S838)</f>
        <v/>
      </c>
      <c r="U838">
        <f>S838&amp;"|"&amp;T838</f>
        <v/>
      </c>
      <c r="V838">
        <f>IFERROR(VLOOKUP(IF(I838="ENFASIS",LEFT(M838,FIND("+",M838&amp;"+")-1),J838),Direccion_Grupo!$A$2:$G$100,7,FALSE),"")</f>
        <v/>
      </c>
    </row>
    <row r="839">
      <c r="A839" t="n">
        <v>21</v>
      </c>
      <c r="B839" t="inlineStr">
        <is>
          <t>Garzón Quiñones Sixta Janina</t>
        </is>
      </c>
      <c r="C839" t="inlineStr">
        <is>
          <t>MIERCOLES</t>
        </is>
      </c>
      <c r="D839" t="n">
        <v>6</v>
      </c>
      <c r="E839" t="n">
        <v>3</v>
      </c>
      <c r="F839" t="n">
        <v>2</v>
      </c>
      <c r="G839" t="inlineStr">
        <is>
          <t>10:55</t>
        </is>
      </c>
      <c r="H839" t="inlineStr">
        <is>
          <t>11:40</t>
        </is>
      </c>
      <c r="I839" t="inlineStr">
        <is>
          <t>AREAS_MULTIPLES</t>
        </is>
      </c>
      <c r="J839" t="inlineStr">
        <is>
          <t>0202</t>
        </is>
      </c>
      <c r="K839" t="inlineStr">
        <is>
          <t>ÁREAS MÚLTIPLES</t>
        </is>
      </c>
      <c r="L839" t="inlineStr"/>
      <c r="M839" t="inlineStr"/>
      <c r="N839" t="inlineStr"/>
      <c r="O839" t="inlineStr">
        <is>
          <t>Maestro de aula: todas las áreas con su grupo</t>
        </is>
      </c>
      <c r="P839" t="inlineStr"/>
      <c r="Q839">
        <f>IF(I839="ENFASIS","ÉNFASIS "&amp;M839,IFERROR(VLOOKUP(J839,Grupos!$A$2:$D$100,4,FALSE),J839))</f>
        <v/>
      </c>
      <c r="R839">
        <f>O839&amp;IF(N839&lt;&gt;"",IF(O839&lt;&gt;""," · ","")&amp;"Con: "&amp;N839,"")</f>
        <v/>
      </c>
      <c r="S839">
        <f>C839&amp;"|"&amp;D839</f>
        <v/>
      </c>
      <c r="T839">
        <f>COUNTIF($S$2:S839,S839)</f>
        <v/>
      </c>
      <c r="U839">
        <f>S839&amp;"|"&amp;T839</f>
        <v/>
      </c>
      <c r="V839">
        <f>IFERROR(VLOOKUP(IF(I839="ENFASIS",LEFT(M839,FIND("+",M839&amp;"+")-1),J839),Direccion_Grupo!$A$2:$G$100,7,FALSE),"")</f>
        <v/>
      </c>
    </row>
    <row r="840">
      <c r="A840" t="n">
        <v>46</v>
      </c>
      <c r="B840" t="inlineStr">
        <is>
          <t>Tenorio Cuero Lucy Bivian</t>
        </is>
      </c>
      <c r="C840" t="inlineStr">
        <is>
          <t>MIERCOLES</t>
        </is>
      </c>
      <c r="D840" t="n">
        <v>6</v>
      </c>
      <c r="E840" t="n">
        <v>3</v>
      </c>
      <c r="F840" t="n">
        <v>2</v>
      </c>
      <c r="G840" t="inlineStr">
        <is>
          <t>10:55</t>
        </is>
      </c>
      <c r="H840" t="inlineStr">
        <is>
          <t>11:40</t>
        </is>
      </c>
      <c r="I840" t="inlineStr">
        <is>
          <t>AREAS_MULTIPLES</t>
        </is>
      </c>
      <c r="J840" t="inlineStr">
        <is>
          <t>0203</t>
        </is>
      </c>
      <c r="K840" t="inlineStr">
        <is>
          <t>ÁREAS MÚLTIPLES</t>
        </is>
      </c>
      <c r="L840" t="inlineStr"/>
      <c r="M840" t="inlineStr"/>
      <c r="N840" t="inlineStr"/>
      <c r="O840" t="inlineStr">
        <is>
          <t>Maestro de aula: todas las áreas con su grupo</t>
        </is>
      </c>
      <c r="P840" t="inlineStr"/>
      <c r="Q840">
        <f>IF(I840="ENFASIS","ÉNFASIS "&amp;M840,IFERROR(VLOOKUP(J840,Grupos!$A$2:$D$100,4,FALSE),J840))</f>
        <v/>
      </c>
      <c r="R840">
        <f>O840&amp;IF(N840&lt;&gt;"",IF(O840&lt;&gt;""," · ","")&amp;"Con: "&amp;N840,"")</f>
        <v/>
      </c>
      <c r="S840">
        <f>C840&amp;"|"&amp;D840</f>
        <v/>
      </c>
      <c r="T840">
        <f>COUNTIF($S$2:S840,S840)</f>
        <v/>
      </c>
      <c r="U840">
        <f>S840&amp;"|"&amp;T840</f>
        <v/>
      </c>
      <c r="V840">
        <f>IFERROR(VLOOKUP(IF(I840="ENFASIS",LEFT(M840,FIND("+",M840&amp;"+")-1),J840),Direccion_Grupo!$A$2:$G$100,7,FALSE),"")</f>
        <v/>
      </c>
    </row>
    <row r="841">
      <c r="A841" t="n">
        <v>48</v>
      </c>
      <c r="B841" t="inlineStr">
        <is>
          <t>Torres Segura Encarnación</t>
        </is>
      </c>
      <c r="C841" t="inlineStr">
        <is>
          <t>MIERCOLES</t>
        </is>
      </c>
      <c r="D841" t="n">
        <v>6</v>
      </c>
      <c r="E841" t="n">
        <v>3</v>
      </c>
      <c r="F841" t="n">
        <v>2</v>
      </c>
      <c r="G841" t="inlineStr">
        <is>
          <t>10:55</t>
        </is>
      </c>
      <c r="H841" t="inlineStr">
        <is>
          <t>11:40</t>
        </is>
      </c>
      <c r="I841" t="inlineStr">
        <is>
          <t>AREAS_MULTIPLES</t>
        </is>
      </c>
      <c r="J841" t="inlineStr">
        <is>
          <t>0301</t>
        </is>
      </c>
      <c r="K841" t="inlineStr">
        <is>
          <t>ÁREAS MÚLTIPLES</t>
        </is>
      </c>
      <c r="L841" t="inlineStr"/>
      <c r="M841" t="inlineStr"/>
      <c r="N841" t="inlineStr"/>
      <c r="O841" t="inlineStr">
        <is>
          <t>Maestro de aula: todas las áreas con su grupo</t>
        </is>
      </c>
      <c r="P841" t="inlineStr"/>
      <c r="Q841">
        <f>IF(I841="ENFASIS","ÉNFASIS "&amp;M841,IFERROR(VLOOKUP(J841,Grupos!$A$2:$D$100,4,FALSE),J841))</f>
        <v/>
      </c>
      <c r="R841">
        <f>O841&amp;IF(N841&lt;&gt;"",IF(O841&lt;&gt;""," · ","")&amp;"Con: "&amp;N841,"")</f>
        <v/>
      </c>
      <c r="S841">
        <f>C841&amp;"|"&amp;D841</f>
        <v/>
      </c>
      <c r="T841">
        <f>COUNTIF($S$2:S841,S841)</f>
        <v/>
      </c>
      <c r="U841">
        <f>S841&amp;"|"&amp;T841</f>
        <v/>
      </c>
      <c r="V841">
        <f>IFERROR(VLOOKUP(IF(I841="ENFASIS",LEFT(M841,FIND("+",M841&amp;"+")-1),J841),Direccion_Grupo!$A$2:$G$100,7,FALSE),"")</f>
        <v/>
      </c>
    </row>
    <row r="842">
      <c r="A842" t="n">
        <v>24</v>
      </c>
      <c r="B842" t="inlineStr">
        <is>
          <t>Landázuri Gallón Teresa</t>
        </is>
      </c>
      <c r="C842" t="inlineStr">
        <is>
          <t>MIERCOLES</t>
        </is>
      </c>
      <c r="D842" t="n">
        <v>6</v>
      </c>
      <c r="E842" t="n">
        <v>3</v>
      </c>
      <c r="F842" t="n">
        <v>2</v>
      </c>
      <c r="G842" t="inlineStr">
        <is>
          <t>10:55</t>
        </is>
      </c>
      <c r="H842" t="inlineStr">
        <is>
          <t>11:40</t>
        </is>
      </c>
      <c r="I842" t="inlineStr">
        <is>
          <t>AREAS_MULTIPLES</t>
        </is>
      </c>
      <c r="J842" t="inlineStr">
        <is>
          <t>0302</t>
        </is>
      </c>
      <c r="K842" t="inlineStr">
        <is>
          <t>ÁREAS MÚLTIPLES</t>
        </is>
      </c>
      <c r="L842" t="inlineStr"/>
      <c r="M842" t="inlineStr"/>
      <c r="N842" t="inlineStr"/>
      <c r="O842" t="inlineStr">
        <is>
          <t>Maestro de aula: todas las áreas con su grupo</t>
        </is>
      </c>
      <c r="P842" t="inlineStr"/>
      <c r="Q842">
        <f>IF(I842="ENFASIS","ÉNFASIS "&amp;M842,IFERROR(VLOOKUP(J842,Grupos!$A$2:$D$100,4,FALSE),J842))</f>
        <v/>
      </c>
      <c r="R842">
        <f>O842&amp;IF(N842&lt;&gt;"",IF(O842&lt;&gt;""," · ","")&amp;"Con: "&amp;N842,"")</f>
        <v/>
      </c>
      <c r="S842">
        <f>C842&amp;"|"&amp;D842</f>
        <v/>
      </c>
      <c r="T842">
        <f>COUNTIF($S$2:S842,S842)</f>
        <v/>
      </c>
      <c r="U842">
        <f>S842&amp;"|"&amp;T842</f>
        <v/>
      </c>
      <c r="V842">
        <f>IFERROR(VLOOKUP(IF(I842="ENFASIS",LEFT(M842,FIND("+",M842&amp;"+")-1),J842),Direccion_Grupo!$A$2:$G$100,7,FALSE),"")</f>
        <v/>
      </c>
    </row>
    <row r="843">
      <c r="A843" t="n">
        <v>55</v>
      </c>
      <c r="B843" t="inlineStr">
        <is>
          <t>Zamora Ordóñez Celia Pastora</t>
        </is>
      </c>
      <c r="C843" t="inlineStr">
        <is>
          <t>MIERCOLES</t>
        </is>
      </c>
      <c r="D843" t="n">
        <v>6</v>
      </c>
      <c r="E843" t="n">
        <v>3</v>
      </c>
      <c r="F843" t="n">
        <v>2</v>
      </c>
      <c r="G843" t="inlineStr">
        <is>
          <t>10:55</t>
        </is>
      </c>
      <c r="H843" t="inlineStr">
        <is>
          <t>11:40</t>
        </is>
      </c>
      <c r="I843" t="inlineStr">
        <is>
          <t>AREAS_MULTIPLES</t>
        </is>
      </c>
      <c r="J843" t="inlineStr">
        <is>
          <t>0401</t>
        </is>
      </c>
      <c r="K843" t="inlineStr">
        <is>
          <t>ÁREAS MÚLTIPLES</t>
        </is>
      </c>
      <c r="L843" t="inlineStr"/>
      <c r="M843" t="inlineStr"/>
      <c r="N843" t="inlineStr"/>
      <c r="O843" t="inlineStr">
        <is>
          <t>Maestro de aula: todas las áreas con su grupo</t>
        </is>
      </c>
      <c r="P843" t="inlineStr"/>
      <c r="Q843">
        <f>IF(I843="ENFASIS","ÉNFASIS "&amp;M843,IFERROR(VLOOKUP(J843,Grupos!$A$2:$D$100,4,FALSE),J843))</f>
        <v/>
      </c>
      <c r="R843">
        <f>O843&amp;IF(N843&lt;&gt;"",IF(O843&lt;&gt;""," · ","")&amp;"Con: "&amp;N843,"")</f>
        <v/>
      </c>
      <c r="S843">
        <f>C843&amp;"|"&amp;D843</f>
        <v/>
      </c>
      <c r="T843">
        <f>COUNTIF($S$2:S843,S843)</f>
        <v/>
      </c>
      <c r="U843">
        <f>S843&amp;"|"&amp;T843</f>
        <v/>
      </c>
      <c r="V843">
        <f>IFERROR(VLOOKUP(IF(I843="ENFASIS",LEFT(M843,FIND("+",M843&amp;"+")-1),J843),Direccion_Grupo!$A$2:$G$100,7,FALSE),"")</f>
        <v/>
      </c>
    </row>
    <row r="844">
      <c r="A844" t="n">
        <v>33</v>
      </c>
      <c r="B844" t="inlineStr">
        <is>
          <t>Núñez Perlaza Elcy</t>
        </is>
      </c>
      <c r="C844" t="inlineStr">
        <is>
          <t>MIERCOLES</t>
        </is>
      </c>
      <c r="D844" t="n">
        <v>6</v>
      </c>
      <c r="E844" t="n">
        <v>3</v>
      </c>
      <c r="F844" t="n">
        <v>2</v>
      </c>
      <c r="G844" t="inlineStr">
        <is>
          <t>10:55</t>
        </is>
      </c>
      <c r="H844" t="inlineStr">
        <is>
          <t>11:40</t>
        </is>
      </c>
      <c r="I844" t="inlineStr">
        <is>
          <t>AREAS_MULTIPLES</t>
        </is>
      </c>
      <c r="J844" t="inlineStr">
        <is>
          <t>0402</t>
        </is>
      </c>
      <c r="K844" t="inlineStr">
        <is>
          <t>ÁREAS MÚLTIPLES</t>
        </is>
      </c>
      <c r="L844" t="inlineStr"/>
      <c r="M844" t="inlineStr"/>
      <c r="N844" t="inlineStr"/>
      <c r="O844" t="inlineStr">
        <is>
          <t>Maestro de aula: todas las áreas con su grupo</t>
        </is>
      </c>
      <c r="P844" t="inlineStr"/>
      <c r="Q844">
        <f>IF(I844="ENFASIS","ÉNFASIS "&amp;M844,IFERROR(VLOOKUP(J844,Grupos!$A$2:$D$100,4,FALSE),J844))</f>
        <v/>
      </c>
      <c r="R844">
        <f>O844&amp;IF(N844&lt;&gt;"",IF(O844&lt;&gt;""," · ","")&amp;"Con: "&amp;N844,"")</f>
        <v/>
      </c>
      <c r="S844">
        <f>C844&amp;"|"&amp;D844</f>
        <v/>
      </c>
      <c r="T844">
        <f>COUNTIF($S$2:S844,S844)</f>
        <v/>
      </c>
      <c r="U844">
        <f>S844&amp;"|"&amp;T844</f>
        <v/>
      </c>
      <c r="V844">
        <f>IFERROR(VLOOKUP(IF(I844="ENFASIS",LEFT(M844,FIND("+",M844&amp;"+")-1),J844),Direccion_Grupo!$A$2:$G$100,7,FALSE),"")</f>
        <v/>
      </c>
    </row>
    <row r="845">
      <c r="A845" t="n">
        <v>14</v>
      </c>
      <c r="B845" t="inlineStr">
        <is>
          <t>Cuéllar Gallo Nemesia</t>
        </is>
      </c>
      <c r="C845" t="inlineStr">
        <is>
          <t>MIERCOLES</t>
        </is>
      </c>
      <c r="D845" t="n">
        <v>6</v>
      </c>
      <c r="E845" t="n">
        <v>3</v>
      </c>
      <c r="F845" t="n">
        <v>2</v>
      </c>
      <c r="G845" t="inlineStr">
        <is>
          <t>10:55</t>
        </is>
      </c>
      <c r="H845" t="inlineStr">
        <is>
          <t>11:40</t>
        </is>
      </c>
      <c r="I845" t="inlineStr">
        <is>
          <t>AREAS_MULTIPLES</t>
        </is>
      </c>
      <c r="J845" t="inlineStr">
        <is>
          <t>0501</t>
        </is>
      </c>
      <c r="K845" t="inlineStr">
        <is>
          <t>ÁREAS MÚLTIPLES</t>
        </is>
      </c>
      <c r="L845" t="inlineStr"/>
      <c r="M845" t="inlineStr"/>
      <c r="N845" t="inlineStr"/>
      <c r="O845" t="inlineStr">
        <is>
          <t>Maestro de aula: todas las áreas con su grupo</t>
        </is>
      </c>
      <c r="P845" t="inlineStr"/>
      <c r="Q845">
        <f>IF(I845="ENFASIS","ÉNFASIS "&amp;M845,IFERROR(VLOOKUP(J845,Grupos!$A$2:$D$100,4,FALSE),J845))</f>
        <v/>
      </c>
      <c r="R845">
        <f>O845&amp;IF(N845&lt;&gt;"",IF(O845&lt;&gt;""," · ","")&amp;"Con: "&amp;N845,"")</f>
        <v/>
      </c>
      <c r="S845">
        <f>C845&amp;"|"&amp;D845</f>
        <v/>
      </c>
      <c r="T845">
        <f>COUNTIF($S$2:S845,S845)</f>
        <v/>
      </c>
      <c r="U845">
        <f>S845&amp;"|"&amp;T845</f>
        <v/>
      </c>
      <c r="V845">
        <f>IFERROR(VLOOKUP(IF(I845="ENFASIS",LEFT(M845,FIND("+",M845&amp;"+")-1),J845),Direccion_Grupo!$A$2:$G$100,7,FALSE),"")</f>
        <v/>
      </c>
    </row>
    <row r="846">
      <c r="A846" t="n">
        <v>11</v>
      </c>
      <c r="B846" t="inlineStr">
        <is>
          <t>Centeno Zúñiga Claudia Patricia</t>
        </is>
      </c>
      <c r="C846" t="inlineStr">
        <is>
          <t>MIERCOLES</t>
        </is>
      </c>
      <c r="D846" t="n">
        <v>6</v>
      </c>
      <c r="E846" t="n">
        <v>3</v>
      </c>
      <c r="F846" t="n">
        <v>2</v>
      </c>
      <c r="G846" t="inlineStr">
        <is>
          <t>10:55</t>
        </is>
      </c>
      <c r="H846" t="inlineStr">
        <is>
          <t>11:40</t>
        </is>
      </c>
      <c r="I846" t="inlineStr">
        <is>
          <t>AREAS_MULTIPLES</t>
        </is>
      </c>
      <c r="J846" t="inlineStr">
        <is>
          <t>0502</t>
        </is>
      </c>
      <c r="K846" t="inlineStr">
        <is>
          <t>ÁREAS MÚLTIPLES</t>
        </is>
      </c>
      <c r="L846" t="inlineStr"/>
      <c r="M846" t="inlineStr"/>
      <c r="N846" t="inlineStr"/>
      <c r="O846" t="inlineStr">
        <is>
          <t>Maestro de aula: todas las áreas con su grupo</t>
        </is>
      </c>
      <c r="P846" t="inlineStr"/>
      <c r="Q846">
        <f>IF(I846="ENFASIS","ÉNFASIS "&amp;M846,IFERROR(VLOOKUP(J846,Grupos!$A$2:$D$100,4,FALSE),J846))</f>
        <v/>
      </c>
      <c r="R846">
        <f>O846&amp;IF(N846&lt;&gt;"",IF(O846&lt;&gt;""," · ","")&amp;"Con: "&amp;N846,"")</f>
        <v/>
      </c>
      <c r="S846">
        <f>C846&amp;"|"&amp;D846</f>
        <v/>
      </c>
      <c r="T846">
        <f>COUNTIF($S$2:S846,S846)</f>
        <v/>
      </c>
      <c r="U846">
        <f>S846&amp;"|"&amp;T846</f>
        <v/>
      </c>
      <c r="V846">
        <f>IFERROR(VLOOKUP(IF(I846="ENFASIS",LEFT(M846,FIND("+",M846&amp;"+")-1),J846),Direccion_Grupo!$A$2:$G$100,7,FALSE),"")</f>
        <v/>
      </c>
    </row>
    <row r="847">
      <c r="A847" t="n">
        <v>32</v>
      </c>
      <c r="B847" t="inlineStr">
        <is>
          <t>Narváez Sánchez Dora Alejandra</t>
        </is>
      </c>
      <c r="C847" t="inlineStr">
        <is>
          <t>MIERCOLES</t>
        </is>
      </c>
      <c r="D847" t="n">
        <v>6</v>
      </c>
      <c r="E847" t="n">
        <v>3</v>
      </c>
      <c r="F847" t="n">
        <v>2</v>
      </c>
      <c r="G847" t="inlineStr">
        <is>
          <t>10:55</t>
        </is>
      </c>
      <c r="H847" t="inlineStr">
        <is>
          <t>11:40</t>
        </is>
      </c>
      <c r="I847" t="inlineStr">
        <is>
          <t>AREAS_MULTIPLES</t>
        </is>
      </c>
      <c r="J847" t="inlineStr">
        <is>
          <t>0503</t>
        </is>
      </c>
      <c r="K847" t="inlineStr">
        <is>
          <t>ÁREAS MÚLTIPLES</t>
        </is>
      </c>
      <c r="L847" t="inlineStr"/>
      <c r="M847" t="inlineStr"/>
      <c r="N847" t="inlineStr"/>
      <c r="O847" t="inlineStr">
        <is>
          <t>Maestro de aula: todas las áreas con su grupo</t>
        </is>
      </c>
      <c r="P847" t="inlineStr"/>
      <c r="Q847">
        <f>IF(I847="ENFASIS","ÉNFASIS "&amp;M847,IFERROR(VLOOKUP(J847,Grupos!$A$2:$D$100,4,FALSE),J847))</f>
        <v/>
      </c>
      <c r="R847">
        <f>O847&amp;IF(N847&lt;&gt;"",IF(O847&lt;&gt;""," · ","")&amp;"Con: "&amp;N847,"")</f>
        <v/>
      </c>
      <c r="S847">
        <f>C847&amp;"|"&amp;D847</f>
        <v/>
      </c>
      <c r="T847">
        <f>COUNTIF($S$2:S847,S847)</f>
        <v/>
      </c>
      <c r="U847">
        <f>S847&amp;"|"&amp;T847</f>
        <v/>
      </c>
      <c r="V847">
        <f>IFERROR(VLOOKUP(IF(I847="ENFASIS",LEFT(M847,FIND("+",M847&amp;"+")-1),J847),Direccion_Grupo!$A$2:$G$100,7,FALSE),"")</f>
        <v/>
      </c>
    </row>
    <row r="848">
      <c r="A848" t="n">
        <v>17</v>
      </c>
      <c r="B848" t="inlineStr">
        <is>
          <t>Escobar Cortés Liliana</t>
        </is>
      </c>
      <c r="C848" t="inlineStr">
        <is>
          <t>MIERCOLES</t>
        </is>
      </c>
      <c r="D848" t="n">
        <v>6</v>
      </c>
      <c r="E848" t="n">
        <v>3</v>
      </c>
      <c r="F848" t="n">
        <v>2</v>
      </c>
      <c r="G848" t="inlineStr">
        <is>
          <t>10:55</t>
        </is>
      </c>
      <c r="H848" t="inlineStr">
        <is>
          <t>11:40</t>
        </is>
      </c>
      <c r="I848" t="inlineStr">
        <is>
          <t>AREAS_MULTIPLES</t>
        </is>
      </c>
      <c r="J848" t="inlineStr">
        <is>
          <t>0504</t>
        </is>
      </c>
      <c r="K848" t="inlineStr">
        <is>
          <t>ÁREAS MÚLTIPLES</t>
        </is>
      </c>
      <c r="L848" t="inlineStr"/>
      <c r="M848" t="inlineStr"/>
      <c r="N848" t="inlineStr"/>
      <c r="O848" t="inlineStr">
        <is>
          <t>Maestro de aula: todas las áreas con su grupo</t>
        </is>
      </c>
      <c r="P848" t="inlineStr"/>
      <c r="Q848">
        <f>IF(I848="ENFASIS","ÉNFASIS "&amp;M848,IFERROR(VLOOKUP(J848,Grupos!$A$2:$D$100,4,FALSE),J848))</f>
        <v/>
      </c>
      <c r="R848">
        <f>O848&amp;IF(N848&lt;&gt;"",IF(O848&lt;&gt;""," · ","")&amp;"Con: "&amp;N848,"")</f>
        <v/>
      </c>
      <c r="S848">
        <f>C848&amp;"|"&amp;D848</f>
        <v/>
      </c>
      <c r="T848">
        <f>COUNTIF($S$2:S848,S848)</f>
        <v/>
      </c>
      <c r="U848">
        <f>S848&amp;"|"&amp;T848</f>
        <v/>
      </c>
      <c r="V848">
        <f>IFERROR(VLOOKUP(IF(I848="ENFASIS",LEFT(M848,FIND("+",M848&amp;"+")-1),J848),Direccion_Grupo!$A$2:$G$100,7,FALSE),"")</f>
        <v/>
      </c>
    </row>
    <row r="849">
      <c r="A849" t="n">
        <v>26</v>
      </c>
      <c r="B849" t="inlineStr">
        <is>
          <t>Lozano Torres Amanda Inés</t>
        </is>
      </c>
      <c r="C849" t="inlineStr">
        <is>
          <t>MIERCOLES</t>
        </is>
      </c>
      <c r="D849" t="n">
        <v>6</v>
      </c>
      <c r="E849" t="n">
        <v>3</v>
      </c>
      <c r="F849" t="n">
        <v>2</v>
      </c>
      <c r="G849" t="inlineStr">
        <is>
          <t>10:55</t>
        </is>
      </c>
      <c r="H849" t="inlineStr">
        <is>
          <t>11:40</t>
        </is>
      </c>
      <c r="I849" t="inlineStr">
        <is>
          <t>CLASE</t>
        </is>
      </c>
      <c r="J849" t="inlineStr">
        <is>
          <t>0601</t>
        </is>
      </c>
      <c r="K849" t="inlineStr">
        <is>
          <t>ETR</t>
        </is>
      </c>
      <c r="L849" t="inlineStr"/>
      <c r="M849" t="inlineStr"/>
      <c r="N849" t="inlineStr"/>
      <c r="O849" t="inlineStr">
        <is>
          <t>Ética / Religión (alternan cada semana)</t>
        </is>
      </c>
      <c r="P849" t="inlineStr">
        <is>
          <t>0601-ETR</t>
        </is>
      </c>
      <c r="Q849">
        <f>IF(I849="ENFASIS","ÉNFASIS "&amp;M849,IFERROR(VLOOKUP(J849,Grupos!$A$2:$D$100,4,FALSE),J849))</f>
        <v/>
      </c>
      <c r="R849">
        <f>O849&amp;IF(N849&lt;&gt;"",IF(O849&lt;&gt;""," · ","")&amp;"Con: "&amp;N849,"")</f>
        <v/>
      </c>
      <c r="S849">
        <f>C849&amp;"|"&amp;D849</f>
        <v/>
      </c>
      <c r="T849">
        <f>COUNTIF($S$2:S849,S849)</f>
        <v/>
      </c>
      <c r="U849">
        <f>S849&amp;"|"&amp;T849</f>
        <v/>
      </c>
      <c r="V849">
        <f>IFERROR(VLOOKUP(IF(I849="ENFASIS",LEFT(M849,FIND("+",M849&amp;"+")-1),J849),Direccion_Grupo!$A$2:$G$100,7,FALSE),"")</f>
        <v/>
      </c>
    </row>
    <row r="850">
      <c r="A850" t="n">
        <v>20</v>
      </c>
      <c r="B850" t="inlineStr">
        <is>
          <t>García Gobea Saydi Magali</t>
        </is>
      </c>
      <c r="C850" t="inlineStr">
        <is>
          <t>MIERCOLES</t>
        </is>
      </c>
      <c r="D850" t="n">
        <v>6</v>
      </c>
      <c r="E850" t="n">
        <v>3</v>
      </c>
      <c r="F850" t="n">
        <v>2</v>
      </c>
      <c r="G850" t="inlineStr">
        <is>
          <t>10:55</t>
        </is>
      </c>
      <c r="H850" t="inlineStr">
        <is>
          <t>11:40</t>
        </is>
      </c>
      <c r="I850" t="inlineStr">
        <is>
          <t>CLASE</t>
        </is>
      </c>
      <c r="J850" t="inlineStr">
        <is>
          <t>0602</t>
        </is>
      </c>
      <c r="K850" t="inlineStr">
        <is>
          <t>CSI</t>
        </is>
      </c>
      <c r="L850" t="inlineStr"/>
      <c r="M850" t="inlineStr"/>
      <c r="N850" t="inlineStr"/>
      <c r="O850" t="inlineStr">
        <is>
          <t>Sociales / Inglés (alternan cada semana)</t>
        </is>
      </c>
      <c r="P850" t="inlineStr">
        <is>
          <t>0602-CSI</t>
        </is>
      </c>
      <c r="Q850">
        <f>IF(I850="ENFASIS","ÉNFASIS "&amp;M850,IFERROR(VLOOKUP(J850,Grupos!$A$2:$D$100,4,FALSE),J850))</f>
        <v/>
      </c>
      <c r="R850">
        <f>O850&amp;IF(N850&lt;&gt;"",IF(O850&lt;&gt;""," · ","")&amp;"Con: "&amp;N850,"")</f>
        <v/>
      </c>
      <c r="S850">
        <f>C850&amp;"|"&amp;D850</f>
        <v/>
      </c>
      <c r="T850">
        <f>COUNTIF($S$2:S850,S850)</f>
        <v/>
      </c>
      <c r="U850">
        <f>S850&amp;"|"&amp;T850</f>
        <v/>
      </c>
      <c r="V850">
        <f>IFERROR(VLOOKUP(IF(I850="ENFASIS",LEFT(M850,FIND("+",M850&amp;"+")-1),J850),Direccion_Grupo!$A$2:$G$100,7,FALSE),"")</f>
        <v/>
      </c>
    </row>
    <row r="851">
      <c r="A851" t="n">
        <v>8</v>
      </c>
      <c r="B851" t="inlineStr">
        <is>
          <t>Casanova Quiñones Yoli del Carmen</t>
        </is>
      </c>
      <c r="C851" t="inlineStr">
        <is>
          <t>MIERCOLES</t>
        </is>
      </c>
      <c r="D851" t="n">
        <v>6</v>
      </c>
      <c r="E851" t="n">
        <v>3</v>
      </c>
      <c r="F851" t="n">
        <v>2</v>
      </c>
      <c r="G851" t="inlineStr">
        <is>
          <t>10:55</t>
        </is>
      </c>
      <c r="H851" t="inlineStr">
        <is>
          <t>11:40</t>
        </is>
      </c>
      <c r="I851" t="inlineStr">
        <is>
          <t>CLASE</t>
        </is>
      </c>
      <c r="J851" t="inlineStr">
        <is>
          <t>0701</t>
        </is>
      </c>
      <c r="K851" t="inlineStr">
        <is>
          <t>ETR</t>
        </is>
      </c>
      <c r="L851" t="inlineStr"/>
      <c r="M851" t="inlineStr"/>
      <c r="N851" t="inlineStr"/>
      <c r="O851" t="inlineStr">
        <is>
          <t>Ética / Religión (alternan cada semana)</t>
        </is>
      </c>
      <c r="P851" t="inlineStr">
        <is>
          <t>0701-ETR</t>
        </is>
      </c>
      <c r="Q851">
        <f>IF(I851="ENFASIS","ÉNFASIS "&amp;M851,IFERROR(VLOOKUP(J851,Grupos!$A$2:$D$100,4,FALSE),J851))</f>
        <v/>
      </c>
      <c r="R851">
        <f>O851&amp;IF(N851&lt;&gt;"",IF(O851&lt;&gt;""," · ","")&amp;"Con: "&amp;N851,"")</f>
        <v/>
      </c>
      <c r="S851">
        <f>C851&amp;"|"&amp;D851</f>
        <v/>
      </c>
      <c r="T851">
        <f>COUNTIF($S$2:S851,S851)</f>
        <v/>
      </c>
      <c r="U851">
        <f>S851&amp;"|"&amp;T851</f>
        <v/>
      </c>
      <c r="V851">
        <f>IFERROR(VLOOKUP(IF(I851="ENFASIS",LEFT(M851,FIND("+",M851&amp;"+")-1),J851),Direccion_Grupo!$A$2:$G$100,7,FALSE),"")</f>
        <v/>
      </c>
    </row>
    <row r="852">
      <c r="A852" t="n">
        <v>10</v>
      </c>
      <c r="B852" t="inlineStr">
        <is>
          <t>Castillo Cuero Daira Eneida</t>
        </is>
      </c>
      <c r="C852" t="inlineStr">
        <is>
          <t>MIERCOLES</t>
        </is>
      </c>
      <c r="D852" t="n">
        <v>6</v>
      </c>
      <c r="E852" t="n">
        <v>3</v>
      </c>
      <c r="F852" t="n">
        <v>2</v>
      </c>
      <c r="G852" t="inlineStr">
        <is>
          <t>10:55</t>
        </is>
      </c>
      <c r="H852" t="inlineStr">
        <is>
          <t>11:40</t>
        </is>
      </c>
      <c r="I852" t="inlineStr">
        <is>
          <t>CLASE</t>
        </is>
      </c>
      <c r="J852" t="inlineStr">
        <is>
          <t>0702</t>
        </is>
      </c>
      <c r="K852" t="inlineStr">
        <is>
          <t>CAS</t>
        </is>
      </c>
      <c r="L852" t="inlineStr"/>
      <c r="M852" t="inlineStr"/>
      <c r="N852" t="inlineStr"/>
      <c r="O852" t="inlineStr"/>
      <c r="P852" t="inlineStr">
        <is>
          <t>0702-CAS</t>
        </is>
      </c>
      <c r="Q852">
        <f>IF(I852="ENFASIS","ÉNFASIS "&amp;M852,IFERROR(VLOOKUP(J852,Grupos!$A$2:$D$100,4,FALSE),J852))</f>
        <v/>
      </c>
      <c r="R852">
        <f>O852&amp;IF(N852&lt;&gt;"",IF(O852&lt;&gt;""," · ","")&amp;"Con: "&amp;N852,"")</f>
        <v/>
      </c>
      <c r="S852">
        <f>C852&amp;"|"&amp;D852</f>
        <v/>
      </c>
      <c r="T852">
        <f>COUNTIF($S$2:S852,S852)</f>
        <v/>
      </c>
      <c r="U852">
        <f>S852&amp;"|"&amp;T852</f>
        <v/>
      </c>
      <c r="V852">
        <f>IFERROR(VLOOKUP(IF(I852="ENFASIS",LEFT(M852,FIND("+",M852&amp;"+")-1),J852),Direccion_Grupo!$A$2:$G$100,7,FALSE),"")</f>
        <v/>
      </c>
    </row>
    <row r="853">
      <c r="A853" t="n">
        <v>4</v>
      </c>
      <c r="B853" t="inlineStr">
        <is>
          <t>Arizala Castro Roberto Carlos</t>
        </is>
      </c>
      <c r="C853" t="inlineStr">
        <is>
          <t>MIERCOLES</t>
        </is>
      </c>
      <c r="D853" t="n">
        <v>6</v>
      </c>
      <c r="E853" t="n">
        <v>3</v>
      </c>
      <c r="F853" t="n">
        <v>2</v>
      </c>
      <c r="G853" t="inlineStr">
        <is>
          <t>10:55</t>
        </is>
      </c>
      <c r="H853" t="inlineStr">
        <is>
          <t>11:40</t>
        </is>
      </c>
      <c r="I853" t="inlineStr">
        <is>
          <t>CLASE</t>
        </is>
      </c>
      <c r="J853" t="inlineStr">
        <is>
          <t>0703</t>
        </is>
      </c>
      <c r="K853" t="inlineStr">
        <is>
          <t>ERD</t>
        </is>
      </c>
      <c r="L853" t="inlineStr"/>
      <c r="M853" t="inlineStr"/>
      <c r="N853" t="inlineStr"/>
      <c r="O853" t="inlineStr"/>
      <c r="P853" t="inlineStr">
        <is>
          <t>0703-ERD</t>
        </is>
      </c>
      <c r="Q853">
        <f>IF(I853="ENFASIS","ÉNFASIS "&amp;M853,IFERROR(VLOOKUP(J853,Grupos!$A$2:$D$100,4,FALSE),J853))</f>
        <v/>
      </c>
      <c r="R853">
        <f>O853&amp;IF(N853&lt;&gt;"",IF(O853&lt;&gt;""," · ","")&amp;"Con: "&amp;N853,"")</f>
        <v/>
      </c>
      <c r="S853">
        <f>C853&amp;"|"&amp;D853</f>
        <v/>
      </c>
      <c r="T853">
        <f>COUNTIF($S$2:S853,S853)</f>
        <v/>
      </c>
      <c r="U853">
        <f>S853&amp;"|"&amp;T853</f>
        <v/>
      </c>
      <c r="V853">
        <f>IFERROR(VLOOKUP(IF(I853="ENFASIS",LEFT(M853,FIND("+",M853&amp;"+")-1),J853),Direccion_Grupo!$A$2:$G$100,7,FALSE),"")</f>
        <v/>
      </c>
    </row>
    <row r="854">
      <c r="A854" t="n">
        <v>44</v>
      </c>
      <c r="B854" t="inlineStr">
        <is>
          <t>Samaniego Angulo Flor Mireya</t>
        </is>
      </c>
      <c r="C854" t="inlineStr">
        <is>
          <t>MIERCOLES</t>
        </is>
      </c>
      <c r="D854" t="n">
        <v>6</v>
      </c>
      <c r="E854" t="n">
        <v>3</v>
      </c>
      <c r="F854" t="n">
        <v>2</v>
      </c>
      <c r="G854" t="inlineStr">
        <is>
          <t>10:55</t>
        </is>
      </c>
      <c r="H854" t="inlineStr">
        <is>
          <t>11:40</t>
        </is>
      </c>
      <c r="I854" t="inlineStr">
        <is>
          <t>CLASE</t>
        </is>
      </c>
      <c r="J854" t="inlineStr">
        <is>
          <t>0801</t>
        </is>
      </c>
      <c r="K854" t="inlineStr">
        <is>
          <t>ART</t>
        </is>
      </c>
      <c r="L854" t="inlineStr"/>
      <c r="M854" t="inlineStr"/>
      <c r="N854" t="inlineStr"/>
      <c r="O854" t="inlineStr"/>
      <c r="P854" t="inlineStr">
        <is>
          <t>0801-ART</t>
        </is>
      </c>
      <c r="Q854">
        <f>IF(I854="ENFASIS","ÉNFASIS "&amp;M854,IFERROR(VLOOKUP(J854,Grupos!$A$2:$D$100,4,FALSE),J854))</f>
        <v/>
      </c>
      <c r="R854">
        <f>O854&amp;IF(N854&lt;&gt;"",IF(O854&lt;&gt;""," · ","")&amp;"Con: "&amp;N854,"")</f>
        <v/>
      </c>
      <c r="S854">
        <f>C854&amp;"|"&amp;D854</f>
        <v/>
      </c>
      <c r="T854">
        <f>COUNTIF($S$2:S854,S854)</f>
        <v/>
      </c>
      <c r="U854">
        <f>S854&amp;"|"&amp;T854</f>
        <v/>
      </c>
      <c r="V854">
        <f>IFERROR(VLOOKUP(IF(I854="ENFASIS",LEFT(M854,FIND("+",M854&amp;"+")-1),J854),Direccion_Grupo!$A$2:$G$100,7,FALSE),"")</f>
        <v/>
      </c>
    </row>
    <row r="855">
      <c r="A855" t="n">
        <v>25</v>
      </c>
      <c r="B855" t="inlineStr">
        <is>
          <t>Lemos Guancha Miriam</t>
        </is>
      </c>
      <c r="C855" t="inlineStr">
        <is>
          <t>MIERCOLES</t>
        </is>
      </c>
      <c r="D855" t="n">
        <v>6</v>
      </c>
      <c r="E855" t="n">
        <v>3</v>
      </c>
      <c r="F855" t="n">
        <v>2</v>
      </c>
      <c r="G855" t="inlineStr">
        <is>
          <t>10:55</t>
        </is>
      </c>
      <c r="H855" t="inlineStr">
        <is>
          <t>11:40</t>
        </is>
      </c>
      <c r="I855" t="inlineStr">
        <is>
          <t>CLASE</t>
        </is>
      </c>
      <c r="J855" t="inlineStr">
        <is>
          <t>0901</t>
        </is>
      </c>
      <c r="K855" t="inlineStr">
        <is>
          <t>CNA</t>
        </is>
      </c>
      <c r="L855" t="inlineStr"/>
      <c r="M855" t="inlineStr"/>
      <c r="N855" t="inlineStr"/>
      <c r="O855" t="inlineStr"/>
      <c r="P855" t="inlineStr">
        <is>
          <t>0901-CNA</t>
        </is>
      </c>
      <c r="Q855">
        <f>IF(I855="ENFASIS","ÉNFASIS "&amp;M855,IFERROR(VLOOKUP(J855,Grupos!$A$2:$D$100,4,FALSE),J855))</f>
        <v/>
      </c>
      <c r="R855">
        <f>O855&amp;IF(N855&lt;&gt;"",IF(O855&lt;&gt;""," · ","")&amp;"Con: "&amp;N855,"")</f>
        <v/>
      </c>
      <c r="S855">
        <f>C855&amp;"|"&amp;D855</f>
        <v/>
      </c>
      <c r="T855">
        <f>COUNTIF($S$2:S855,S855)</f>
        <v/>
      </c>
      <c r="U855">
        <f>S855&amp;"|"&amp;T855</f>
        <v/>
      </c>
      <c r="V855">
        <f>IFERROR(VLOOKUP(IF(I855="ENFASIS",LEFT(M855,FIND("+",M855&amp;"+")-1),J855),Direccion_Grupo!$A$2:$G$100,7,FALSE),"")</f>
        <v/>
      </c>
    </row>
    <row r="856">
      <c r="A856" t="n">
        <v>49</v>
      </c>
      <c r="B856" t="inlineStr">
        <is>
          <t>Valencia Marínez Saidy Eufemia</t>
        </is>
      </c>
      <c r="C856" t="inlineStr">
        <is>
          <t>MIERCOLES</t>
        </is>
      </c>
      <c r="D856" t="n">
        <v>6</v>
      </c>
      <c r="E856" t="n">
        <v>3</v>
      </c>
      <c r="F856" t="n">
        <v>2</v>
      </c>
      <c r="G856" t="inlineStr">
        <is>
          <t>10:55</t>
        </is>
      </c>
      <c r="H856" t="inlineStr">
        <is>
          <t>11:40</t>
        </is>
      </c>
      <c r="I856" t="inlineStr">
        <is>
          <t>CLASE</t>
        </is>
      </c>
      <c r="J856" t="inlineStr">
        <is>
          <t>0902</t>
        </is>
      </c>
      <c r="K856" t="inlineStr">
        <is>
          <t>ART</t>
        </is>
      </c>
      <c r="L856" t="inlineStr"/>
      <c r="M856" t="inlineStr"/>
      <c r="N856" t="inlineStr"/>
      <c r="O856" t="inlineStr"/>
      <c r="P856" t="inlineStr">
        <is>
          <t>0902-ART</t>
        </is>
      </c>
      <c r="Q856">
        <f>IF(I856="ENFASIS","ÉNFASIS "&amp;M856,IFERROR(VLOOKUP(J856,Grupos!$A$2:$D$100,4,FALSE),J856))</f>
        <v/>
      </c>
      <c r="R856">
        <f>O856&amp;IF(N856&lt;&gt;"",IF(O856&lt;&gt;""," · ","")&amp;"Con: "&amp;N856,"")</f>
        <v/>
      </c>
      <c r="S856">
        <f>C856&amp;"|"&amp;D856</f>
        <v/>
      </c>
      <c r="T856">
        <f>COUNTIF($S$2:S856,S856)</f>
        <v/>
      </c>
      <c r="U856">
        <f>S856&amp;"|"&amp;T856</f>
        <v/>
      </c>
      <c r="V856">
        <f>IFERROR(VLOOKUP(IF(I856="ENFASIS",LEFT(M856,FIND("+",M856&amp;"+")-1),J856),Direccion_Grupo!$A$2:$G$100,7,FALSE),"")</f>
        <v/>
      </c>
    </row>
    <row r="857">
      <c r="A857" t="n">
        <v>5</v>
      </c>
      <c r="B857" t="inlineStr">
        <is>
          <t>Bastidas Valencia Zeneida Judith</t>
        </is>
      </c>
      <c r="C857" t="inlineStr">
        <is>
          <t>MIERCOLES</t>
        </is>
      </c>
      <c r="D857" t="n">
        <v>6</v>
      </c>
      <c r="E857" t="n">
        <v>3</v>
      </c>
      <c r="F857" t="n">
        <v>2</v>
      </c>
      <c r="G857" t="inlineStr">
        <is>
          <t>10:55</t>
        </is>
      </c>
      <c r="H857" t="inlineStr">
        <is>
          <t>11:40</t>
        </is>
      </c>
      <c r="I857" t="inlineStr">
        <is>
          <t>CLASE</t>
        </is>
      </c>
      <c r="J857" t="inlineStr">
        <is>
          <t>1001</t>
        </is>
      </c>
      <c r="K857" t="inlineStr">
        <is>
          <t>MAT</t>
        </is>
      </c>
      <c r="L857" t="inlineStr"/>
      <c r="M857" t="inlineStr"/>
      <c r="N857" t="inlineStr"/>
      <c r="O857" t="inlineStr"/>
      <c r="P857" t="inlineStr">
        <is>
          <t>1001-MAT</t>
        </is>
      </c>
      <c r="Q857">
        <f>IF(I857="ENFASIS","ÉNFASIS "&amp;M857,IFERROR(VLOOKUP(J857,Grupos!$A$2:$D$100,4,FALSE),J857))</f>
        <v/>
      </c>
      <c r="R857">
        <f>O857&amp;IF(N857&lt;&gt;"",IF(O857&lt;&gt;""," · ","")&amp;"Con: "&amp;N857,"")</f>
        <v/>
      </c>
      <c r="S857">
        <f>C857&amp;"|"&amp;D857</f>
        <v/>
      </c>
      <c r="T857">
        <f>COUNTIF($S$2:S857,S857)</f>
        <v/>
      </c>
      <c r="U857">
        <f>S857&amp;"|"&amp;T857</f>
        <v/>
      </c>
      <c r="V857">
        <f>IFERROR(VLOOKUP(IF(I857="ENFASIS",LEFT(M857,FIND("+",M857&amp;"+")-1),J857),Direccion_Grupo!$A$2:$G$100,7,FALSE),"")</f>
        <v/>
      </c>
    </row>
    <row r="858">
      <c r="A858" t="n">
        <v>54</v>
      </c>
      <c r="B858" t="inlineStr">
        <is>
          <t>Villota Rubio Janeth del Carmen</t>
        </is>
      </c>
      <c r="C858" t="inlineStr">
        <is>
          <t>MIERCOLES</t>
        </is>
      </c>
      <c r="D858" t="n">
        <v>6</v>
      </c>
      <c r="E858" t="n">
        <v>3</v>
      </c>
      <c r="F858" t="n">
        <v>2</v>
      </c>
      <c r="G858" t="inlineStr">
        <is>
          <t>10:55</t>
        </is>
      </c>
      <c r="H858" t="inlineStr">
        <is>
          <t>11:40</t>
        </is>
      </c>
      <c r="I858" t="inlineStr">
        <is>
          <t>CLASE</t>
        </is>
      </c>
      <c r="J858" t="inlineStr">
        <is>
          <t>1002</t>
        </is>
      </c>
      <c r="K858" t="inlineStr">
        <is>
          <t>MAT</t>
        </is>
      </c>
      <c r="L858" t="inlineStr"/>
      <c r="M858" t="inlineStr"/>
      <c r="N858" t="inlineStr"/>
      <c r="O858" t="inlineStr"/>
      <c r="P858" t="inlineStr">
        <is>
          <t>1002-MAT</t>
        </is>
      </c>
      <c r="Q858">
        <f>IF(I858="ENFASIS","ÉNFASIS "&amp;M858,IFERROR(VLOOKUP(J858,Grupos!$A$2:$D$100,4,FALSE),J858))</f>
        <v/>
      </c>
      <c r="R858">
        <f>O858&amp;IF(N858&lt;&gt;"",IF(O858&lt;&gt;""," · ","")&amp;"Con: "&amp;N858,"")</f>
        <v/>
      </c>
      <c r="S858">
        <f>C858&amp;"|"&amp;D858</f>
        <v/>
      </c>
      <c r="T858">
        <f>COUNTIF($S$2:S858,S858)</f>
        <v/>
      </c>
      <c r="U858">
        <f>S858&amp;"|"&amp;T858</f>
        <v/>
      </c>
      <c r="V858">
        <f>IFERROR(VLOOKUP(IF(I858="ENFASIS",LEFT(M858,FIND("+",M858&amp;"+")-1),J858),Direccion_Grupo!$A$2:$G$100,7,FALSE),"")</f>
        <v/>
      </c>
    </row>
    <row r="859">
      <c r="A859" t="n">
        <v>2</v>
      </c>
      <c r="B859" t="inlineStr">
        <is>
          <t>Angulo Lucero Andrés Mauricio</t>
        </is>
      </c>
      <c r="C859" t="inlineStr">
        <is>
          <t>MIERCOLES</t>
        </is>
      </c>
      <c r="D859" t="n">
        <v>6</v>
      </c>
      <c r="E859" t="n">
        <v>3</v>
      </c>
      <c r="F859" t="n">
        <v>2</v>
      </c>
      <c r="G859" t="inlineStr">
        <is>
          <t>10:55</t>
        </is>
      </c>
      <c r="H859" t="inlineStr">
        <is>
          <t>11:40</t>
        </is>
      </c>
      <c r="I859" t="inlineStr">
        <is>
          <t>CLASE</t>
        </is>
      </c>
      <c r="J859" t="inlineStr">
        <is>
          <t>1102</t>
        </is>
      </c>
      <c r="K859" t="inlineStr">
        <is>
          <t>TEI</t>
        </is>
      </c>
      <c r="L859" t="inlineStr"/>
      <c r="M859" t="inlineStr"/>
      <c r="N859" t="inlineStr"/>
      <c r="O859" t="inlineStr"/>
      <c r="P859" t="inlineStr">
        <is>
          <t>1102-TEI</t>
        </is>
      </c>
      <c r="Q859">
        <f>IF(I859="ENFASIS","ÉNFASIS "&amp;M859,IFERROR(VLOOKUP(J859,Grupos!$A$2:$D$100,4,FALSE),J859))</f>
        <v/>
      </c>
      <c r="R859">
        <f>O859&amp;IF(N859&lt;&gt;"",IF(O859&lt;&gt;""," · ","")&amp;"Con: "&amp;N859,"")</f>
        <v/>
      </c>
      <c r="S859">
        <f>C859&amp;"|"&amp;D859</f>
        <v/>
      </c>
      <c r="T859">
        <f>COUNTIF($S$2:S859,S859)</f>
        <v/>
      </c>
      <c r="U859">
        <f>S859&amp;"|"&amp;T859</f>
        <v/>
      </c>
      <c r="V859">
        <f>IFERROR(VLOOKUP(IF(I859="ENFASIS",LEFT(M859,FIND("+",M859&amp;"+")-1),J859),Direccion_Grupo!$A$2:$G$100,7,FALSE),"")</f>
        <v/>
      </c>
    </row>
    <row r="860">
      <c r="A860" t="n">
        <v>57</v>
      </c>
      <c r="B860" t="inlineStr">
        <is>
          <t>Armero Dájome Jesús</t>
        </is>
      </c>
      <c r="C860" t="inlineStr">
        <is>
          <t>MIERCOLES</t>
        </is>
      </c>
      <c r="D860" t="n">
        <v>6</v>
      </c>
      <c r="E860" t="n">
        <v>3</v>
      </c>
      <c r="F860" t="n">
        <v>2</v>
      </c>
      <c r="G860" t="inlineStr">
        <is>
          <t>10:55</t>
        </is>
      </c>
      <c r="H860" t="inlineStr">
        <is>
          <t>11:40</t>
        </is>
      </c>
      <c r="I860" t="inlineStr">
        <is>
          <t>CLASE</t>
        </is>
      </c>
      <c r="J860" t="inlineStr">
        <is>
          <t>CS101</t>
        </is>
      </c>
      <c r="K860" t="inlineStr">
        <is>
          <t>ERD</t>
        </is>
      </c>
      <c r="L860" t="inlineStr"/>
      <c r="M860" t="inlineStr"/>
      <c r="N860" t="inlineStr"/>
      <c r="O860" t="inlineStr"/>
      <c r="P860" t="inlineStr">
        <is>
          <t>CS101-ERD</t>
        </is>
      </c>
      <c r="Q860">
        <f>IF(I860="ENFASIS","ÉNFASIS "&amp;M860,IFERROR(VLOOKUP(J860,Grupos!$A$2:$D$100,4,FALSE),J860))</f>
        <v/>
      </c>
      <c r="R860">
        <f>O860&amp;IF(N860&lt;&gt;"",IF(O860&lt;&gt;""," · ","")&amp;"Con: "&amp;N860,"")</f>
        <v/>
      </c>
      <c r="S860">
        <f>C860&amp;"|"&amp;D860</f>
        <v/>
      </c>
      <c r="T860">
        <f>COUNTIF($S$2:S860,S860)</f>
        <v/>
      </c>
      <c r="U860">
        <f>S860&amp;"|"&amp;T860</f>
        <v/>
      </c>
      <c r="V860">
        <f>IFERROR(VLOOKUP(IF(I860="ENFASIS",LEFT(M860,FIND("+",M860&amp;"+")-1),J860),Direccion_Grupo!$A$2:$G$100,7,FALSE),"")</f>
        <v/>
      </c>
    </row>
    <row r="861">
      <c r="A861" t="n">
        <v>37</v>
      </c>
      <c r="B861" t="inlineStr">
        <is>
          <t>Prado Quiñones Genís Maribel</t>
        </is>
      </c>
      <c r="C861" t="inlineStr">
        <is>
          <t>MIERCOLES</t>
        </is>
      </c>
      <c r="D861" t="n">
        <v>6</v>
      </c>
      <c r="E861" t="n">
        <v>3</v>
      </c>
      <c r="F861" t="n">
        <v>2</v>
      </c>
      <c r="G861" t="inlineStr">
        <is>
          <t>10:55</t>
        </is>
      </c>
      <c r="H861" t="inlineStr">
        <is>
          <t>11:40</t>
        </is>
      </c>
      <c r="I861" t="inlineStr">
        <is>
          <t>CLASE</t>
        </is>
      </c>
      <c r="J861" t="inlineStr">
        <is>
          <t>CS102</t>
        </is>
      </c>
      <c r="K861" t="inlineStr">
        <is>
          <t>ART</t>
        </is>
      </c>
      <c r="L861" t="inlineStr"/>
      <c r="M861" t="inlineStr"/>
      <c r="N861" t="inlineStr"/>
      <c r="O861" t="inlineStr"/>
      <c r="P861" t="inlineStr">
        <is>
          <t>CS102-ART</t>
        </is>
      </c>
      <c r="Q861">
        <f>IF(I861="ENFASIS","ÉNFASIS "&amp;M861,IFERROR(VLOOKUP(J861,Grupos!$A$2:$D$100,4,FALSE),J861))</f>
        <v/>
      </c>
      <c r="R861">
        <f>O861&amp;IF(N861&lt;&gt;"",IF(O861&lt;&gt;""," · ","")&amp;"Con: "&amp;N861,"")</f>
        <v/>
      </c>
      <c r="S861">
        <f>C861&amp;"|"&amp;D861</f>
        <v/>
      </c>
      <c r="T861">
        <f>COUNTIF($S$2:S861,S861)</f>
        <v/>
      </c>
      <c r="U861">
        <f>S861&amp;"|"&amp;T861</f>
        <v/>
      </c>
      <c r="V861">
        <f>IFERROR(VLOOKUP(IF(I861="ENFASIS",LEFT(M861,FIND("+",M861&amp;"+")-1),J861),Direccion_Grupo!$A$2:$G$100,7,FALSE),"")</f>
        <v/>
      </c>
    </row>
    <row r="862">
      <c r="A862" t="n">
        <v>51</v>
      </c>
      <c r="B862" t="inlineStr">
        <is>
          <t>Valverde Montaño María Teresa</t>
        </is>
      </c>
      <c r="C862" t="inlineStr">
        <is>
          <t>MIERCOLES</t>
        </is>
      </c>
      <c r="D862" t="n">
        <v>6</v>
      </c>
      <c r="E862" t="n">
        <v>3</v>
      </c>
      <c r="F862" t="n">
        <v>2</v>
      </c>
      <c r="G862" t="inlineStr">
        <is>
          <t>10:55</t>
        </is>
      </c>
      <c r="H862" t="inlineStr">
        <is>
          <t>11:40</t>
        </is>
      </c>
      <c r="I862" t="inlineStr">
        <is>
          <t>CLASE</t>
        </is>
      </c>
      <c r="J862" t="inlineStr">
        <is>
          <t>CS201</t>
        </is>
      </c>
      <c r="K862" t="inlineStr">
        <is>
          <t>CAS</t>
        </is>
      </c>
      <c r="L862" t="inlineStr"/>
      <c r="M862" t="inlineStr"/>
      <c r="N862" t="inlineStr"/>
      <c r="O862" t="inlineStr"/>
      <c r="P862" t="inlineStr">
        <is>
          <t>CS201-CAS</t>
        </is>
      </c>
      <c r="Q862">
        <f>IF(I862="ENFASIS","ÉNFASIS "&amp;M862,IFERROR(VLOOKUP(J862,Grupos!$A$2:$D$100,4,FALSE),J862))</f>
        <v/>
      </c>
      <c r="R862">
        <f>O862&amp;IF(N862&lt;&gt;"",IF(O862&lt;&gt;""," · ","")&amp;"Con: "&amp;N862,"")</f>
        <v/>
      </c>
      <c r="S862">
        <f>C862&amp;"|"&amp;D862</f>
        <v/>
      </c>
      <c r="T862">
        <f>COUNTIF($S$2:S862,S862)</f>
        <v/>
      </c>
      <c r="U862">
        <f>S862&amp;"|"&amp;T862</f>
        <v/>
      </c>
      <c r="V862">
        <f>IFERROR(VLOOKUP(IF(I862="ENFASIS",LEFT(M862,FIND("+",M862&amp;"+")-1),J862),Direccion_Grupo!$A$2:$G$100,7,FALSE),"")</f>
        <v/>
      </c>
    </row>
    <row r="863">
      <c r="A863" t="n">
        <v>12</v>
      </c>
      <c r="B863" t="inlineStr">
        <is>
          <t>Chillambo Quiñones María Rocío</t>
        </is>
      </c>
      <c r="C863" t="inlineStr">
        <is>
          <t>MIERCOLES</t>
        </is>
      </c>
      <c r="D863" t="n">
        <v>6</v>
      </c>
      <c r="E863" t="n">
        <v>3</v>
      </c>
      <c r="F863" t="n">
        <v>2</v>
      </c>
      <c r="G863" t="inlineStr">
        <is>
          <t>10:55</t>
        </is>
      </c>
      <c r="H863" t="inlineStr">
        <is>
          <t>11:40</t>
        </is>
      </c>
      <c r="I863" t="inlineStr">
        <is>
          <t>CLASE</t>
        </is>
      </c>
      <c r="J863" t="inlineStr">
        <is>
          <t>CS202</t>
        </is>
      </c>
      <c r="K863" t="inlineStr">
        <is>
          <t>CNA</t>
        </is>
      </c>
      <c r="L863" t="inlineStr"/>
      <c r="M863" t="inlineStr"/>
      <c r="N863" t="inlineStr"/>
      <c r="O863" t="inlineStr"/>
      <c r="P863" t="inlineStr">
        <is>
          <t>CS202-CNA</t>
        </is>
      </c>
      <c r="Q863">
        <f>IF(I863="ENFASIS","ÉNFASIS "&amp;M863,IFERROR(VLOOKUP(J863,Grupos!$A$2:$D$100,4,FALSE),J863))</f>
        <v/>
      </c>
      <c r="R863">
        <f>O863&amp;IF(N863&lt;&gt;"",IF(O863&lt;&gt;""," · ","")&amp;"Con: "&amp;N863,"")</f>
        <v/>
      </c>
      <c r="S863">
        <f>C863&amp;"|"&amp;D863</f>
        <v/>
      </c>
      <c r="T863">
        <f>COUNTIF($S$2:S863,S863)</f>
        <v/>
      </c>
      <c r="U863">
        <f>S863&amp;"|"&amp;T863</f>
        <v/>
      </c>
      <c r="V863">
        <f>IFERROR(VLOOKUP(IF(I863="ENFASIS",LEFT(M863,FIND("+",M863&amp;"+")-1),J863),Direccion_Grupo!$A$2:$G$100,7,FALSE),"")</f>
        <v/>
      </c>
    </row>
    <row r="864">
      <c r="A864" t="n">
        <v>7</v>
      </c>
      <c r="B864" t="inlineStr">
        <is>
          <t>Casanova Casanova Johana Andrea</t>
        </is>
      </c>
      <c r="C864" t="inlineStr">
        <is>
          <t>MIERCOLES</t>
        </is>
      </c>
      <c r="D864" t="n">
        <v>6</v>
      </c>
      <c r="E864" t="n">
        <v>3</v>
      </c>
      <c r="F864" t="n">
        <v>2</v>
      </c>
      <c r="G864" t="inlineStr">
        <is>
          <t>10:55</t>
        </is>
      </c>
      <c r="H864" t="inlineStr">
        <is>
          <t>11:40</t>
        </is>
      </c>
      <c r="I864" t="inlineStr">
        <is>
          <t>ORIENTACION</t>
        </is>
      </c>
      <c r="J864" t="inlineStr">
        <is>
          <t>ORIENT</t>
        </is>
      </c>
      <c r="K864" t="inlineStr">
        <is>
          <t>ORIENTACIÓN ESCOLAR</t>
        </is>
      </c>
      <c r="L864" t="inlineStr"/>
      <c r="M864" t="inlineStr"/>
      <c r="N864" t="inlineStr"/>
      <c r="O864" t="inlineStr">
        <is>
          <t>Jornada 07:30 a 14:30</t>
        </is>
      </c>
      <c r="P864" t="inlineStr"/>
      <c r="Q864">
        <f>IF(I864="ENFASIS","ÉNFASIS "&amp;M864,IFERROR(VLOOKUP(J864,Grupos!$A$2:$D$100,4,FALSE),J864))</f>
        <v/>
      </c>
      <c r="R864">
        <f>O864&amp;IF(N864&lt;&gt;"",IF(O864&lt;&gt;""," · ","")&amp;"Con: "&amp;N864,"")</f>
        <v/>
      </c>
      <c r="S864">
        <f>C864&amp;"|"&amp;D864</f>
        <v/>
      </c>
      <c r="T864">
        <f>COUNTIF($S$2:S864,S864)</f>
        <v/>
      </c>
      <c r="U864">
        <f>S864&amp;"|"&amp;T864</f>
        <v/>
      </c>
      <c r="V864">
        <f>IFERROR(VLOOKUP(IF(I864="ENFASIS",LEFT(M864,FIND("+",M864&amp;"+")-1),J864),Direccion_Grupo!$A$2:$G$100,7,FALSE),"")</f>
        <v/>
      </c>
    </row>
    <row r="865">
      <c r="A865" t="n">
        <v>36</v>
      </c>
      <c r="B865" t="inlineStr">
        <is>
          <t>Ponce Moncayo Ángela Paola</t>
        </is>
      </c>
      <c r="C865" t="inlineStr">
        <is>
          <t>MIERCOLES</t>
        </is>
      </c>
      <c r="D865" t="n">
        <v>6</v>
      </c>
      <c r="E865" t="n">
        <v>3</v>
      </c>
      <c r="F865" t="n">
        <v>2</v>
      </c>
      <c r="G865" t="inlineStr">
        <is>
          <t>10:55</t>
        </is>
      </c>
      <c r="H865" t="inlineStr">
        <is>
          <t>11:40</t>
        </is>
      </c>
      <c r="I865" t="inlineStr">
        <is>
          <t>ORIENTACION</t>
        </is>
      </c>
      <c r="J865" t="inlineStr">
        <is>
          <t>ORIENT</t>
        </is>
      </c>
      <c r="K865" t="inlineStr">
        <is>
          <t>ORIENTACIÓN ESCOLAR</t>
        </is>
      </c>
      <c r="L865" t="inlineStr"/>
      <c r="M865" t="inlineStr"/>
      <c r="N865" t="inlineStr"/>
      <c r="O865" t="inlineStr">
        <is>
          <t>Jornada 08:30 a 13:30</t>
        </is>
      </c>
      <c r="P865" t="inlineStr"/>
      <c r="Q865">
        <f>IF(I865="ENFASIS","ÉNFASIS "&amp;M865,IFERROR(VLOOKUP(J865,Grupos!$A$2:$D$100,4,FALSE),J865))</f>
        <v/>
      </c>
      <c r="R865">
        <f>O865&amp;IF(N865&lt;&gt;"",IF(O865&lt;&gt;""," · ","")&amp;"Con: "&amp;N865,"")</f>
        <v/>
      </c>
      <c r="S865">
        <f>C865&amp;"|"&amp;D865</f>
        <v/>
      </c>
      <c r="T865">
        <f>COUNTIF($S$2:S865,S865)</f>
        <v/>
      </c>
      <c r="U865">
        <f>S865&amp;"|"&amp;T865</f>
        <v/>
      </c>
      <c r="V865">
        <f>IFERROR(VLOOKUP(IF(I865="ENFASIS",LEFT(M865,FIND("+",M865&amp;"+")-1),J865),Direccion_Grupo!$A$2:$G$100,7,FALSE),"")</f>
        <v/>
      </c>
    </row>
    <row r="866">
      <c r="A866" t="n">
        <v>56</v>
      </c>
      <c r="B866" t="inlineStr">
        <is>
          <t>Ortiz Estacio Martha Cecilia</t>
        </is>
      </c>
      <c r="C866" t="inlineStr">
        <is>
          <t>MIERCOLES</t>
        </is>
      </c>
      <c r="D866" t="n">
        <v>6</v>
      </c>
      <c r="E866" t="n">
        <v>3</v>
      </c>
      <c r="F866" t="n">
        <v>2</v>
      </c>
      <c r="G866" t="inlineStr">
        <is>
          <t>10:55</t>
        </is>
      </c>
      <c r="H866" t="inlineStr">
        <is>
          <t>11:40</t>
        </is>
      </c>
      <c r="I866" t="inlineStr">
        <is>
          <t>TUTORIA</t>
        </is>
      </c>
      <c r="J866" t="inlineStr">
        <is>
          <t>PTAFI</t>
        </is>
      </c>
      <c r="K866" t="inlineStr">
        <is>
          <t>TUTORÍA PTAFI</t>
        </is>
      </c>
      <c r="L866" t="inlineStr"/>
      <c r="M866" t="inlineStr"/>
      <c r="N866" t="inlineStr"/>
      <c r="O866" t="inlineStr">
        <is>
          <t>Jornada 06:30 a 12:00</t>
        </is>
      </c>
      <c r="P866" t="inlineStr"/>
      <c r="Q866">
        <f>IF(I866="ENFASIS","ÉNFASIS "&amp;M866,IFERROR(VLOOKUP(J866,Grupos!$A$2:$D$100,4,FALSE),J866))</f>
        <v/>
      </c>
      <c r="R866">
        <f>O866&amp;IF(N866&lt;&gt;"",IF(O866&lt;&gt;""," · ","")&amp;"Con: "&amp;N866,"")</f>
        <v/>
      </c>
      <c r="S866">
        <f>C866&amp;"|"&amp;D866</f>
        <v/>
      </c>
      <c r="T866">
        <f>COUNTIF($S$2:S866,S866)</f>
        <v/>
      </c>
      <c r="U866">
        <f>S866&amp;"|"&amp;T866</f>
        <v/>
      </c>
      <c r="V866">
        <f>IFERROR(VLOOKUP(IF(I866="ENFASIS",LEFT(M866,FIND("+",M866&amp;"+")-1),J866),Direccion_Grupo!$A$2:$G$100,7,FALSE),"")</f>
        <v/>
      </c>
    </row>
    <row r="867">
      <c r="A867" t="n">
        <v>1</v>
      </c>
      <c r="B867" t="inlineStr">
        <is>
          <t>Aguirre Riascos Jorge Andrés</t>
        </is>
      </c>
      <c r="C867" t="inlineStr">
        <is>
          <t>MIERCOLES</t>
        </is>
      </c>
      <c r="D867" t="n">
        <v>6</v>
      </c>
      <c r="E867" t="n">
        <v>3</v>
      </c>
      <c r="F867" t="n">
        <v>2</v>
      </c>
      <c r="G867" t="inlineStr">
        <is>
          <t>10:55</t>
        </is>
      </c>
      <c r="H867" t="inlineStr">
        <is>
          <t>11:40</t>
        </is>
      </c>
      <c r="I867" t="inlineStr">
        <is>
          <t>ENFASIS</t>
        </is>
      </c>
      <c r="J867" t="inlineStr"/>
      <c r="K867" t="inlineStr">
        <is>
          <t>TEI</t>
        </is>
      </c>
      <c r="L867" t="inlineStr">
        <is>
          <t>0704</t>
        </is>
      </c>
      <c r="M867" t="inlineStr">
        <is>
          <t>0704</t>
        </is>
      </c>
      <c r="N867" t="inlineStr">
        <is>
          <t>Vásquez Valencia Segundo Leoncio (MAT)</t>
        </is>
      </c>
      <c r="O867" t="inlineStr">
        <is>
          <t>PAREJA: comparten el énfasis y alternan por semana</t>
        </is>
      </c>
      <c r="P867" t="inlineStr">
        <is>
          <t>ENFASIS-0704</t>
        </is>
      </c>
      <c r="Q867">
        <f>IF(I867="ENFASIS","ÉNFASIS "&amp;M867,IFERROR(VLOOKUP(J867,Grupos!$A$2:$D$100,4,FALSE),J867))</f>
        <v/>
      </c>
      <c r="R867">
        <f>O867&amp;IF(N867&lt;&gt;"",IF(O867&lt;&gt;""," · ","")&amp;"Con: "&amp;N867,"")</f>
        <v/>
      </c>
      <c r="S867">
        <f>C867&amp;"|"&amp;D867</f>
        <v/>
      </c>
      <c r="T867">
        <f>COUNTIF($S$2:S867,S867)</f>
        <v/>
      </c>
      <c r="U867">
        <f>S867&amp;"|"&amp;T867</f>
        <v/>
      </c>
      <c r="V867">
        <f>IFERROR(VLOOKUP(IF(I867="ENFASIS",LEFT(M867,FIND("+",M867&amp;"+")-1),J867),Direccion_Grupo!$A$2:$G$100,7,FALSE),"")</f>
        <v/>
      </c>
    </row>
    <row r="868">
      <c r="A868" t="n">
        <v>52</v>
      </c>
      <c r="B868" t="inlineStr">
        <is>
          <t>Vásquez Valencia Segundo Leoncio</t>
        </is>
      </c>
      <c r="C868" t="inlineStr">
        <is>
          <t>MIERCOLES</t>
        </is>
      </c>
      <c r="D868" t="n">
        <v>6</v>
      </c>
      <c r="E868" t="n">
        <v>3</v>
      </c>
      <c r="F868" t="n">
        <v>2</v>
      </c>
      <c r="G868" t="inlineStr">
        <is>
          <t>10:55</t>
        </is>
      </c>
      <c r="H868" t="inlineStr">
        <is>
          <t>11:40</t>
        </is>
      </c>
      <c r="I868" t="inlineStr">
        <is>
          <t>ENFASIS</t>
        </is>
      </c>
      <c r="J868" t="inlineStr"/>
      <c r="K868" t="inlineStr">
        <is>
          <t>MAT</t>
        </is>
      </c>
      <c r="L868" t="inlineStr">
        <is>
          <t>0704</t>
        </is>
      </c>
      <c r="M868" t="inlineStr">
        <is>
          <t>0704</t>
        </is>
      </c>
      <c r="N868" t="inlineStr">
        <is>
          <t>Aguirre Riascos Jorge Andrés (TEI)</t>
        </is>
      </c>
      <c r="O868" t="inlineStr">
        <is>
          <t>PAREJA: comparten el énfasis y alternan por semana</t>
        </is>
      </c>
      <c r="P868" t="inlineStr">
        <is>
          <t>ENFASIS-0704</t>
        </is>
      </c>
      <c r="Q868">
        <f>IF(I868="ENFASIS","ÉNFASIS "&amp;M868,IFERROR(VLOOKUP(J868,Grupos!$A$2:$D$100,4,FALSE),J868))</f>
        <v/>
      </c>
      <c r="R868">
        <f>O868&amp;IF(N868&lt;&gt;"",IF(O868&lt;&gt;""," · ","")&amp;"Con: "&amp;N868,"")</f>
        <v/>
      </c>
      <c r="S868">
        <f>C868&amp;"|"&amp;D868</f>
        <v/>
      </c>
      <c r="T868">
        <f>COUNTIF($S$2:S868,S868)</f>
        <v/>
      </c>
      <c r="U868">
        <f>S868&amp;"|"&amp;T868</f>
        <v/>
      </c>
      <c r="V868">
        <f>IFERROR(VLOOKUP(IF(I868="ENFASIS",LEFT(M868,FIND("+",M868&amp;"+")-1),J868),Direccion_Grupo!$A$2:$G$100,7,FALSE),"")</f>
        <v/>
      </c>
    </row>
    <row r="869">
      <c r="A869" t="n">
        <v>9</v>
      </c>
      <c r="B869" t="inlineStr">
        <is>
          <t>Castillo Angulo Martha Cecilia</t>
        </is>
      </c>
      <c r="C869" t="inlineStr">
        <is>
          <t>MIERCOLES</t>
        </is>
      </c>
      <c r="D869" t="n">
        <v>6</v>
      </c>
      <c r="E869" t="n">
        <v>3</v>
      </c>
      <c r="F869" t="n">
        <v>2</v>
      </c>
      <c r="G869" t="inlineStr">
        <is>
          <t>10:55</t>
        </is>
      </c>
      <c r="H869" t="inlineStr">
        <is>
          <t>11:40</t>
        </is>
      </c>
      <c r="I869" t="inlineStr">
        <is>
          <t>ENFASIS</t>
        </is>
      </c>
      <c r="J869" t="inlineStr"/>
      <c r="K869" t="inlineStr">
        <is>
          <t>ETR</t>
        </is>
      </c>
      <c r="L869" t="inlineStr">
        <is>
          <t>0802</t>
        </is>
      </c>
      <c r="M869" t="inlineStr">
        <is>
          <t>0802</t>
        </is>
      </c>
      <c r="N869" t="inlineStr">
        <is>
          <t>Ortiz Araujo Adiela Carlota (CSI)</t>
        </is>
      </c>
      <c r="O869" t="inlineStr">
        <is>
          <t>PAREJA: comparten el énfasis y alternan por semana</t>
        </is>
      </c>
      <c r="P869" t="inlineStr">
        <is>
          <t>ENFASIS-0802</t>
        </is>
      </c>
      <c r="Q869">
        <f>IF(I869="ENFASIS","ÉNFASIS "&amp;M869,IFERROR(VLOOKUP(J869,Grupos!$A$2:$D$100,4,FALSE),J869))</f>
        <v/>
      </c>
      <c r="R869">
        <f>O869&amp;IF(N869&lt;&gt;"",IF(O869&lt;&gt;""," · ","")&amp;"Con: "&amp;N869,"")</f>
        <v/>
      </c>
      <c r="S869">
        <f>C869&amp;"|"&amp;D869</f>
        <v/>
      </c>
      <c r="T869">
        <f>COUNTIF($S$2:S869,S869)</f>
        <v/>
      </c>
      <c r="U869">
        <f>S869&amp;"|"&amp;T869</f>
        <v/>
      </c>
      <c r="V869">
        <f>IFERROR(VLOOKUP(IF(I869="ENFASIS",LEFT(M869,FIND("+",M869&amp;"+")-1),J869),Direccion_Grupo!$A$2:$G$100,7,FALSE),"")</f>
        <v/>
      </c>
    </row>
    <row r="870">
      <c r="A870" t="n">
        <v>19</v>
      </c>
      <c r="B870" t="inlineStr">
        <is>
          <t>Fernández Vélez Alfredo Enrique</t>
        </is>
      </c>
      <c r="C870" t="inlineStr">
        <is>
          <t>MIERCOLES</t>
        </is>
      </c>
      <c r="D870" t="n">
        <v>6</v>
      </c>
      <c r="E870" t="n">
        <v>3</v>
      </c>
      <c r="F870" t="n">
        <v>2</v>
      </c>
      <c r="G870" t="inlineStr">
        <is>
          <t>10:55</t>
        </is>
      </c>
      <c r="H870" t="inlineStr">
        <is>
          <t>11:40</t>
        </is>
      </c>
      <c r="I870" t="inlineStr">
        <is>
          <t>ENFASIS</t>
        </is>
      </c>
      <c r="J870" t="inlineStr"/>
      <c r="K870" t="inlineStr">
        <is>
          <t>TEI</t>
        </is>
      </c>
      <c r="L870" t="inlineStr">
        <is>
          <t>D3-8°</t>
        </is>
      </c>
      <c r="M870" t="inlineStr">
        <is>
          <t>0802</t>
        </is>
      </c>
      <c r="N870" t="inlineStr">
        <is>
          <t>Preciado Torres Oleisa (MAT)</t>
        </is>
      </c>
      <c r="O870" t="inlineStr">
        <is>
          <t>PAREJA: comparten el énfasis y alternan por semana</t>
        </is>
      </c>
      <c r="P870" t="inlineStr">
        <is>
          <t>ENFASIS-D3-8°</t>
        </is>
      </c>
      <c r="Q870">
        <f>IF(I870="ENFASIS","ÉNFASIS "&amp;M870,IFERROR(VLOOKUP(J870,Grupos!$A$2:$D$100,4,FALSE),J870))</f>
        <v/>
      </c>
      <c r="R870">
        <f>O870&amp;IF(N870&lt;&gt;"",IF(O870&lt;&gt;""," · ","")&amp;"Con: "&amp;N870,"")</f>
        <v/>
      </c>
      <c r="S870">
        <f>C870&amp;"|"&amp;D870</f>
        <v/>
      </c>
      <c r="T870">
        <f>COUNTIF($S$2:S870,S870)</f>
        <v/>
      </c>
      <c r="U870">
        <f>S870&amp;"|"&amp;T870</f>
        <v/>
      </c>
      <c r="V870">
        <f>IFERROR(VLOOKUP(IF(I870="ENFASIS",LEFT(M870,FIND("+",M870&amp;"+")-1),J870),Direccion_Grupo!$A$2:$G$100,7,FALSE),"")</f>
        <v/>
      </c>
    </row>
    <row r="871">
      <c r="A871" t="n">
        <v>35</v>
      </c>
      <c r="B871" t="inlineStr">
        <is>
          <t>Ortiz Araujo Adiela Carlota</t>
        </is>
      </c>
      <c r="C871" t="inlineStr">
        <is>
          <t>MIERCOLES</t>
        </is>
      </c>
      <c r="D871" t="n">
        <v>6</v>
      </c>
      <c r="E871" t="n">
        <v>3</v>
      </c>
      <c r="F871" t="n">
        <v>2</v>
      </c>
      <c r="G871" t="inlineStr">
        <is>
          <t>10:55</t>
        </is>
      </c>
      <c r="H871" t="inlineStr">
        <is>
          <t>11:40</t>
        </is>
      </c>
      <c r="I871" t="inlineStr">
        <is>
          <t>ENFASIS</t>
        </is>
      </c>
      <c r="J871" t="inlineStr"/>
      <c r="K871" t="inlineStr">
        <is>
          <t>CSI</t>
        </is>
      </c>
      <c r="L871" t="inlineStr">
        <is>
          <t>0802</t>
        </is>
      </c>
      <c r="M871" t="inlineStr">
        <is>
          <t>0802</t>
        </is>
      </c>
      <c r="N871" t="inlineStr">
        <is>
          <t>Castillo Angulo Martha Cecilia (ETR)</t>
        </is>
      </c>
      <c r="O871" t="inlineStr">
        <is>
          <t>PAREJA: comparten el énfasis y alternan por semana</t>
        </is>
      </c>
      <c r="P871" t="inlineStr">
        <is>
          <t>ENFASIS-0802</t>
        </is>
      </c>
      <c r="Q871">
        <f>IF(I871="ENFASIS","ÉNFASIS "&amp;M871,IFERROR(VLOOKUP(J871,Grupos!$A$2:$D$100,4,FALSE),J871))</f>
        <v/>
      </c>
      <c r="R871">
        <f>O871&amp;IF(N871&lt;&gt;"",IF(O871&lt;&gt;""," · ","")&amp;"Con: "&amp;N871,"")</f>
        <v/>
      </c>
      <c r="S871">
        <f>C871&amp;"|"&amp;D871</f>
        <v/>
      </c>
      <c r="T871">
        <f>COUNTIF($S$2:S871,S871)</f>
        <v/>
      </c>
      <c r="U871">
        <f>S871&amp;"|"&amp;T871</f>
        <v/>
      </c>
      <c r="V871">
        <f>IFERROR(VLOOKUP(IF(I871="ENFASIS",LEFT(M871,FIND("+",M871&amp;"+")-1),J871),Direccion_Grupo!$A$2:$G$100,7,FALSE),"")</f>
        <v/>
      </c>
    </row>
    <row r="872">
      <c r="A872" t="n">
        <v>38</v>
      </c>
      <c r="B872" t="inlineStr">
        <is>
          <t>Preciado Torres Oleisa</t>
        </is>
      </c>
      <c r="C872" t="inlineStr">
        <is>
          <t>MIERCOLES</t>
        </is>
      </c>
      <c r="D872" t="n">
        <v>6</v>
      </c>
      <c r="E872" t="n">
        <v>3</v>
      </c>
      <c r="F872" t="n">
        <v>2</v>
      </c>
      <c r="G872" t="inlineStr">
        <is>
          <t>10:55</t>
        </is>
      </c>
      <c r="H872" t="inlineStr">
        <is>
          <t>11:40</t>
        </is>
      </c>
      <c r="I872" t="inlineStr">
        <is>
          <t>ENFASIS</t>
        </is>
      </c>
      <c r="J872" t="inlineStr"/>
      <c r="K872" t="inlineStr">
        <is>
          <t>MAT</t>
        </is>
      </c>
      <c r="L872" t="inlineStr">
        <is>
          <t>D3-8°</t>
        </is>
      </c>
      <c r="M872" t="inlineStr">
        <is>
          <t>0802</t>
        </is>
      </c>
      <c r="N872" t="inlineStr">
        <is>
          <t>Fernández Vélez Alfredo Enrique (TEI)</t>
        </is>
      </c>
      <c r="O872" t="inlineStr">
        <is>
          <t>PAREJA: comparten el énfasis y alternan por semana</t>
        </is>
      </c>
      <c r="P872" t="inlineStr">
        <is>
          <t>ENFASIS-D3-8°</t>
        </is>
      </c>
      <c r="Q872">
        <f>IF(I872="ENFASIS","ÉNFASIS "&amp;M872,IFERROR(VLOOKUP(J872,Grupos!$A$2:$D$100,4,FALSE),J872))</f>
        <v/>
      </c>
      <c r="R872">
        <f>O872&amp;IF(N872&lt;&gt;"",IF(O872&lt;&gt;""," · ","")&amp;"Con: "&amp;N872,"")</f>
        <v/>
      </c>
      <c r="S872">
        <f>C872&amp;"|"&amp;D872</f>
        <v/>
      </c>
      <c r="T872">
        <f>COUNTIF($S$2:S872,S872)</f>
        <v/>
      </c>
      <c r="U872">
        <f>S872&amp;"|"&amp;T872</f>
        <v/>
      </c>
      <c r="V872">
        <f>IFERROR(VLOOKUP(IF(I872="ENFASIS",LEFT(M872,FIND("+",M872&amp;"+")-1),J872),Direccion_Grupo!$A$2:$G$100,7,FALSE),"")</f>
        <v/>
      </c>
    </row>
    <row r="873">
      <c r="A873" t="n">
        <v>3</v>
      </c>
      <c r="B873" t="inlineStr">
        <is>
          <t>Arboleda Ortiz Luz América</t>
        </is>
      </c>
      <c r="C873" t="inlineStr">
        <is>
          <t>MIERCOLES</t>
        </is>
      </c>
      <c r="D873" t="n">
        <v>6</v>
      </c>
      <c r="E873" t="n">
        <v>3</v>
      </c>
      <c r="F873" t="n">
        <v>2</v>
      </c>
      <c r="G873" t="inlineStr">
        <is>
          <t>10:55</t>
        </is>
      </c>
      <c r="H873" t="inlineStr">
        <is>
          <t>11:40</t>
        </is>
      </c>
      <c r="I873" t="inlineStr">
        <is>
          <t>ENFASIS</t>
        </is>
      </c>
      <c r="J873" t="inlineStr"/>
      <c r="K873" t="inlineStr">
        <is>
          <t>ART</t>
        </is>
      </c>
      <c r="L873" t="inlineStr">
        <is>
          <t>D5-11°</t>
        </is>
      </c>
      <c r="M873" t="inlineStr">
        <is>
          <t>1101</t>
        </is>
      </c>
      <c r="N873" t="inlineStr">
        <is>
          <t>Montaño Anchico Favio Héctor (CAS); Ramírez Guerra Jimmy Eduardo (ERD); Villota Rubio Héctor Hugo (CNA)</t>
        </is>
      </c>
      <c r="O873" t="inlineStr">
        <is>
          <t>EQUIPO DE 4: cada docente atiende un grupo de estudiantes en su área</t>
        </is>
      </c>
      <c r="P873" t="inlineStr">
        <is>
          <t>ENFASIS-D5-11°</t>
        </is>
      </c>
      <c r="Q873">
        <f>IF(I873="ENFASIS","ÉNFASIS "&amp;M873,IFERROR(VLOOKUP(J873,Grupos!$A$2:$D$100,4,FALSE),J873))</f>
        <v/>
      </c>
      <c r="R873">
        <f>O873&amp;IF(N873&lt;&gt;"",IF(O873&lt;&gt;""," · ","")&amp;"Con: "&amp;N873,"")</f>
        <v/>
      </c>
      <c r="S873">
        <f>C873&amp;"|"&amp;D873</f>
        <v/>
      </c>
      <c r="T873">
        <f>COUNTIF($S$2:S873,S873)</f>
        <v/>
      </c>
      <c r="U873">
        <f>S873&amp;"|"&amp;T873</f>
        <v/>
      </c>
      <c r="V873">
        <f>IFERROR(VLOOKUP(IF(I873="ENFASIS",LEFT(M873,FIND("+",M873&amp;"+")-1),J873),Direccion_Grupo!$A$2:$G$100,7,FALSE),"")</f>
        <v/>
      </c>
    </row>
    <row r="874">
      <c r="A874" t="n">
        <v>30</v>
      </c>
      <c r="B874" t="inlineStr">
        <is>
          <t>Montaño Anchico Favio Héctor</t>
        </is>
      </c>
      <c r="C874" t="inlineStr">
        <is>
          <t>MIERCOLES</t>
        </is>
      </c>
      <c r="D874" t="n">
        <v>6</v>
      </c>
      <c r="E874" t="n">
        <v>3</v>
      </c>
      <c r="F874" t="n">
        <v>2</v>
      </c>
      <c r="G874" t="inlineStr">
        <is>
          <t>10:55</t>
        </is>
      </c>
      <c r="H874" t="inlineStr">
        <is>
          <t>11:40</t>
        </is>
      </c>
      <c r="I874" t="inlineStr">
        <is>
          <t>ENFASIS</t>
        </is>
      </c>
      <c r="J874" t="inlineStr"/>
      <c r="K874" t="inlineStr">
        <is>
          <t>CAS</t>
        </is>
      </c>
      <c r="L874" t="inlineStr">
        <is>
          <t>D5-11°</t>
        </is>
      </c>
      <c r="M874" t="inlineStr">
        <is>
          <t>1101</t>
        </is>
      </c>
      <c r="N874" t="inlineStr">
        <is>
          <t>Arboleda Ortiz Luz América (ART); Ramírez Guerra Jimmy Eduardo (ERD); Villota Rubio Héctor Hugo (CNA)</t>
        </is>
      </c>
      <c r="O874" t="inlineStr">
        <is>
          <t>EQUIPO DE 4: cada docente atiende un grupo de estudiantes en su área</t>
        </is>
      </c>
      <c r="P874" t="inlineStr">
        <is>
          <t>ENFASIS-D5-11°</t>
        </is>
      </c>
      <c r="Q874">
        <f>IF(I874="ENFASIS","ÉNFASIS "&amp;M874,IFERROR(VLOOKUP(J874,Grupos!$A$2:$D$100,4,FALSE),J874))</f>
        <v/>
      </c>
      <c r="R874">
        <f>O874&amp;IF(N874&lt;&gt;"",IF(O874&lt;&gt;""," · ","")&amp;"Con: "&amp;N874,"")</f>
        <v/>
      </c>
      <c r="S874">
        <f>C874&amp;"|"&amp;D874</f>
        <v/>
      </c>
      <c r="T874">
        <f>COUNTIF($S$2:S874,S874)</f>
        <v/>
      </c>
      <c r="U874">
        <f>S874&amp;"|"&amp;T874</f>
        <v/>
      </c>
      <c r="V874">
        <f>IFERROR(VLOOKUP(IF(I874="ENFASIS",LEFT(M874,FIND("+",M874&amp;"+")-1),J874),Direccion_Grupo!$A$2:$G$100,7,FALSE),"")</f>
        <v/>
      </c>
    </row>
    <row r="875">
      <c r="A875" t="n">
        <v>43</v>
      </c>
      <c r="B875" t="inlineStr">
        <is>
          <t>Ramírez Guerra Jimmy Eduardo</t>
        </is>
      </c>
      <c r="C875" t="inlineStr">
        <is>
          <t>MIERCOLES</t>
        </is>
      </c>
      <c r="D875" t="n">
        <v>6</v>
      </c>
      <c r="E875" t="n">
        <v>3</v>
      </c>
      <c r="F875" t="n">
        <v>2</v>
      </c>
      <c r="G875" t="inlineStr">
        <is>
          <t>10:55</t>
        </is>
      </c>
      <c r="H875" t="inlineStr">
        <is>
          <t>11:40</t>
        </is>
      </c>
      <c r="I875" t="inlineStr">
        <is>
          <t>ENFASIS</t>
        </is>
      </c>
      <c r="J875" t="inlineStr"/>
      <c r="K875" t="inlineStr">
        <is>
          <t>ERD</t>
        </is>
      </c>
      <c r="L875" t="inlineStr">
        <is>
          <t>D5-11°</t>
        </is>
      </c>
      <c r="M875" t="inlineStr">
        <is>
          <t>1101</t>
        </is>
      </c>
      <c r="N875" t="inlineStr">
        <is>
          <t>Arboleda Ortiz Luz América (ART); Montaño Anchico Favio Héctor (CAS); Villota Rubio Héctor Hugo (CNA)</t>
        </is>
      </c>
      <c r="O875" t="inlineStr">
        <is>
          <t>EQUIPO DE 4: cada docente atiende un grupo de estudiantes en su área</t>
        </is>
      </c>
      <c r="P875" t="inlineStr">
        <is>
          <t>ENFASIS-D5-11°</t>
        </is>
      </c>
      <c r="Q875">
        <f>IF(I875="ENFASIS","ÉNFASIS "&amp;M875,IFERROR(VLOOKUP(J875,Grupos!$A$2:$D$100,4,FALSE),J875))</f>
        <v/>
      </c>
      <c r="R875">
        <f>O875&amp;IF(N875&lt;&gt;"",IF(O875&lt;&gt;""," · ","")&amp;"Con: "&amp;N875,"")</f>
        <v/>
      </c>
      <c r="S875">
        <f>C875&amp;"|"&amp;D875</f>
        <v/>
      </c>
      <c r="T875">
        <f>COUNTIF($S$2:S875,S875)</f>
        <v/>
      </c>
      <c r="U875">
        <f>S875&amp;"|"&amp;T875</f>
        <v/>
      </c>
      <c r="V875">
        <f>IFERROR(VLOOKUP(IF(I875="ENFASIS",LEFT(M875,FIND("+",M875&amp;"+")-1),J875),Direccion_Grupo!$A$2:$G$100,7,FALSE),"")</f>
        <v/>
      </c>
    </row>
    <row r="876">
      <c r="A876" t="n">
        <v>53</v>
      </c>
      <c r="B876" t="inlineStr">
        <is>
          <t>Villota Rubio Héctor Hugo</t>
        </is>
      </c>
      <c r="C876" t="inlineStr">
        <is>
          <t>MIERCOLES</t>
        </is>
      </c>
      <c r="D876" t="n">
        <v>6</v>
      </c>
      <c r="E876" t="n">
        <v>3</v>
      </c>
      <c r="F876" t="n">
        <v>2</v>
      </c>
      <c r="G876" t="inlineStr">
        <is>
          <t>10:55</t>
        </is>
      </c>
      <c r="H876" t="inlineStr">
        <is>
          <t>11:40</t>
        </is>
      </c>
      <c r="I876" t="inlineStr">
        <is>
          <t>ENFASIS</t>
        </is>
      </c>
      <c r="J876" t="inlineStr"/>
      <c r="K876" t="inlineStr">
        <is>
          <t>CNA</t>
        </is>
      </c>
      <c r="L876" t="inlineStr">
        <is>
          <t>D5-11°</t>
        </is>
      </c>
      <c r="M876" t="inlineStr">
        <is>
          <t>1101</t>
        </is>
      </c>
      <c r="N876" t="inlineStr">
        <is>
          <t>Arboleda Ortiz Luz América (ART); Montaño Anchico Favio Héctor (CAS); Ramírez Guerra Jimmy Eduardo (ERD)</t>
        </is>
      </c>
      <c r="O876" t="inlineStr">
        <is>
          <t>EQUIPO DE 4: cada docente atiende un grupo de estudiantes en su área</t>
        </is>
      </c>
      <c r="P876" t="inlineStr">
        <is>
          <t>ENFASIS-D5-11°</t>
        </is>
      </c>
      <c r="Q876">
        <f>IF(I876="ENFASIS","ÉNFASIS "&amp;M876,IFERROR(VLOOKUP(J876,Grupos!$A$2:$D$100,4,FALSE),J876))</f>
        <v/>
      </c>
      <c r="R876">
        <f>O876&amp;IF(N876&lt;&gt;"",IF(O876&lt;&gt;""," · ","")&amp;"Con: "&amp;N876,"")</f>
        <v/>
      </c>
      <c r="S876">
        <f>C876&amp;"|"&amp;D876</f>
        <v/>
      </c>
      <c r="T876">
        <f>COUNTIF($S$2:S876,S876)</f>
        <v/>
      </c>
      <c r="U876">
        <f>S876&amp;"|"&amp;T876</f>
        <v/>
      </c>
      <c r="V876">
        <f>IFERROR(VLOOKUP(IF(I876="ENFASIS",LEFT(M876,FIND("+",M876&amp;"+")-1),J876),Direccion_Grupo!$A$2:$G$100,7,FALSE),"")</f>
        <v/>
      </c>
    </row>
    <row r="877">
      <c r="A877" t="n">
        <v>41</v>
      </c>
      <c r="B877" t="inlineStr">
        <is>
          <t>Quintero Ramírez María del Carmen</t>
        </is>
      </c>
      <c r="C877" t="inlineStr">
        <is>
          <t>MIERCOLES</t>
        </is>
      </c>
      <c r="D877" t="n">
        <v>7</v>
      </c>
      <c r="E877" t="n">
        <v>4</v>
      </c>
      <c r="F877" t="n">
        <v>1</v>
      </c>
      <c r="G877" t="inlineStr">
        <is>
          <t>12:00</t>
        </is>
      </c>
      <c r="H877" t="inlineStr">
        <is>
          <t>12:45</t>
        </is>
      </c>
      <c r="I877" t="inlineStr">
        <is>
          <t>CLASE</t>
        </is>
      </c>
      <c r="J877" t="inlineStr">
        <is>
          <t>0701</t>
        </is>
      </c>
      <c r="K877" t="inlineStr">
        <is>
          <t>CSI</t>
        </is>
      </c>
      <c r="L877" t="inlineStr"/>
      <c r="M877" t="inlineStr"/>
      <c r="N877" t="inlineStr"/>
      <c r="O877" t="inlineStr">
        <is>
          <t>Sociales / Inglés (alternan cada semana)</t>
        </is>
      </c>
      <c r="P877" t="inlineStr">
        <is>
          <t>0701-CSI</t>
        </is>
      </c>
      <c r="Q877">
        <f>IF(I877="ENFASIS","ÉNFASIS "&amp;M877,IFERROR(VLOOKUP(J877,Grupos!$A$2:$D$100,4,FALSE),J877))</f>
        <v/>
      </c>
      <c r="R877">
        <f>O877&amp;IF(N877&lt;&gt;"",IF(O877&lt;&gt;""," · ","")&amp;"Con: "&amp;N877,"")</f>
        <v/>
      </c>
      <c r="S877">
        <f>C877&amp;"|"&amp;D877</f>
        <v/>
      </c>
      <c r="T877">
        <f>COUNTIF($S$2:S877,S877)</f>
        <v/>
      </c>
      <c r="U877">
        <f>S877&amp;"|"&amp;T877</f>
        <v/>
      </c>
      <c r="V877">
        <f>IFERROR(VLOOKUP(IF(I877="ENFASIS",LEFT(M877,FIND("+",M877&amp;"+")-1),J877),Direccion_Grupo!$A$2:$G$100,7,FALSE),"")</f>
        <v/>
      </c>
    </row>
    <row r="878">
      <c r="A878" t="n">
        <v>8</v>
      </c>
      <c r="B878" t="inlineStr">
        <is>
          <t>Casanova Quiñones Yoli del Carmen</t>
        </is>
      </c>
      <c r="C878" t="inlineStr">
        <is>
          <t>MIERCOLES</t>
        </is>
      </c>
      <c r="D878" t="n">
        <v>7</v>
      </c>
      <c r="E878" t="n">
        <v>4</v>
      </c>
      <c r="F878" t="n">
        <v>1</v>
      </c>
      <c r="G878" t="inlineStr">
        <is>
          <t>12:00</t>
        </is>
      </c>
      <c r="H878" t="inlineStr">
        <is>
          <t>12:45</t>
        </is>
      </c>
      <c r="I878" t="inlineStr">
        <is>
          <t>CLASE</t>
        </is>
      </c>
      <c r="J878" t="inlineStr">
        <is>
          <t>0702</t>
        </is>
      </c>
      <c r="K878" t="inlineStr">
        <is>
          <t>ETR</t>
        </is>
      </c>
      <c r="L878" t="inlineStr"/>
      <c r="M878" t="inlineStr"/>
      <c r="N878" t="inlineStr"/>
      <c r="O878" t="inlineStr">
        <is>
          <t>Ética / Religión (alternan cada semana)</t>
        </is>
      </c>
      <c r="P878" t="inlineStr">
        <is>
          <t>0702-ETI</t>
        </is>
      </c>
      <c r="Q878">
        <f>IF(I878="ENFASIS","ÉNFASIS "&amp;M878,IFERROR(VLOOKUP(J878,Grupos!$A$2:$D$100,4,FALSE),J878))</f>
        <v/>
      </c>
      <c r="R878">
        <f>O878&amp;IF(N878&lt;&gt;"",IF(O878&lt;&gt;""," · ","")&amp;"Con: "&amp;N878,"")</f>
        <v/>
      </c>
      <c r="S878">
        <f>C878&amp;"|"&amp;D878</f>
        <v/>
      </c>
      <c r="T878">
        <f>COUNTIF($S$2:S878,S878)</f>
        <v/>
      </c>
      <c r="U878">
        <f>S878&amp;"|"&amp;T878</f>
        <v/>
      </c>
      <c r="V878">
        <f>IFERROR(VLOOKUP(IF(I878="ENFASIS",LEFT(M878,FIND("+",M878&amp;"+")-1),J878),Direccion_Grupo!$A$2:$G$100,7,FALSE),"")</f>
        <v/>
      </c>
    </row>
    <row r="879">
      <c r="A879" t="n">
        <v>52</v>
      </c>
      <c r="B879" t="inlineStr">
        <is>
          <t>Vásquez Valencia Segundo Leoncio</t>
        </is>
      </c>
      <c r="C879" t="inlineStr">
        <is>
          <t>MIERCOLES</t>
        </is>
      </c>
      <c r="D879" t="n">
        <v>7</v>
      </c>
      <c r="E879" t="n">
        <v>4</v>
      </c>
      <c r="F879" t="n">
        <v>1</v>
      </c>
      <c r="G879" t="inlineStr">
        <is>
          <t>12:00</t>
        </is>
      </c>
      <c r="H879" t="inlineStr">
        <is>
          <t>12:45</t>
        </is>
      </c>
      <c r="I879" t="inlineStr">
        <is>
          <t>CLASE</t>
        </is>
      </c>
      <c r="J879" t="inlineStr">
        <is>
          <t>0703</t>
        </is>
      </c>
      <c r="K879" t="inlineStr">
        <is>
          <t>MAT</t>
        </is>
      </c>
      <c r="L879" t="inlineStr"/>
      <c r="M879" t="inlineStr"/>
      <c r="N879" t="inlineStr"/>
      <c r="O879" t="inlineStr"/>
      <c r="P879" t="inlineStr">
        <is>
          <t>0703-MAT</t>
        </is>
      </c>
      <c r="Q879">
        <f>IF(I879="ENFASIS","ÉNFASIS "&amp;M879,IFERROR(VLOOKUP(J879,Grupos!$A$2:$D$100,4,FALSE),J879))</f>
        <v/>
      </c>
      <c r="R879">
        <f>O879&amp;IF(N879&lt;&gt;"",IF(O879&lt;&gt;""," · ","")&amp;"Con: "&amp;N879,"")</f>
        <v/>
      </c>
      <c r="S879">
        <f>C879&amp;"|"&amp;D879</f>
        <v/>
      </c>
      <c r="T879">
        <f>COUNTIF($S$2:S879,S879)</f>
        <v/>
      </c>
      <c r="U879">
        <f>S879&amp;"|"&amp;T879</f>
        <v/>
      </c>
      <c r="V879">
        <f>IFERROR(VLOOKUP(IF(I879="ENFASIS",LEFT(M879,FIND("+",M879&amp;"+")-1),J879),Direccion_Grupo!$A$2:$G$100,7,FALSE),"")</f>
        <v/>
      </c>
    </row>
    <row r="880">
      <c r="A880" t="n">
        <v>1</v>
      </c>
      <c r="B880" t="inlineStr">
        <is>
          <t>Aguirre Riascos Jorge Andrés</t>
        </is>
      </c>
      <c r="C880" t="inlineStr">
        <is>
          <t>MIERCOLES</t>
        </is>
      </c>
      <c r="D880" t="n">
        <v>7</v>
      </c>
      <c r="E880" t="n">
        <v>4</v>
      </c>
      <c r="F880" t="n">
        <v>1</v>
      </c>
      <c r="G880" t="inlineStr">
        <is>
          <t>12:00</t>
        </is>
      </c>
      <c r="H880" t="inlineStr">
        <is>
          <t>12:45</t>
        </is>
      </c>
      <c r="I880" t="inlineStr">
        <is>
          <t>CLASE</t>
        </is>
      </c>
      <c r="J880" t="inlineStr">
        <is>
          <t>0704</t>
        </is>
      </c>
      <c r="K880" t="inlineStr">
        <is>
          <t>TEI</t>
        </is>
      </c>
      <c r="L880" t="inlineStr"/>
      <c r="M880" t="inlineStr"/>
      <c r="N880" t="inlineStr"/>
      <c r="O880" t="inlineStr"/>
      <c r="P880" t="inlineStr">
        <is>
          <t>0704-TEI</t>
        </is>
      </c>
      <c r="Q880">
        <f>IF(I880="ENFASIS","ÉNFASIS "&amp;M880,IFERROR(VLOOKUP(J880,Grupos!$A$2:$D$100,4,FALSE),J880))</f>
        <v/>
      </c>
      <c r="R880">
        <f>O880&amp;IF(N880&lt;&gt;"",IF(O880&lt;&gt;""," · ","")&amp;"Con: "&amp;N880,"")</f>
        <v/>
      </c>
      <c r="S880">
        <f>C880&amp;"|"&amp;D880</f>
        <v/>
      </c>
      <c r="T880">
        <f>COUNTIF($S$2:S880,S880)</f>
        <v/>
      </c>
      <c r="U880">
        <f>S880&amp;"|"&amp;T880</f>
        <v/>
      </c>
      <c r="V880">
        <f>IFERROR(VLOOKUP(IF(I880="ENFASIS",LEFT(M880,FIND("+",M880&amp;"+")-1),J880),Direccion_Grupo!$A$2:$G$100,7,FALSE),"")</f>
        <v/>
      </c>
    </row>
    <row r="881">
      <c r="A881" t="n">
        <v>9</v>
      </c>
      <c r="B881" t="inlineStr">
        <is>
          <t>Castillo Angulo Martha Cecilia</t>
        </is>
      </c>
      <c r="C881" t="inlineStr">
        <is>
          <t>MIERCOLES</t>
        </is>
      </c>
      <c r="D881" t="n">
        <v>7</v>
      </c>
      <c r="E881" t="n">
        <v>4</v>
      </c>
      <c r="F881" t="n">
        <v>1</v>
      </c>
      <c r="G881" t="inlineStr">
        <is>
          <t>12:00</t>
        </is>
      </c>
      <c r="H881" t="inlineStr">
        <is>
          <t>12:45</t>
        </is>
      </c>
      <c r="I881" t="inlineStr">
        <is>
          <t>CLASE</t>
        </is>
      </c>
      <c r="J881" t="inlineStr">
        <is>
          <t>0801</t>
        </is>
      </c>
      <c r="K881" t="inlineStr">
        <is>
          <t>ETR</t>
        </is>
      </c>
      <c r="L881" t="inlineStr"/>
      <c r="M881" t="inlineStr"/>
      <c r="N881" t="inlineStr"/>
      <c r="O881" t="inlineStr">
        <is>
          <t>Ética / Religión (alternan cada semana)</t>
        </is>
      </c>
      <c r="P881" t="inlineStr">
        <is>
          <t>0801-ETR</t>
        </is>
      </c>
      <c r="Q881">
        <f>IF(I881="ENFASIS","ÉNFASIS "&amp;M881,IFERROR(VLOOKUP(J881,Grupos!$A$2:$D$100,4,FALSE),J881))</f>
        <v/>
      </c>
      <c r="R881">
        <f>O881&amp;IF(N881&lt;&gt;"",IF(O881&lt;&gt;""," · ","")&amp;"Con: "&amp;N881,"")</f>
        <v/>
      </c>
      <c r="S881">
        <f>C881&amp;"|"&amp;D881</f>
        <v/>
      </c>
      <c r="T881">
        <f>COUNTIF($S$2:S881,S881)</f>
        <v/>
      </c>
      <c r="U881">
        <f>S881&amp;"|"&amp;T881</f>
        <v/>
      </c>
      <c r="V881">
        <f>IFERROR(VLOOKUP(IF(I881="ENFASIS",LEFT(M881,FIND("+",M881&amp;"+")-1),J881),Direccion_Grupo!$A$2:$G$100,7,FALSE),"")</f>
        <v/>
      </c>
    </row>
    <row r="882">
      <c r="A882" t="n">
        <v>44</v>
      </c>
      <c r="B882" t="inlineStr">
        <is>
          <t>Samaniego Angulo Flor Mireya</t>
        </is>
      </c>
      <c r="C882" t="inlineStr">
        <is>
          <t>MIERCOLES</t>
        </is>
      </c>
      <c r="D882" t="n">
        <v>7</v>
      </c>
      <c r="E882" t="n">
        <v>4</v>
      </c>
      <c r="F882" t="n">
        <v>1</v>
      </c>
      <c r="G882" t="inlineStr">
        <is>
          <t>12:00</t>
        </is>
      </c>
      <c r="H882" t="inlineStr">
        <is>
          <t>12:45</t>
        </is>
      </c>
      <c r="I882" t="inlineStr">
        <is>
          <t>CLASE</t>
        </is>
      </c>
      <c r="J882" t="inlineStr">
        <is>
          <t>0802</t>
        </is>
      </c>
      <c r="K882" t="inlineStr">
        <is>
          <t>ART</t>
        </is>
      </c>
      <c r="L882" t="inlineStr"/>
      <c r="M882" t="inlineStr"/>
      <c r="N882" t="inlineStr"/>
      <c r="O882" t="inlineStr"/>
      <c r="P882" t="inlineStr">
        <is>
          <t>0802-ART</t>
        </is>
      </c>
      <c r="Q882">
        <f>IF(I882="ENFASIS","ÉNFASIS "&amp;M882,IFERROR(VLOOKUP(J882,Grupos!$A$2:$D$100,4,FALSE),J882))</f>
        <v/>
      </c>
      <c r="R882">
        <f>O882&amp;IF(N882&lt;&gt;"",IF(O882&lt;&gt;""," · ","")&amp;"Con: "&amp;N882,"")</f>
        <v/>
      </c>
      <c r="S882">
        <f>C882&amp;"|"&amp;D882</f>
        <v/>
      </c>
      <c r="T882">
        <f>COUNTIF($S$2:S882,S882)</f>
        <v/>
      </c>
      <c r="U882">
        <f>S882&amp;"|"&amp;T882</f>
        <v/>
      </c>
      <c r="V882">
        <f>IFERROR(VLOOKUP(IF(I882="ENFASIS",LEFT(M882,FIND("+",M882&amp;"+")-1),J882),Direccion_Grupo!$A$2:$G$100,7,FALSE),"")</f>
        <v/>
      </c>
    </row>
    <row r="883">
      <c r="A883" t="n">
        <v>31</v>
      </c>
      <c r="B883" t="inlineStr">
        <is>
          <t>Montaño Arizala Leidis Claudina</t>
        </is>
      </c>
      <c r="C883" t="inlineStr">
        <is>
          <t>MIERCOLES</t>
        </is>
      </c>
      <c r="D883" t="n">
        <v>7</v>
      </c>
      <c r="E883" t="n">
        <v>4</v>
      </c>
      <c r="F883" t="n">
        <v>1</v>
      </c>
      <c r="G883" t="inlineStr">
        <is>
          <t>12:00</t>
        </is>
      </c>
      <c r="H883" t="inlineStr">
        <is>
          <t>12:45</t>
        </is>
      </c>
      <c r="I883" t="inlineStr">
        <is>
          <t>CLASE</t>
        </is>
      </c>
      <c r="J883" t="inlineStr">
        <is>
          <t>1002</t>
        </is>
      </c>
      <c r="K883" t="inlineStr">
        <is>
          <t>ETR</t>
        </is>
      </c>
      <c r="L883" t="inlineStr"/>
      <c r="M883" t="inlineStr"/>
      <c r="N883" t="inlineStr"/>
      <c r="O883" t="inlineStr">
        <is>
          <t>Ética / Religión (alternan cada semana)</t>
        </is>
      </c>
      <c r="P883" t="inlineStr">
        <is>
          <t>1002-ETR</t>
        </is>
      </c>
      <c r="Q883">
        <f>IF(I883="ENFASIS","ÉNFASIS "&amp;M883,IFERROR(VLOOKUP(J883,Grupos!$A$2:$D$100,4,FALSE),J883))</f>
        <v/>
      </c>
      <c r="R883">
        <f>O883&amp;IF(N883&lt;&gt;"",IF(O883&lt;&gt;""," · ","")&amp;"Con: "&amp;N883,"")</f>
        <v/>
      </c>
      <c r="S883">
        <f>C883&amp;"|"&amp;D883</f>
        <v/>
      </c>
      <c r="T883">
        <f>COUNTIF($S$2:S883,S883)</f>
        <v/>
      </c>
      <c r="U883">
        <f>S883&amp;"|"&amp;T883</f>
        <v/>
      </c>
      <c r="V883">
        <f>IFERROR(VLOOKUP(IF(I883="ENFASIS",LEFT(M883,FIND("+",M883&amp;"+")-1),J883),Direccion_Grupo!$A$2:$G$100,7,FALSE),"")</f>
        <v/>
      </c>
    </row>
    <row r="884">
      <c r="A884" t="n">
        <v>40</v>
      </c>
      <c r="B884" t="inlineStr">
        <is>
          <t>Pulgarín Ortiz César Marino</t>
        </is>
      </c>
      <c r="C884" t="inlineStr">
        <is>
          <t>MIERCOLES</t>
        </is>
      </c>
      <c r="D884" t="n">
        <v>7</v>
      </c>
      <c r="E884" t="n">
        <v>4</v>
      </c>
      <c r="F884" t="n">
        <v>1</v>
      </c>
      <c r="G884" t="inlineStr">
        <is>
          <t>12:00</t>
        </is>
      </c>
      <c r="H884" t="inlineStr">
        <is>
          <t>12:45</t>
        </is>
      </c>
      <c r="I884" t="inlineStr">
        <is>
          <t>CLASE</t>
        </is>
      </c>
      <c r="J884" t="inlineStr">
        <is>
          <t>1101</t>
        </is>
      </c>
      <c r="K884" t="inlineStr">
        <is>
          <t>CSI</t>
        </is>
      </c>
      <c r="L884" t="inlineStr"/>
      <c r="M884" t="inlineStr"/>
      <c r="N884" t="inlineStr"/>
      <c r="O884" t="inlineStr">
        <is>
          <t>Sociales / Inglés (alternan cada semana)</t>
        </is>
      </c>
      <c r="P884" t="inlineStr">
        <is>
          <t>1101-CSI</t>
        </is>
      </c>
      <c r="Q884">
        <f>IF(I884="ENFASIS","ÉNFASIS "&amp;M884,IFERROR(VLOOKUP(J884,Grupos!$A$2:$D$100,4,FALSE),J884))</f>
        <v/>
      </c>
      <c r="R884">
        <f>O884&amp;IF(N884&lt;&gt;"",IF(O884&lt;&gt;""," · ","")&amp;"Con: "&amp;N884,"")</f>
        <v/>
      </c>
      <c r="S884">
        <f>C884&amp;"|"&amp;D884</f>
        <v/>
      </c>
      <c r="T884">
        <f>COUNTIF($S$2:S884,S884)</f>
        <v/>
      </c>
      <c r="U884">
        <f>S884&amp;"|"&amp;T884</f>
        <v/>
      </c>
      <c r="V884">
        <f>IFERROR(VLOOKUP(IF(I884="ENFASIS",LEFT(M884,FIND("+",M884&amp;"+")-1),J884),Direccion_Grupo!$A$2:$G$100,7,FALSE),"")</f>
        <v/>
      </c>
    </row>
    <row r="885">
      <c r="A885" t="n">
        <v>54</v>
      </c>
      <c r="B885" t="inlineStr">
        <is>
          <t>Villota Rubio Janeth del Carmen</t>
        </is>
      </c>
      <c r="C885" t="inlineStr">
        <is>
          <t>MIERCOLES</t>
        </is>
      </c>
      <c r="D885" t="n">
        <v>7</v>
      </c>
      <c r="E885" t="n">
        <v>4</v>
      </c>
      <c r="F885" t="n">
        <v>1</v>
      </c>
      <c r="G885" t="inlineStr">
        <is>
          <t>12:00</t>
        </is>
      </c>
      <c r="H885" t="inlineStr">
        <is>
          <t>12:45</t>
        </is>
      </c>
      <c r="I885" t="inlineStr">
        <is>
          <t>CLASE</t>
        </is>
      </c>
      <c r="J885" t="inlineStr">
        <is>
          <t>1102</t>
        </is>
      </c>
      <c r="K885" t="inlineStr">
        <is>
          <t>MAT</t>
        </is>
      </c>
      <c r="L885" t="inlineStr"/>
      <c r="M885" t="inlineStr"/>
      <c r="N885" t="inlineStr"/>
      <c r="O885" t="inlineStr"/>
      <c r="P885" t="inlineStr">
        <is>
          <t>1102-MAT</t>
        </is>
      </c>
      <c r="Q885">
        <f>IF(I885="ENFASIS","ÉNFASIS "&amp;M885,IFERROR(VLOOKUP(J885,Grupos!$A$2:$D$100,4,FALSE),J885))</f>
        <v/>
      </c>
      <c r="R885">
        <f>O885&amp;IF(N885&lt;&gt;"",IF(O885&lt;&gt;""," · ","")&amp;"Con: "&amp;N885,"")</f>
        <v/>
      </c>
      <c r="S885">
        <f>C885&amp;"|"&amp;D885</f>
        <v/>
      </c>
      <c r="T885">
        <f>COUNTIF($S$2:S885,S885)</f>
        <v/>
      </c>
      <c r="U885">
        <f>S885&amp;"|"&amp;T885</f>
        <v/>
      </c>
      <c r="V885">
        <f>IFERROR(VLOOKUP(IF(I885="ENFASIS",LEFT(M885,FIND("+",M885&amp;"+")-1),J885),Direccion_Grupo!$A$2:$G$100,7,FALSE),"")</f>
        <v/>
      </c>
    </row>
    <row r="886">
      <c r="A886" t="n">
        <v>42</v>
      </c>
      <c r="B886" t="inlineStr">
        <is>
          <t>Quiñones Cabezas Marcos Vidal</t>
        </is>
      </c>
      <c r="C886" t="inlineStr">
        <is>
          <t>MIERCOLES</t>
        </is>
      </c>
      <c r="D886" t="n">
        <v>7</v>
      </c>
      <c r="E886" t="n">
        <v>4</v>
      </c>
      <c r="F886" t="n">
        <v>1</v>
      </c>
      <c r="G886" t="inlineStr">
        <is>
          <t>12:00</t>
        </is>
      </c>
      <c r="H886" t="inlineStr">
        <is>
          <t>12:45</t>
        </is>
      </c>
      <c r="I886" t="inlineStr">
        <is>
          <t>CLASE</t>
        </is>
      </c>
      <c r="J886" t="inlineStr">
        <is>
          <t>CS101</t>
        </is>
      </c>
      <c r="K886" t="inlineStr">
        <is>
          <t>TEI</t>
        </is>
      </c>
      <c r="L886" t="inlineStr"/>
      <c r="M886" t="inlineStr"/>
      <c r="N886" t="inlineStr"/>
      <c r="O886" t="inlineStr"/>
      <c r="P886" t="inlineStr">
        <is>
          <t>CS101-TEI</t>
        </is>
      </c>
      <c r="Q886">
        <f>IF(I886="ENFASIS","ÉNFASIS "&amp;M886,IFERROR(VLOOKUP(J886,Grupos!$A$2:$D$100,4,FALSE),J886))</f>
        <v/>
      </c>
      <c r="R886">
        <f>O886&amp;IF(N886&lt;&gt;"",IF(O886&lt;&gt;""," · ","")&amp;"Con: "&amp;N886,"")</f>
        <v/>
      </c>
      <c r="S886">
        <f>C886&amp;"|"&amp;D886</f>
        <v/>
      </c>
      <c r="T886">
        <f>COUNTIF($S$2:S886,S886)</f>
        <v/>
      </c>
      <c r="U886">
        <f>S886&amp;"|"&amp;T886</f>
        <v/>
      </c>
      <c r="V886">
        <f>IFERROR(VLOOKUP(IF(I886="ENFASIS",LEFT(M886,FIND("+",M886&amp;"+")-1),J886),Direccion_Grupo!$A$2:$G$100,7,FALSE),"")</f>
        <v/>
      </c>
    </row>
    <row r="887">
      <c r="A887" t="n">
        <v>26</v>
      </c>
      <c r="B887" t="inlineStr">
        <is>
          <t>Lozano Torres Amanda Inés</t>
        </is>
      </c>
      <c r="C887" t="inlineStr">
        <is>
          <t>MIERCOLES</t>
        </is>
      </c>
      <c r="D887" t="n">
        <v>7</v>
      </c>
      <c r="E887" t="n">
        <v>4</v>
      </c>
      <c r="F887" t="n">
        <v>1</v>
      </c>
      <c r="G887" t="inlineStr">
        <is>
          <t>12:00</t>
        </is>
      </c>
      <c r="H887" t="inlineStr">
        <is>
          <t>12:45</t>
        </is>
      </c>
      <c r="I887" t="inlineStr">
        <is>
          <t>CLASE</t>
        </is>
      </c>
      <c r="J887" t="inlineStr">
        <is>
          <t>CS102</t>
        </is>
      </c>
      <c r="K887" t="inlineStr">
        <is>
          <t>ETR</t>
        </is>
      </c>
      <c r="L887" t="inlineStr"/>
      <c r="M887" t="inlineStr"/>
      <c r="N887" t="inlineStr"/>
      <c r="O887" t="inlineStr">
        <is>
          <t>Ética / Religión (alternan cada semana)</t>
        </is>
      </c>
      <c r="P887" t="inlineStr">
        <is>
          <t>CS102-ETR</t>
        </is>
      </c>
      <c r="Q887">
        <f>IF(I887="ENFASIS","ÉNFASIS "&amp;M887,IFERROR(VLOOKUP(J887,Grupos!$A$2:$D$100,4,FALSE),J887))</f>
        <v/>
      </c>
      <c r="R887">
        <f>O887&amp;IF(N887&lt;&gt;"",IF(O887&lt;&gt;""," · ","")&amp;"Con: "&amp;N887,"")</f>
        <v/>
      </c>
      <c r="S887">
        <f>C887&amp;"|"&amp;D887</f>
        <v/>
      </c>
      <c r="T887">
        <f>COUNTIF($S$2:S887,S887)</f>
        <v/>
      </c>
      <c r="U887">
        <f>S887&amp;"|"&amp;T887</f>
        <v/>
      </c>
      <c r="V887">
        <f>IFERROR(VLOOKUP(IF(I887="ENFASIS",LEFT(M887,FIND("+",M887&amp;"+")-1),J887),Direccion_Grupo!$A$2:$G$100,7,FALSE),"")</f>
        <v/>
      </c>
    </row>
    <row r="888">
      <c r="A888" t="n">
        <v>15</v>
      </c>
      <c r="B888" t="inlineStr">
        <is>
          <t>Cuero Bamba Berte Levi</t>
        </is>
      </c>
      <c r="C888" t="inlineStr">
        <is>
          <t>MIERCOLES</t>
        </is>
      </c>
      <c r="D888" t="n">
        <v>7</v>
      </c>
      <c r="E888" t="n">
        <v>4</v>
      </c>
      <c r="F888" t="n">
        <v>1</v>
      </c>
      <c r="G888" t="inlineStr">
        <is>
          <t>12:00</t>
        </is>
      </c>
      <c r="H888" t="inlineStr">
        <is>
          <t>12:45</t>
        </is>
      </c>
      <c r="I888" t="inlineStr">
        <is>
          <t>CLASE</t>
        </is>
      </c>
      <c r="J888" t="inlineStr">
        <is>
          <t>CS201</t>
        </is>
      </c>
      <c r="K888" t="inlineStr">
        <is>
          <t>ERD</t>
        </is>
      </c>
      <c r="L888" t="inlineStr"/>
      <c r="M888" t="inlineStr"/>
      <c r="N888" t="inlineStr"/>
      <c r="O888" t="inlineStr"/>
      <c r="P888" t="inlineStr">
        <is>
          <t>CS201-ERD</t>
        </is>
      </c>
      <c r="Q888">
        <f>IF(I888="ENFASIS","ÉNFASIS "&amp;M888,IFERROR(VLOOKUP(J888,Grupos!$A$2:$D$100,4,FALSE),J888))</f>
        <v/>
      </c>
      <c r="R888">
        <f>O888&amp;IF(N888&lt;&gt;"",IF(O888&lt;&gt;""," · ","")&amp;"Con: "&amp;N888,"")</f>
        <v/>
      </c>
      <c r="S888">
        <f>C888&amp;"|"&amp;D888</f>
        <v/>
      </c>
      <c r="T888">
        <f>COUNTIF($S$2:S888,S888)</f>
        <v/>
      </c>
      <c r="U888">
        <f>S888&amp;"|"&amp;T888</f>
        <v/>
      </c>
      <c r="V888">
        <f>IFERROR(VLOOKUP(IF(I888="ENFASIS",LEFT(M888,FIND("+",M888&amp;"+")-1),J888),Direccion_Grupo!$A$2:$G$100,7,FALSE),"")</f>
        <v/>
      </c>
    </row>
    <row r="889">
      <c r="A889" t="n">
        <v>38</v>
      </c>
      <c r="B889" t="inlineStr">
        <is>
          <t>Preciado Torres Oleisa</t>
        </is>
      </c>
      <c r="C889" t="inlineStr">
        <is>
          <t>MIERCOLES</t>
        </is>
      </c>
      <c r="D889" t="n">
        <v>7</v>
      </c>
      <c r="E889" t="n">
        <v>4</v>
      </c>
      <c r="F889" t="n">
        <v>1</v>
      </c>
      <c r="G889" t="inlineStr">
        <is>
          <t>12:00</t>
        </is>
      </c>
      <c r="H889" t="inlineStr">
        <is>
          <t>12:45</t>
        </is>
      </c>
      <c r="I889" t="inlineStr">
        <is>
          <t>CLASE</t>
        </is>
      </c>
      <c r="J889" t="inlineStr">
        <is>
          <t>CS202</t>
        </is>
      </c>
      <c r="K889" t="inlineStr">
        <is>
          <t>MAT</t>
        </is>
      </c>
      <c r="L889" t="inlineStr"/>
      <c r="M889" t="inlineStr"/>
      <c r="N889" t="inlineStr"/>
      <c r="O889" t="inlineStr"/>
      <c r="P889" t="inlineStr">
        <is>
          <t>CS202-MAT</t>
        </is>
      </c>
      <c r="Q889">
        <f>IF(I889="ENFASIS","ÉNFASIS "&amp;M889,IFERROR(VLOOKUP(J889,Grupos!$A$2:$D$100,4,FALSE),J889))</f>
        <v/>
      </c>
      <c r="R889">
        <f>O889&amp;IF(N889&lt;&gt;"",IF(O889&lt;&gt;""," · ","")&amp;"Con: "&amp;N889,"")</f>
        <v/>
      </c>
      <c r="S889">
        <f>C889&amp;"|"&amp;D889</f>
        <v/>
      </c>
      <c r="T889">
        <f>COUNTIF($S$2:S889,S889)</f>
        <v/>
      </c>
      <c r="U889">
        <f>S889&amp;"|"&amp;T889</f>
        <v/>
      </c>
      <c r="V889">
        <f>IFERROR(VLOOKUP(IF(I889="ENFASIS",LEFT(M889,FIND("+",M889&amp;"+")-1),J889),Direccion_Grupo!$A$2:$G$100,7,FALSE),"")</f>
        <v/>
      </c>
    </row>
    <row r="890">
      <c r="A890" t="n">
        <v>7</v>
      </c>
      <c r="B890" t="inlineStr">
        <is>
          <t>Casanova Casanova Johana Andrea</t>
        </is>
      </c>
      <c r="C890" t="inlineStr">
        <is>
          <t>MIERCOLES</t>
        </is>
      </c>
      <c r="D890" t="n">
        <v>7</v>
      </c>
      <c r="E890" t="n">
        <v>4</v>
      </c>
      <c r="F890" t="n">
        <v>1</v>
      </c>
      <c r="G890" t="inlineStr">
        <is>
          <t>12:00</t>
        </is>
      </c>
      <c r="H890" t="inlineStr">
        <is>
          <t>12:45</t>
        </is>
      </c>
      <c r="I890" t="inlineStr">
        <is>
          <t>ORIENTACION</t>
        </is>
      </c>
      <c r="J890" t="inlineStr">
        <is>
          <t>ORIENT</t>
        </is>
      </c>
      <c r="K890" t="inlineStr">
        <is>
          <t>ORIENTACIÓN ESCOLAR</t>
        </is>
      </c>
      <c r="L890" t="inlineStr"/>
      <c r="M890" t="inlineStr"/>
      <c r="N890" t="inlineStr"/>
      <c r="O890" t="inlineStr">
        <is>
          <t>Jornada 07:30 a 14:30</t>
        </is>
      </c>
      <c r="P890" t="inlineStr"/>
      <c r="Q890">
        <f>IF(I890="ENFASIS","ÉNFASIS "&amp;M890,IFERROR(VLOOKUP(J890,Grupos!$A$2:$D$100,4,FALSE),J890))</f>
        <v/>
      </c>
      <c r="R890">
        <f>O890&amp;IF(N890&lt;&gt;"",IF(O890&lt;&gt;""," · ","")&amp;"Con: "&amp;N890,"")</f>
        <v/>
      </c>
      <c r="S890">
        <f>C890&amp;"|"&amp;D890</f>
        <v/>
      </c>
      <c r="T890">
        <f>COUNTIF($S$2:S890,S890)</f>
        <v/>
      </c>
      <c r="U890">
        <f>S890&amp;"|"&amp;T890</f>
        <v/>
      </c>
      <c r="V890">
        <f>IFERROR(VLOOKUP(IF(I890="ENFASIS",LEFT(M890,FIND("+",M890&amp;"+")-1),J890),Direccion_Grupo!$A$2:$G$100,7,FALSE),"")</f>
        <v/>
      </c>
    </row>
    <row r="891">
      <c r="A891" t="n">
        <v>36</v>
      </c>
      <c r="B891" t="inlineStr">
        <is>
          <t>Ponce Moncayo Ángela Paola</t>
        </is>
      </c>
      <c r="C891" t="inlineStr">
        <is>
          <t>MIERCOLES</t>
        </is>
      </c>
      <c r="D891" t="n">
        <v>7</v>
      </c>
      <c r="E891" t="n">
        <v>4</v>
      </c>
      <c r="F891" t="n">
        <v>1</v>
      </c>
      <c r="G891" t="inlineStr">
        <is>
          <t>12:00</t>
        </is>
      </c>
      <c r="H891" t="inlineStr">
        <is>
          <t>12:45</t>
        </is>
      </c>
      <c r="I891" t="inlineStr">
        <is>
          <t>ORIENTACION</t>
        </is>
      </c>
      <c r="J891" t="inlineStr">
        <is>
          <t>ORIENT</t>
        </is>
      </c>
      <c r="K891" t="inlineStr">
        <is>
          <t>ORIENTACIÓN ESCOLAR</t>
        </is>
      </c>
      <c r="L891" t="inlineStr"/>
      <c r="M891" t="inlineStr"/>
      <c r="N891" t="inlineStr"/>
      <c r="O891" t="inlineStr">
        <is>
          <t>Jornada 08:30 a 13:30</t>
        </is>
      </c>
      <c r="P891" t="inlineStr"/>
      <c r="Q891">
        <f>IF(I891="ENFASIS","ÉNFASIS "&amp;M891,IFERROR(VLOOKUP(J891,Grupos!$A$2:$D$100,4,FALSE),J891))</f>
        <v/>
      </c>
      <c r="R891">
        <f>O891&amp;IF(N891&lt;&gt;"",IF(O891&lt;&gt;""," · ","")&amp;"Con: "&amp;N891,"")</f>
        <v/>
      </c>
      <c r="S891">
        <f>C891&amp;"|"&amp;D891</f>
        <v/>
      </c>
      <c r="T891">
        <f>COUNTIF($S$2:S891,S891)</f>
        <v/>
      </c>
      <c r="U891">
        <f>S891&amp;"|"&amp;T891</f>
        <v/>
      </c>
      <c r="V891">
        <f>IFERROR(VLOOKUP(IF(I891="ENFASIS",LEFT(M891,FIND("+",M891&amp;"+")-1),J891),Direccion_Grupo!$A$2:$G$100,7,FALSE),"")</f>
        <v/>
      </c>
    </row>
    <row r="892">
      <c r="A892" t="n">
        <v>10</v>
      </c>
      <c r="B892" t="inlineStr">
        <is>
          <t>Castillo Cuero Daira Eneida</t>
        </is>
      </c>
      <c r="C892" t="inlineStr">
        <is>
          <t>MIERCOLES</t>
        </is>
      </c>
      <c r="D892" t="n">
        <v>7</v>
      </c>
      <c r="E892" t="n">
        <v>4</v>
      </c>
      <c r="F892" t="n">
        <v>1</v>
      </c>
      <c r="G892" t="inlineStr">
        <is>
          <t>12:00</t>
        </is>
      </c>
      <c r="H892" t="inlineStr">
        <is>
          <t>12:45</t>
        </is>
      </c>
      <c r="I892" t="inlineStr">
        <is>
          <t>ENFASIS</t>
        </is>
      </c>
      <c r="J892" t="inlineStr"/>
      <c r="K892" t="inlineStr">
        <is>
          <t>CAS</t>
        </is>
      </c>
      <c r="L892" t="inlineStr">
        <is>
          <t>0601</t>
        </is>
      </c>
      <c r="M892" t="inlineStr">
        <is>
          <t>0601</t>
        </is>
      </c>
      <c r="N892" t="inlineStr">
        <is>
          <t>Puches Ana Milena (ART)</t>
        </is>
      </c>
      <c r="O892" t="inlineStr">
        <is>
          <t>PAREJA: comparten el énfasis y alternan por semana</t>
        </is>
      </c>
      <c r="P892" t="inlineStr">
        <is>
          <t>ENFASIS-0601</t>
        </is>
      </c>
      <c r="Q892">
        <f>IF(I892="ENFASIS","ÉNFASIS "&amp;M892,IFERROR(VLOOKUP(J892,Grupos!$A$2:$D$100,4,FALSE),J892))</f>
        <v/>
      </c>
      <c r="R892">
        <f>O892&amp;IF(N892&lt;&gt;"",IF(O892&lt;&gt;""," · ","")&amp;"Con: "&amp;N892,"")</f>
        <v/>
      </c>
      <c r="S892">
        <f>C892&amp;"|"&amp;D892</f>
        <v/>
      </c>
      <c r="T892">
        <f>COUNTIF($S$2:S892,S892)</f>
        <v/>
      </c>
      <c r="U892">
        <f>S892&amp;"|"&amp;T892</f>
        <v/>
      </c>
      <c r="V892">
        <f>IFERROR(VLOOKUP(IF(I892="ENFASIS",LEFT(M892,FIND("+",M892&amp;"+")-1),J892),Direccion_Grupo!$A$2:$G$100,7,FALSE),"")</f>
        <v/>
      </c>
    </row>
    <row r="893">
      <c r="A893" t="n">
        <v>39</v>
      </c>
      <c r="B893" t="inlineStr">
        <is>
          <t>Puches Ana Milena</t>
        </is>
      </c>
      <c r="C893" t="inlineStr">
        <is>
          <t>MIERCOLES</t>
        </is>
      </c>
      <c r="D893" t="n">
        <v>7</v>
      </c>
      <c r="E893" t="n">
        <v>4</v>
      </c>
      <c r="F893" t="n">
        <v>1</v>
      </c>
      <c r="G893" t="inlineStr">
        <is>
          <t>12:00</t>
        </is>
      </c>
      <c r="H893" t="inlineStr">
        <is>
          <t>12:45</t>
        </is>
      </c>
      <c r="I893" t="inlineStr">
        <is>
          <t>ENFASIS</t>
        </is>
      </c>
      <c r="J893" t="inlineStr"/>
      <c r="K893" t="inlineStr">
        <is>
          <t>ART</t>
        </is>
      </c>
      <c r="L893" t="inlineStr">
        <is>
          <t>0601</t>
        </is>
      </c>
      <c r="M893" t="inlineStr">
        <is>
          <t>0601</t>
        </is>
      </c>
      <c r="N893" t="inlineStr">
        <is>
          <t>Castillo Cuero Daira Eneida (CAS)</t>
        </is>
      </c>
      <c r="O893" t="inlineStr">
        <is>
          <t>PAREJA: comparten el énfasis y alternan por semana</t>
        </is>
      </c>
      <c r="P893" t="inlineStr">
        <is>
          <t>ENFASIS-0601</t>
        </is>
      </c>
      <c r="Q893">
        <f>IF(I893="ENFASIS","ÉNFASIS "&amp;M893,IFERROR(VLOOKUP(J893,Grupos!$A$2:$D$100,4,FALSE),J893))</f>
        <v/>
      </c>
      <c r="R893">
        <f>O893&amp;IF(N893&lt;&gt;"",IF(O893&lt;&gt;""," · ","")&amp;"Con: "&amp;N893,"")</f>
        <v/>
      </c>
      <c r="S893">
        <f>C893&amp;"|"&amp;D893</f>
        <v/>
      </c>
      <c r="T893">
        <f>COUNTIF($S$2:S893,S893)</f>
        <v/>
      </c>
      <c r="U893">
        <f>S893&amp;"|"&amp;T893</f>
        <v/>
      </c>
      <c r="V893">
        <f>IFERROR(VLOOKUP(IF(I893="ENFASIS",LEFT(M893,FIND("+",M893&amp;"+")-1),J893),Direccion_Grupo!$A$2:$G$100,7,FALSE),"")</f>
        <v/>
      </c>
    </row>
    <row r="894">
      <c r="A894" t="n">
        <v>34</v>
      </c>
      <c r="B894" t="inlineStr">
        <is>
          <t>Ordóñez Tenorio Jaime Marcial</t>
        </is>
      </c>
      <c r="C894" t="inlineStr">
        <is>
          <t>MIERCOLES</t>
        </is>
      </c>
      <c r="D894" t="n">
        <v>7</v>
      </c>
      <c r="E894" t="n">
        <v>4</v>
      </c>
      <c r="F894" t="n">
        <v>1</v>
      </c>
      <c r="G894" t="inlineStr">
        <is>
          <t>12:00</t>
        </is>
      </c>
      <c r="H894" t="inlineStr">
        <is>
          <t>12:45</t>
        </is>
      </c>
      <c r="I894" t="inlineStr">
        <is>
          <t>ENFASIS</t>
        </is>
      </c>
      <c r="J894" t="inlineStr"/>
      <c r="K894" t="inlineStr">
        <is>
          <t>CNA</t>
        </is>
      </c>
      <c r="L894" t="inlineStr">
        <is>
          <t>0602</t>
        </is>
      </c>
      <c r="M894" t="inlineStr">
        <is>
          <t>0602</t>
        </is>
      </c>
      <c r="N894" t="inlineStr">
        <is>
          <t>Armero Dájome Jesús (ERD)</t>
        </is>
      </c>
      <c r="O894" t="inlineStr">
        <is>
          <t>PAREJA: comparten el énfasis y alternan por semana</t>
        </is>
      </c>
      <c r="P894" t="inlineStr">
        <is>
          <t>ENFASIS-0602</t>
        </is>
      </c>
      <c r="Q894">
        <f>IF(I894="ENFASIS","ÉNFASIS "&amp;M894,IFERROR(VLOOKUP(J894,Grupos!$A$2:$D$100,4,FALSE),J894))</f>
        <v/>
      </c>
      <c r="R894">
        <f>O894&amp;IF(N894&lt;&gt;"",IF(O894&lt;&gt;""," · ","")&amp;"Con: "&amp;N894,"")</f>
        <v/>
      </c>
      <c r="S894">
        <f>C894&amp;"|"&amp;D894</f>
        <v/>
      </c>
      <c r="T894">
        <f>COUNTIF($S$2:S894,S894)</f>
        <v/>
      </c>
      <c r="U894">
        <f>S894&amp;"|"&amp;T894</f>
        <v/>
      </c>
      <c r="V894">
        <f>IFERROR(VLOOKUP(IF(I894="ENFASIS",LEFT(M894,FIND("+",M894&amp;"+")-1),J894),Direccion_Grupo!$A$2:$G$100,7,FALSE),"")</f>
        <v/>
      </c>
    </row>
    <row r="895">
      <c r="A895" t="n">
        <v>4</v>
      </c>
      <c r="B895" t="inlineStr">
        <is>
          <t>Arizala Castro Roberto Carlos</t>
        </is>
      </c>
      <c r="C895" t="inlineStr">
        <is>
          <t>MIERCOLES</t>
        </is>
      </c>
      <c r="D895" t="n">
        <v>7</v>
      </c>
      <c r="E895" t="n">
        <v>4</v>
      </c>
      <c r="F895" t="n">
        <v>1</v>
      </c>
      <c r="G895" t="inlineStr">
        <is>
          <t>12:00</t>
        </is>
      </c>
      <c r="H895" t="inlineStr">
        <is>
          <t>12:45</t>
        </is>
      </c>
      <c r="I895" t="inlineStr">
        <is>
          <t>ENFASIS</t>
        </is>
      </c>
      <c r="J895" t="inlineStr"/>
      <c r="K895" t="inlineStr">
        <is>
          <t>ERD</t>
        </is>
      </c>
      <c r="L895" t="inlineStr">
        <is>
          <t>0602</t>
        </is>
      </c>
      <c r="M895" t="inlineStr">
        <is>
          <t>0602</t>
        </is>
      </c>
      <c r="N895" t="inlineStr">
        <is>
          <t>Ordóñez Tenorio Jaime Marcial (CNA)</t>
        </is>
      </c>
      <c r="O895" t="inlineStr">
        <is>
          <t>PAREJA: comparten el énfasis y alternan por semana</t>
        </is>
      </c>
      <c r="P895" t="inlineStr">
        <is>
          <t>ENFASIS-0602</t>
        </is>
      </c>
      <c r="Q895">
        <f>IF(I895="ENFASIS","ÉNFASIS "&amp;M895,IFERROR(VLOOKUP(J895,Grupos!$A$2:$D$100,4,FALSE),J895))</f>
        <v/>
      </c>
      <c r="R895">
        <f>O895&amp;IF(N895&lt;&gt;"",IF(O895&lt;&gt;""," · ","")&amp;"Con: "&amp;N895,"")</f>
        <v/>
      </c>
      <c r="S895">
        <f>C895&amp;"|"&amp;D895</f>
        <v/>
      </c>
      <c r="T895">
        <f>COUNTIF($S$2:S895,S895)</f>
        <v/>
      </c>
      <c r="U895">
        <f>S895&amp;"|"&amp;T895</f>
        <v/>
      </c>
      <c r="V895">
        <f>IFERROR(VLOOKUP(IF(I895="ENFASIS",LEFT(M895,FIND("+",M895&amp;"+")-1),J895),Direccion_Grupo!$A$2:$G$100,7,FALSE),"")</f>
        <v/>
      </c>
    </row>
    <row r="896">
      <c r="A896" t="n">
        <v>22</v>
      </c>
      <c r="B896" t="inlineStr">
        <is>
          <t>González Castillo Jólmer Jimy</t>
        </is>
      </c>
      <c r="C896" t="inlineStr">
        <is>
          <t>MIERCOLES</t>
        </is>
      </c>
      <c r="D896" t="n">
        <v>7</v>
      </c>
      <c r="E896" t="n">
        <v>4</v>
      </c>
      <c r="F896" t="n">
        <v>1</v>
      </c>
      <c r="G896" t="inlineStr">
        <is>
          <t>12:00</t>
        </is>
      </c>
      <c r="H896" t="inlineStr">
        <is>
          <t>12:45</t>
        </is>
      </c>
      <c r="I896" t="inlineStr">
        <is>
          <t>ENFASIS</t>
        </is>
      </c>
      <c r="J896" t="inlineStr"/>
      <c r="K896" t="inlineStr">
        <is>
          <t>ERD</t>
        </is>
      </c>
      <c r="L896" t="inlineStr">
        <is>
          <t>0901</t>
        </is>
      </c>
      <c r="M896" t="inlineStr">
        <is>
          <t>0901</t>
        </is>
      </c>
      <c r="N896" t="inlineStr">
        <is>
          <t>Valencia Marínez Saidy Eufemia (ART); Meza Banguera Gladys Alicia (CAS); Lemos Guancha Miriam (CNA)</t>
        </is>
      </c>
      <c r="O896" t="inlineStr">
        <is>
          <t>EQUIPO DE 4: cada docente atiende un grupo de estudiantes en su área</t>
        </is>
      </c>
      <c r="P896" t="inlineStr">
        <is>
          <t>ENFASIS-0901</t>
        </is>
      </c>
      <c r="Q896">
        <f>IF(I896="ENFASIS","ÉNFASIS "&amp;M896,IFERROR(VLOOKUP(J896,Grupos!$A$2:$D$100,4,FALSE),J896))</f>
        <v/>
      </c>
      <c r="R896">
        <f>O896&amp;IF(N896&lt;&gt;"",IF(O896&lt;&gt;""," · ","")&amp;"Con: "&amp;N896,"")</f>
        <v/>
      </c>
      <c r="S896">
        <f>C896&amp;"|"&amp;D896</f>
        <v/>
      </c>
      <c r="T896">
        <f>COUNTIF($S$2:S896,S896)</f>
        <v/>
      </c>
      <c r="U896">
        <f>S896&amp;"|"&amp;T896</f>
        <v/>
      </c>
      <c r="V896">
        <f>IFERROR(VLOOKUP(IF(I896="ENFASIS",LEFT(M896,FIND("+",M896&amp;"+")-1),J896),Direccion_Grupo!$A$2:$G$100,7,FALSE),"")</f>
        <v/>
      </c>
    </row>
    <row r="897">
      <c r="A897" t="n">
        <v>25</v>
      </c>
      <c r="B897" t="inlineStr">
        <is>
          <t>Lemos Guancha Miriam</t>
        </is>
      </c>
      <c r="C897" t="inlineStr">
        <is>
          <t>MIERCOLES</t>
        </is>
      </c>
      <c r="D897" t="n">
        <v>7</v>
      </c>
      <c r="E897" t="n">
        <v>4</v>
      </c>
      <c r="F897" t="n">
        <v>1</v>
      </c>
      <c r="G897" t="inlineStr">
        <is>
          <t>12:00</t>
        </is>
      </c>
      <c r="H897" t="inlineStr">
        <is>
          <t>12:45</t>
        </is>
      </c>
      <c r="I897" t="inlineStr">
        <is>
          <t>ENFASIS</t>
        </is>
      </c>
      <c r="J897" t="inlineStr"/>
      <c r="K897" t="inlineStr">
        <is>
          <t>CNA</t>
        </is>
      </c>
      <c r="L897" t="inlineStr">
        <is>
          <t>0901</t>
        </is>
      </c>
      <c r="M897" t="inlineStr">
        <is>
          <t>0901</t>
        </is>
      </c>
      <c r="N897" t="inlineStr">
        <is>
          <t>Valencia Marínez Saidy Eufemia (ART); Meza Banguera Gladys Alicia (CAS); González Castillo Jólmer Jimy (ERD)</t>
        </is>
      </c>
      <c r="O897" t="inlineStr">
        <is>
          <t>EQUIPO DE 4: cada docente atiende un grupo de estudiantes en su área</t>
        </is>
      </c>
      <c r="P897" t="inlineStr">
        <is>
          <t>ENFASIS-0901</t>
        </is>
      </c>
      <c r="Q897">
        <f>IF(I897="ENFASIS","ÉNFASIS "&amp;M897,IFERROR(VLOOKUP(J897,Grupos!$A$2:$D$100,4,FALSE),J897))</f>
        <v/>
      </c>
      <c r="R897">
        <f>O897&amp;IF(N897&lt;&gt;"",IF(O897&lt;&gt;""," · ","")&amp;"Con: "&amp;N897,"")</f>
        <v/>
      </c>
      <c r="S897">
        <f>C897&amp;"|"&amp;D897</f>
        <v/>
      </c>
      <c r="T897">
        <f>COUNTIF($S$2:S897,S897)</f>
        <v/>
      </c>
      <c r="U897">
        <f>S897&amp;"|"&amp;T897</f>
        <v/>
      </c>
      <c r="V897">
        <f>IFERROR(VLOOKUP(IF(I897="ENFASIS",LEFT(M897,FIND("+",M897&amp;"+")-1),J897),Direccion_Grupo!$A$2:$G$100,7,FALSE),"")</f>
        <v/>
      </c>
    </row>
    <row r="898">
      <c r="A898" t="n">
        <v>28</v>
      </c>
      <c r="B898" t="inlineStr">
        <is>
          <t>Meza Banguera Gladys Alicia</t>
        </is>
      </c>
      <c r="C898" t="inlineStr">
        <is>
          <t>MIERCOLES</t>
        </is>
      </c>
      <c r="D898" t="n">
        <v>7</v>
      </c>
      <c r="E898" t="n">
        <v>4</v>
      </c>
      <c r="F898" t="n">
        <v>1</v>
      </c>
      <c r="G898" t="inlineStr">
        <is>
          <t>12:00</t>
        </is>
      </c>
      <c r="H898" t="inlineStr">
        <is>
          <t>12:45</t>
        </is>
      </c>
      <c r="I898" t="inlineStr">
        <is>
          <t>ENFASIS</t>
        </is>
      </c>
      <c r="J898" t="inlineStr"/>
      <c r="K898" t="inlineStr">
        <is>
          <t>CAS</t>
        </is>
      </c>
      <c r="L898" t="inlineStr">
        <is>
          <t>0901</t>
        </is>
      </c>
      <c r="M898" t="inlineStr">
        <is>
          <t>0901</t>
        </is>
      </c>
      <c r="N898" t="inlineStr">
        <is>
          <t>Valencia Marínez Saidy Eufemia (ART); González Castillo Jólmer Jimy (ERD); Lemos Guancha Miriam (CNA)</t>
        </is>
      </c>
      <c r="O898" t="inlineStr">
        <is>
          <t>EQUIPO DE 4: cada docente atiende un grupo de estudiantes en su área</t>
        </is>
      </c>
      <c r="P898" t="inlineStr">
        <is>
          <t>ENFASIS-0901</t>
        </is>
      </c>
      <c r="Q898">
        <f>IF(I898="ENFASIS","ÉNFASIS "&amp;M898,IFERROR(VLOOKUP(J898,Grupos!$A$2:$D$100,4,FALSE),J898))</f>
        <v/>
      </c>
      <c r="R898">
        <f>O898&amp;IF(N898&lt;&gt;"",IF(O898&lt;&gt;""," · ","")&amp;"Con: "&amp;N898,"")</f>
        <v/>
      </c>
      <c r="S898">
        <f>C898&amp;"|"&amp;D898</f>
        <v/>
      </c>
      <c r="T898">
        <f>COUNTIF($S$2:S898,S898)</f>
        <v/>
      </c>
      <c r="U898">
        <f>S898&amp;"|"&amp;T898</f>
        <v/>
      </c>
      <c r="V898">
        <f>IFERROR(VLOOKUP(IF(I898="ENFASIS",LEFT(M898,FIND("+",M898&amp;"+")-1),J898),Direccion_Grupo!$A$2:$G$100,7,FALSE),"")</f>
        <v/>
      </c>
    </row>
    <row r="899">
      <c r="A899" t="n">
        <v>49</v>
      </c>
      <c r="B899" t="inlineStr">
        <is>
          <t>Valencia Marínez Saidy Eufemia</t>
        </is>
      </c>
      <c r="C899" t="inlineStr">
        <is>
          <t>MIERCOLES</t>
        </is>
      </c>
      <c r="D899" t="n">
        <v>7</v>
      </c>
      <c r="E899" t="n">
        <v>4</v>
      </c>
      <c r="F899" t="n">
        <v>1</v>
      </c>
      <c r="G899" t="inlineStr">
        <is>
          <t>12:00</t>
        </is>
      </c>
      <c r="H899" t="inlineStr">
        <is>
          <t>12:45</t>
        </is>
      </c>
      <c r="I899" t="inlineStr">
        <is>
          <t>ENFASIS</t>
        </is>
      </c>
      <c r="J899" t="inlineStr"/>
      <c r="K899" t="inlineStr">
        <is>
          <t>ART</t>
        </is>
      </c>
      <c r="L899" t="inlineStr">
        <is>
          <t>0901</t>
        </is>
      </c>
      <c r="M899" t="inlineStr">
        <is>
          <t>0901</t>
        </is>
      </c>
      <c r="N899" t="inlineStr">
        <is>
          <t>Meza Banguera Gladys Alicia (CAS); González Castillo Jólmer Jimy (ERD); Lemos Guancha Miriam (CNA)</t>
        </is>
      </c>
      <c r="O899" t="inlineStr">
        <is>
          <t>EQUIPO DE 4: cada docente atiende un grupo de estudiantes en su área</t>
        </is>
      </c>
      <c r="P899" t="inlineStr">
        <is>
          <t>ENFASIS-0901</t>
        </is>
      </c>
      <c r="Q899">
        <f>IF(I899="ENFASIS","ÉNFASIS "&amp;M899,IFERROR(VLOOKUP(J899,Grupos!$A$2:$D$100,4,FALSE),J899))</f>
        <v/>
      </c>
      <c r="R899">
        <f>O899&amp;IF(N899&lt;&gt;"",IF(O899&lt;&gt;""," · ","")&amp;"Con: "&amp;N899,"")</f>
        <v/>
      </c>
      <c r="S899">
        <f>C899&amp;"|"&amp;D899</f>
        <v/>
      </c>
      <c r="T899">
        <f>COUNTIF($S$2:S899,S899)</f>
        <v/>
      </c>
      <c r="U899">
        <f>S899&amp;"|"&amp;T899</f>
        <v/>
      </c>
      <c r="V899">
        <f>IFERROR(VLOOKUP(IF(I899="ENFASIS",LEFT(M899,FIND("+",M899&amp;"+")-1),J899),Direccion_Grupo!$A$2:$G$100,7,FALSE),"")</f>
        <v/>
      </c>
    </row>
    <row r="900">
      <c r="A900" t="n">
        <v>5</v>
      </c>
      <c r="B900" t="inlineStr">
        <is>
          <t>Bastidas Valencia Zeneida Judith</t>
        </is>
      </c>
      <c r="C900" t="inlineStr">
        <is>
          <t>MIERCOLES</t>
        </is>
      </c>
      <c r="D900" t="n">
        <v>7</v>
      </c>
      <c r="E900" t="n">
        <v>4</v>
      </c>
      <c r="F900" t="n">
        <v>1</v>
      </c>
      <c r="G900" t="inlineStr">
        <is>
          <t>12:00</t>
        </is>
      </c>
      <c r="H900" t="inlineStr">
        <is>
          <t>12:45</t>
        </is>
      </c>
      <c r="I900" t="inlineStr">
        <is>
          <t>ENFASIS</t>
        </is>
      </c>
      <c r="J900" t="inlineStr"/>
      <c r="K900" t="inlineStr">
        <is>
          <t>MAT</t>
        </is>
      </c>
      <c r="L900" t="inlineStr">
        <is>
          <t>0902</t>
        </is>
      </c>
      <c r="M900" t="inlineStr">
        <is>
          <t>0902</t>
        </is>
      </c>
      <c r="N900" t="inlineStr">
        <is>
          <t>Betancourth Ocampo Yohana Patricia (CSI); Estacio Estupiñán Rosario (ETR); Mindineros Satizábal John Jáver (TEI)</t>
        </is>
      </c>
      <c r="O900" t="inlineStr">
        <is>
          <t>EQUIPO DE 4: cada docente atiende un grupo de estudiantes en su área</t>
        </is>
      </c>
      <c r="P900" t="inlineStr">
        <is>
          <t>ENFASIS-0902</t>
        </is>
      </c>
      <c r="Q900">
        <f>IF(I900="ENFASIS","ÉNFASIS "&amp;M900,IFERROR(VLOOKUP(J900,Grupos!$A$2:$D$100,4,FALSE),J900))</f>
        <v/>
      </c>
      <c r="R900">
        <f>O900&amp;IF(N900&lt;&gt;"",IF(O900&lt;&gt;""," · ","")&amp;"Con: "&amp;N900,"")</f>
        <v/>
      </c>
      <c r="S900">
        <f>C900&amp;"|"&amp;D900</f>
        <v/>
      </c>
      <c r="T900">
        <f>COUNTIF($S$2:S900,S900)</f>
        <v/>
      </c>
      <c r="U900">
        <f>S900&amp;"|"&amp;T900</f>
        <v/>
      </c>
      <c r="V900">
        <f>IFERROR(VLOOKUP(IF(I900="ENFASIS",LEFT(M900,FIND("+",M900&amp;"+")-1),J900),Direccion_Grupo!$A$2:$G$100,7,FALSE),"")</f>
        <v/>
      </c>
    </row>
    <row r="901">
      <c r="A901" t="n">
        <v>6</v>
      </c>
      <c r="B901" t="inlineStr">
        <is>
          <t>Betancourth Ocampo Yohana Patricia</t>
        </is>
      </c>
      <c r="C901" t="inlineStr">
        <is>
          <t>MIERCOLES</t>
        </is>
      </c>
      <c r="D901" t="n">
        <v>7</v>
      </c>
      <c r="E901" t="n">
        <v>4</v>
      </c>
      <c r="F901" t="n">
        <v>1</v>
      </c>
      <c r="G901" t="inlineStr">
        <is>
          <t>12:00</t>
        </is>
      </c>
      <c r="H901" t="inlineStr">
        <is>
          <t>12:45</t>
        </is>
      </c>
      <c r="I901" t="inlineStr">
        <is>
          <t>ENFASIS</t>
        </is>
      </c>
      <c r="J901" t="inlineStr"/>
      <c r="K901" t="inlineStr">
        <is>
          <t>CSI</t>
        </is>
      </c>
      <c r="L901" t="inlineStr">
        <is>
          <t>0902</t>
        </is>
      </c>
      <c r="M901" t="inlineStr">
        <is>
          <t>0902</t>
        </is>
      </c>
      <c r="N901" t="inlineStr">
        <is>
          <t>Estacio Estupiñán Rosario (ETR); Bastidas Valencia Zeneida Judith (MAT); Mindineros Satizábal John Jáver (TEI)</t>
        </is>
      </c>
      <c r="O901" t="inlineStr">
        <is>
          <t>EQUIPO DE 4: cada docente atiende un grupo de estudiantes en su área</t>
        </is>
      </c>
      <c r="P901" t="inlineStr">
        <is>
          <t>ENFASIS-0902</t>
        </is>
      </c>
      <c r="Q901">
        <f>IF(I901="ENFASIS","ÉNFASIS "&amp;M901,IFERROR(VLOOKUP(J901,Grupos!$A$2:$D$100,4,FALSE),J901))</f>
        <v/>
      </c>
      <c r="R901">
        <f>O901&amp;IF(N901&lt;&gt;"",IF(O901&lt;&gt;""," · ","")&amp;"Con: "&amp;N901,"")</f>
        <v/>
      </c>
      <c r="S901">
        <f>C901&amp;"|"&amp;D901</f>
        <v/>
      </c>
      <c r="T901">
        <f>COUNTIF($S$2:S901,S901)</f>
        <v/>
      </c>
      <c r="U901">
        <f>S901&amp;"|"&amp;T901</f>
        <v/>
      </c>
      <c r="V901">
        <f>IFERROR(VLOOKUP(IF(I901="ENFASIS",LEFT(M901,FIND("+",M901&amp;"+")-1),J901),Direccion_Grupo!$A$2:$G$100,7,FALSE),"")</f>
        <v/>
      </c>
    </row>
    <row r="902">
      <c r="A902" t="n">
        <v>18</v>
      </c>
      <c r="B902" t="inlineStr">
        <is>
          <t>Estacio Estupiñán Rosario</t>
        </is>
      </c>
      <c r="C902" t="inlineStr">
        <is>
          <t>MIERCOLES</t>
        </is>
      </c>
      <c r="D902" t="n">
        <v>7</v>
      </c>
      <c r="E902" t="n">
        <v>4</v>
      </c>
      <c r="F902" t="n">
        <v>1</v>
      </c>
      <c r="G902" t="inlineStr">
        <is>
          <t>12:00</t>
        </is>
      </c>
      <c r="H902" t="inlineStr">
        <is>
          <t>12:45</t>
        </is>
      </c>
      <c r="I902" t="inlineStr">
        <is>
          <t>ENFASIS</t>
        </is>
      </c>
      <c r="J902" t="inlineStr"/>
      <c r="K902" t="inlineStr">
        <is>
          <t>ETR</t>
        </is>
      </c>
      <c r="L902" t="inlineStr">
        <is>
          <t>0902</t>
        </is>
      </c>
      <c r="M902" t="inlineStr">
        <is>
          <t>0902</t>
        </is>
      </c>
      <c r="N902" t="inlineStr">
        <is>
          <t>Betancourth Ocampo Yohana Patricia (CSI); Bastidas Valencia Zeneida Judith (MAT); Mindineros Satizábal John Jáver (TEI)</t>
        </is>
      </c>
      <c r="O902" t="inlineStr">
        <is>
          <t>EQUIPO DE 4: cada docente atiende un grupo de estudiantes en su área</t>
        </is>
      </c>
      <c r="P902" t="inlineStr">
        <is>
          <t>ENFASIS-0902</t>
        </is>
      </c>
      <c r="Q902">
        <f>IF(I902="ENFASIS","ÉNFASIS "&amp;M902,IFERROR(VLOOKUP(J902,Grupos!$A$2:$D$100,4,FALSE),J902))</f>
        <v/>
      </c>
      <c r="R902">
        <f>O902&amp;IF(N902&lt;&gt;"",IF(O902&lt;&gt;""," · ","")&amp;"Con: "&amp;N902,"")</f>
        <v/>
      </c>
      <c r="S902">
        <f>C902&amp;"|"&amp;D902</f>
        <v/>
      </c>
      <c r="T902">
        <f>COUNTIF($S$2:S902,S902)</f>
        <v/>
      </c>
      <c r="U902">
        <f>S902&amp;"|"&amp;T902</f>
        <v/>
      </c>
      <c r="V902">
        <f>IFERROR(VLOOKUP(IF(I902="ENFASIS",LEFT(M902,FIND("+",M902&amp;"+")-1),J902),Direccion_Grupo!$A$2:$G$100,7,FALSE),"")</f>
        <v/>
      </c>
    </row>
    <row r="903">
      <c r="A903" t="n">
        <v>29</v>
      </c>
      <c r="B903" t="inlineStr">
        <is>
          <t>Mindineros Satizábal John Jáver</t>
        </is>
      </c>
      <c r="C903" t="inlineStr">
        <is>
          <t>MIERCOLES</t>
        </is>
      </c>
      <c r="D903" t="n">
        <v>7</v>
      </c>
      <c r="E903" t="n">
        <v>4</v>
      </c>
      <c r="F903" t="n">
        <v>1</v>
      </c>
      <c r="G903" t="inlineStr">
        <is>
          <t>12:00</t>
        </is>
      </c>
      <c r="H903" t="inlineStr">
        <is>
          <t>12:45</t>
        </is>
      </c>
      <c r="I903" t="inlineStr">
        <is>
          <t>ENFASIS</t>
        </is>
      </c>
      <c r="J903" t="inlineStr"/>
      <c r="K903" t="inlineStr">
        <is>
          <t>TEI</t>
        </is>
      </c>
      <c r="L903" t="inlineStr">
        <is>
          <t>0902</t>
        </is>
      </c>
      <c r="M903" t="inlineStr">
        <is>
          <t>0902</t>
        </is>
      </c>
      <c r="N903" t="inlineStr">
        <is>
          <t>Betancourth Ocampo Yohana Patricia (CSI); Estacio Estupiñán Rosario (ETR); Bastidas Valencia Zeneida Judith (MAT)</t>
        </is>
      </c>
      <c r="O903" t="inlineStr">
        <is>
          <t>EQUIPO DE 4: cada docente atiende un grupo de estudiantes en su área</t>
        </is>
      </c>
      <c r="P903" t="inlineStr">
        <is>
          <t>ENFASIS-0902</t>
        </is>
      </c>
      <c r="Q903">
        <f>IF(I903="ENFASIS","ÉNFASIS "&amp;M903,IFERROR(VLOOKUP(J903,Grupos!$A$2:$D$100,4,FALSE),J903))</f>
        <v/>
      </c>
      <c r="R903">
        <f>O903&amp;IF(N903&lt;&gt;"",IF(O903&lt;&gt;""," · ","")&amp;"Con: "&amp;N903,"")</f>
        <v/>
      </c>
      <c r="S903">
        <f>C903&amp;"|"&amp;D903</f>
        <v/>
      </c>
      <c r="T903">
        <f>COUNTIF($S$2:S903,S903)</f>
        <v/>
      </c>
      <c r="U903">
        <f>S903&amp;"|"&amp;T903</f>
        <v/>
      </c>
      <c r="V903">
        <f>IFERROR(VLOOKUP(IF(I903="ENFASIS",LEFT(M903,FIND("+",M903&amp;"+")-1),J903),Direccion_Grupo!$A$2:$G$100,7,FALSE),"")</f>
        <v/>
      </c>
    </row>
    <row r="904">
      <c r="A904" t="n">
        <v>3</v>
      </c>
      <c r="B904" t="inlineStr">
        <is>
          <t>Arboleda Ortiz Luz América</t>
        </is>
      </c>
      <c r="C904" t="inlineStr">
        <is>
          <t>MIERCOLES</t>
        </is>
      </c>
      <c r="D904" t="n">
        <v>7</v>
      </c>
      <c r="E904" t="n">
        <v>4</v>
      </c>
      <c r="F904" t="n">
        <v>1</v>
      </c>
      <c r="G904" t="inlineStr">
        <is>
          <t>12:00</t>
        </is>
      </c>
      <c r="H904" t="inlineStr">
        <is>
          <t>12:45</t>
        </is>
      </c>
      <c r="I904" t="inlineStr">
        <is>
          <t>ENFASIS</t>
        </is>
      </c>
      <c r="J904" t="inlineStr"/>
      <c r="K904" t="inlineStr">
        <is>
          <t>ART</t>
        </is>
      </c>
      <c r="L904" t="inlineStr">
        <is>
          <t>D5-10°</t>
        </is>
      </c>
      <c r="M904" t="inlineStr">
        <is>
          <t>1001</t>
        </is>
      </c>
      <c r="N904" t="inlineStr">
        <is>
          <t>Montaño Anchico Favio Héctor (CAS); Ramírez Guerra Jimmy Eduardo (ERD); Villota Rubio Héctor Hugo (CNA)</t>
        </is>
      </c>
      <c r="O904" t="inlineStr">
        <is>
          <t>EQUIPO DE 4: cada docente atiende un grupo de estudiantes en su área</t>
        </is>
      </c>
      <c r="P904" t="inlineStr">
        <is>
          <t>ENFASIS-D5-10°</t>
        </is>
      </c>
      <c r="Q904">
        <f>IF(I904="ENFASIS","ÉNFASIS "&amp;M904,IFERROR(VLOOKUP(J904,Grupos!$A$2:$D$100,4,FALSE),J904))</f>
        <v/>
      </c>
      <c r="R904">
        <f>O904&amp;IF(N904&lt;&gt;"",IF(O904&lt;&gt;""," · ","")&amp;"Con: "&amp;N904,"")</f>
        <v/>
      </c>
      <c r="S904">
        <f>C904&amp;"|"&amp;D904</f>
        <v/>
      </c>
      <c r="T904">
        <f>COUNTIF($S$2:S904,S904)</f>
        <v/>
      </c>
      <c r="U904">
        <f>S904&amp;"|"&amp;T904</f>
        <v/>
      </c>
      <c r="V904">
        <f>IFERROR(VLOOKUP(IF(I904="ENFASIS",LEFT(M904,FIND("+",M904&amp;"+")-1),J904),Direccion_Grupo!$A$2:$G$100,7,FALSE),"")</f>
        <v/>
      </c>
    </row>
    <row r="905">
      <c r="A905" t="n">
        <v>30</v>
      </c>
      <c r="B905" t="inlineStr">
        <is>
          <t>Montaño Anchico Favio Héctor</t>
        </is>
      </c>
      <c r="C905" t="inlineStr">
        <is>
          <t>MIERCOLES</t>
        </is>
      </c>
      <c r="D905" t="n">
        <v>7</v>
      </c>
      <c r="E905" t="n">
        <v>4</v>
      </c>
      <c r="F905" t="n">
        <v>1</v>
      </c>
      <c r="G905" t="inlineStr">
        <is>
          <t>12:00</t>
        </is>
      </c>
      <c r="H905" t="inlineStr">
        <is>
          <t>12:45</t>
        </is>
      </c>
      <c r="I905" t="inlineStr">
        <is>
          <t>ENFASIS</t>
        </is>
      </c>
      <c r="J905" t="inlineStr"/>
      <c r="K905" t="inlineStr">
        <is>
          <t>CAS</t>
        </is>
      </c>
      <c r="L905" t="inlineStr">
        <is>
          <t>D5-10°</t>
        </is>
      </c>
      <c r="M905" t="inlineStr">
        <is>
          <t>1001</t>
        </is>
      </c>
      <c r="N905" t="inlineStr">
        <is>
          <t>Arboleda Ortiz Luz América (ART); Ramírez Guerra Jimmy Eduardo (ERD); Villota Rubio Héctor Hugo (CNA)</t>
        </is>
      </c>
      <c r="O905" t="inlineStr">
        <is>
          <t>EQUIPO DE 4: cada docente atiende un grupo de estudiantes en su área</t>
        </is>
      </c>
      <c r="P905" t="inlineStr">
        <is>
          <t>ENFASIS-D5-10°</t>
        </is>
      </c>
      <c r="Q905">
        <f>IF(I905="ENFASIS","ÉNFASIS "&amp;M905,IFERROR(VLOOKUP(J905,Grupos!$A$2:$D$100,4,FALSE),J905))</f>
        <v/>
      </c>
      <c r="R905">
        <f>O905&amp;IF(N905&lt;&gt;"",IF(O905&lt;&gt;""," · ","")&amp;"Con: "&amp;N905,"")</f>
        <v/>
      </c>
      <c r="S905">
        <f>C905&amp;"|"&amp;D905</f>
        <v/>
      </c>
      <c r="T905">
        <f>COUNTIF($S$2:S905,S905)</f>
        <v/>
      </c>
      <c r="U905">
        <f>S905&amp;"|"&amp;T905</f>
        <v/>
      </c>
      <c r="V905">
        <f>IFERROR(VLOOKUP(IF(I905="ENFASIS",LEFT(M905,FIND("+",M905&amp;"+")-1),J905),Direccion_Grupo!$A$2:$G$100,7,FALSE),"")</f>
        <v/>
      </c>
    </row>
    <row r="906">
      <c r="A906" t="n">
        <v>43</v>
      </c>
      <c r="B906" t="inlineStr">
        <is>
          <t>Ramírez Guerra Jimmy Eduardo</t>
        </is>
      </c>
      <c r="C906" t="inlineStr">
        <is>
          <t>MIERCOLES</t>
        </is>
      </c>
      <c r="D906" t="n">
        <v>7</v>
      </c>
      <c r="E906" t="n">
        <v>4</v>
      </c>
      <c r="F906" t="n">
        <v>1</v>
      </c>
      <c r="G906" t="inlineStr">
        <is>
          <t>12:00</t>
        </is>
      </c>
      <c r="H906" t="inlineStr">
        <is>
          <t>12:45</t>
        </is>
      </c>
      <c r="I906" t="inlineStr">
        <is>
          <t>ENFASIS</t>
        </is>
      </c>
      <c r="J906" t="inlineStr"/>
      <c r="K906" t="inlineStr">
        <is>
          <t>ERD</t>
        </is>
      </c>
      <c r="L906" t="inlineStr">
        <is>
          <t>D5-10°</t>
        </is>
      </c>
      <c r="M906" t="inlineStr">
        <is>
          <t>1001</t>
        </is>
      </c>
      <c r="N906" t="inlineStr">
        <is>
          <t>Arboleda Ortiz Luz América (ART); Montaño Anchico Favio Héctor (CAS); Villota Rubio Héctor Hugo (CNA)</t>
        </is>
      </c>
      <c r="O906" t="inlineStr">
        <is>
          <t>EQUIPO DE 4: cada docente atiende un grupo de estudiantes en su área</t>
        </is>
      </c>
      <c r="P906" t="inlineStr">
        <is>
          <t>ENFASIS-D5-10°</t>
        </is>
      </c>
      <c r="Q906">
        <f>IF(I906="ENFASIS","ÉNFASIS "&amp;M906,IFERROR(VLOOKUP(J906,Grupos!$A$2:$D$100,4,FALSE),J906))</f>
        <v/>
      </c>
      <c r="R906">
        <f>O906&amp;IF(N906&lt;&gt;"",IF(O906&lt;&gt;""," · ","")&amp;"Con: "&amp;N906,"")</f>
        <v/>
      </c>
      <c r="S906">
        <f>C906&amp;"|"&amp;D906</f>
        <v/>
      </c>
      <c r="T906">
        <f>COUNTIF($S$2:S906,S906)</f>
        <v/>
      </c>
      <c r="U906">
        <f>S906&amp;"|"&amp;T906</f>
        <v/>
      </c>
      <c r="V906">
        <f>IFERROR(VLOOKUP(IF(I906="ENFASIS",LEFT(M906,FIND("+",M906&amp;"+")-1),J906),Direccion_Grupo!$A$2:$G$100,7,FALSE),"")</f>
        <v/>
      </c>
    </row>
    <row r="907">
      <c r="A907" t="n">
        <v>53</v>
      </c>
      <c r="B907" t="inlineStr">
        <is>
          <t>Villota Rubio Héctor Hugo</t>
        </is>
      </c>
      <c r="C907" t="inlineStr">
        <is>
          <t>MIERCOLES</t>
        </is>
      </c>
      <c r="D907" t="n">
        <v>7</v>
      </c>
      <c r="E907" t="n">
        <v>4</v>
      </c>
      <c r="F907" t="n">
        <v>1</v>
      </c>
      <c r="G907" t="inlineStr">
        <is>
          <t>12:00</t>
        </is>
      </c>
      <c r="H907" t="inlineStr">
        <is>
          <t>12:45</t>
        </is>
      </c>
      <c r="I907" t="inlineStr">
        <is>
          <t>ENFASIS</t>
        </is>
      </c>
      <c r="J907" t="inlineStr"/>
      <c r="K907" t="inlineStr">
        <is>
          <t>CNA</t>
        </is>
      </c>
      <c r="L907" t="inlineStr">
        <is>
          <t>D5-10°</t>
        </is>
      </c>
      <c r="M907" t="inlineStr">
        <is>
          <t>1001</t>
        </is>
      </c>
      <c r="N907" t="inlineStr">
        <is>
          <t>Arboleda Ortiz Luz América (ART); Montaño Anchico Favio Héctor (CAS); Ramírez Guerra Jimmy Eduardo (ERD)</t>
        </is>
      </c>
      <c r="O907" t="inlineStr">
        <is>
          <t>EQUIPO DE 4: cada docente atiende un grupo de estudiantes en su área</t>
        </is>
      </c>
      <c r="P907" t="inlineStr">
        <is>
          <t>ENFASIS-D5-10°</t>
        </is>
      </c>
      <c r="Q907">
        <f>IF(I907="ENFASIS","ÉNFASIS "&amp;M907,IFERROR(VLOOKUP(J907,Grupos!$A$2:$D$100,4,FALSE),J907))</f>
        <v/>
      </c>
      <c r="R907">
        <f>O907&amp;IF(N907&lt;&gt;"",IF(O907&lt;&gt;""," · ","")&amp;"Con: "&amp;N907,"")</f>
        <v/>
      </c>
      <c r="S907">
        <f>C907&amp;"|"&amp;D907</f>
        <v/>
      </c>
      <c r="T907">
        <f>COUNTIF($S$2:S907,S907)</f>
        <v/>
      </c>
      <c r="U907">
        <f>S907&amp;"|"&amp;T907</f>
        <v/>
      </c>
      <c r="V907">
        <f>IFERROR(VLOOKUP(IF(I907="ENFASIS",LEFT(M907,FIND("+",M907&amp;"+")-1),J907),Direccion_Grupo!$A$2:$G$100,7,FALSE),"")</f>
        <v/>
      </c>
    </row>
    <row r="908">
      <c r="A908" t="n">
        <v>41</v>
      </c>
      <c r="B908" t="inlineStr">
        <is>
          <t>Quintero Ramírez María del Carmen</t>
        </is>
      </c>
      <c r="C908" t="inlineStr">
        <is>
          <t>MIERCOLES</t>
        </is>
      </c>
      <c r="D908" t="n">
        <v>8</v>
      </c>
      <c r="E908" t="n">
        <v>4</v>
      </c>
      <c r="F908" t="n">
        <v>2</v>
      </c>
      <c r="G908" t="inlineStr">
        <is>
          <t>12:45</t>
        </is>
      </c>
      <c r="H908" t="inlineStr">
        <is>
          <t>13:30</t>
        </is>
      </c>
      <c r="I908" t="inlineStr">
        <is>
          <t>CLASE</t>
        </is>
      </c>
      <c r="J908" t="inlineStr">
        <is>
          <t>0701</t>
        </is>
      </c>
      <c r="K908" t="inlineStr">
        <is>
          <t>CSI</t>
        </is>
      </c>
      <c r="L908" t="inlineStr"/>
      <c r="M908" t="inlineStr"/>
      <c r="N908" t="inlineStr"/>
      <c r="O908" t="inlineStr">
        <is>
          <t>Sociales / Inglés (alternan cada semana)</t>
        </is>
      </c>
      <c r="P908" t="inlineStr">
        <is>
          <t>0701-CSI</t>
        </is>
      </c>
      <c r="Q908">
        <f>IF(I908="ENFASIS","ÉNFASIS "&amp;M908,IFERROR(VLOOKUP(J908,Grupos!$A$2:$D$100,4,FALSE),J908))</f>
        <v/>
      </c>
      <c r="R908">
        <f>O908&amp;IF(N908&lt;&gt;"",IF(O908&lt;&gt;""," · ","")&amp;"Con: "&amp;N908,"")</f>
        <v/>
      </c>
      <c r="S908">
        <f>C908&amp;"|"&amp;D908</f>
        <v/>
      </c>
      <c r="T908">
        <f>COUNTIF($S$2:S908,S908)</f>
        <v/>
      </c>
      <c r="U908">
        <f>S908&amp;"|"&amp;T908</f>
        <v/>
      </c>
      <c r="V908">
        <f>IFERROR(VLOOKUP(IF(I908="ENFASIS",LEFT(M908,FIND("+",M908&amp;"+")-1),J908),Direccion_Grupo!$A$2:$G$100,7,FALSE),"")</f>
        <v/>
      </c>
    </row>
    <row r="909">
      <c r="A909" t="n">
        <v>8</v>
      </c>
      <c r="B909" t="inlineStr">
        <is>
          <t>Casanova Quiñones Yoli del Carmen</t>
        </is>
      </c>
      <c r="C909" t="inlineStr">
        <is>
          <t>MIERCOLES</t>
        </is>
      </c>
      <c r="D909" t="n">
        <v>8</v>
      </c>
      <c r="E909" t="n">
        <v>4</v>
      </c>
      <c r="F909" t="n">
        <v>2</v>
      </c>
      <c r="G909" t="inlineStr">
        <is>
          <t>12:45</t>
        </is>
      </c>
      <c r="H909" t="inlineStr">
        <is>
          <t>13:30</t>
        </is>
      </c>
      <c r="I909" t="inlineStr">
        <is>
          <t>CLASE</t>
        </is>
      </c>
      <c r="J909" t="inlineStr">
        <is>
          <t>0702</t>
        </is>
      </c>
      <c r="K909" t="inlineStr">
        <is>
          <t>ETR</t>
        </is>
      </c>
      <c r="L909" t="inlineStr"/>
      <c r="M909" t="inlineStr"/>
      <c r="N909" t="inlineStr"/>
      <c r="O909" t="inlineStr">
        <is>
          <t>Ética / Religión (alternan cada semana)</t>
        </is>
      </c>
      <c r="P909" t="inlineStr">
        <is>
          <t>0702-ETI</t>
        </is>
      </c>
      <c r="Q909">
        <f>IF(I909="ENFASIS","ÉNFASIS "&amp;M909,IFERROR(VLOOKUP(J909,Grupos!$A$2:$D$100,4,FALSE),J909))</f>
        <v/>
      </c>
      <c r="R909">
        <f>O909&amp;IF(N909&lt;&gt;"",IF(O909&lt;&gt;""," · ","")&amp;"Con: "&amp;N909,"")</f>
        <v/>
      </c>
      <c r="S909">
        <f>C909&amp;"|"&amp;D909</f>
        <v/>
      </c>
      <c r="T909">
        <f>COUNTIF($S$2:S909,S909)</f>
        <v/>
      </c>
      <c r="U909">
        <f>S909&amp;"|"&amp;T909</f>
        <v/>
      </c>
      <c r="V909">
        <f>IFERROR(VLOOKUP(IF(I909="ENFASIS",LEFT(M909,FIND("+",M909&amp;"+")-1),J909),Direccion_Grupo!$A$2:$G$100,7,FALSE),"")</f>
        <v/>
      </c>
    </row>
    <row r="910">
      <c r="A910" t="n">
        <v>52</v>
      </c>
      <c r="B910" t="inlineStr">
        <is>
          <t>Vásquez Valencia Segundo Leoncio</t>
        </is>
      </c>
      <c r="C910" t="inlineStr">
        <is>
          <t>MIERCOLES</t>
        </is>
      </c>
      <c r="D910" t="n">
        <v>8</v>
      </c>
      <c r="E910" t="n">
        <v>4</v>
      </c>
      <c r="F910" t="n">
        <v>2</v>
      </c>
      <c r="G910" t="inlineStr">
        <is>
          <t>12:45</t>
        </is>
      </c>
      <c r="H910" t="inlineStr">
        <is>
          <t>13:30</t>
        </is>
      </c>
      <c r="I910" t="inlineStr">
        <is>
          <t>CLASE</t>
        </is>
      </c>
      <c r="J910" t="inlineStr">
        <is>
          <t>0703</t>
        </is>
      </c>
      <c r="K910" t="inlineStr">
        <is>
          <t>MAT</t>
        </is>
      </c>
      <c r="L910" t="inlineStr"/>
      <c r="M910" t="inlineStr"/>
      <c r="N910" t="inlineStr"/>
      <c r="O910" t="inlineStr"/>
      <c r="P910" t="inlineStr">
        <is>
          <t>0703-MAT</t>
        </is>
      </c>
      <c r="Q910">
        <f>IF(I910="ENFASIS","ÉNFASIS "&amp;M910,IFERROR(VLOOKUP(J910,Grupos!$A$2:$D$100,4,FALSE),J910))</f>
        <v/>
      </c>
      <c r="R910">
        <f>O910&amp;IF(N910&lt;&gt;"",IF(O910&lt;&gt;""," · ","")&amp;"Con: "&amp;N910,"")</f>
        <v/>
      </c>
      <c r="S910">
        <f>C910&amp;"|"&amp;D910</f>
        <v/>
      </c>
      <c r="T910">
        <f>COUNTIF($S$2:S910,S910)</f>
        <v/>
      </c>
      <c r="U910">
        <f>S910&amp;"|"&amp;T910</f>
        <v/>
      </c>
      <c r="V910">
        <f>IFERROR(VLOOKUP(IF(I910="ENFASIS",LEFT(M910,FIND("+",M910&amp;"+")-1),J910),Direccion_Grupo!$A$2:$G$100,7,FALSE),"")</f>
        <v/>
      </c>
    </row>
    <row r="911">
      <c r="A911" t="n">
        <v>1</v>
      </c>
      <c r="B911" t="inlineStr">
        <is>
          <t>Aguirre Riascos Jorge Andrés</t>
        </is>
      </c>
      <c r="C911" t="inlineStr">
        <is>
          <t>MIERCOLES</t>
        </is>
      </c>
      <c r="D911" t="n">
        <v>8</v>
      </c>
      <c r="E911" t="n">
        <v>4</v>
      </c>
      <c r="F911" t="n">
        <v>2</v>
      </c>
      <c r="G911" t="inlineStr">
        <is>
          <t>12:45</t>
        </is>
      </c>
      <c r="H911" t="inlineStr">
        <is>
          <t>13:30</t>
        </is>
      </c>
      <c r="I911" t="inlineStr">
        <is>
          <t>CLASE</t>
        </is>
      </c>
      <c r="J911" t="inlineStr">
        <is>
          <t>0704</t>
        </is>
      </c>
      <c r="K911" t="inlineStr">
        <is>
          <t>TEI</t>
        </is>
      </c>
      <c r="L911" t="inlineStr"/>
      <c r="M911" t="inlineStr"/>
      <c r="N911" t="inlineStr"/>
      <c r="O911" t="inlineStr"/>
      <c r="P911" t="inlineStr">
        <is>
          <t>0704-TEI</t>
        </is>
      </c>
      <c r="Q911">
        <f>IF(I911="ENFASIS","ÉNFASIS "&amp;M911,IFERROR(VLOOKUP(J911,Grupos!$A$2:$D$100,4,FALSE),J911))</f>
        <v/>
      </c>
      <c r="R911">
        <f>O911&amp;IF(N911&lt;&gt;"",IF(O911&lt;&gt;""," · ","")&amp;"Con: "&amp;N911,"")</f>
        <v/>
      </c>
      <c r="S911">
        <f>C911&amp;"|"&amp;D911</f>
        <v/>
      </c>
      <c r="T911">
        <f>COUNTIF($S$2:S911,S911)</f>
        <v/>
      </c>
      <c r="U911">
        <f>S911&amp;"|"&amp;T911</f>
        <v/>
      </c>
      <c r="V911">
        <f>IFERROR(VLOOKUP(IF(I911="ENFASIS",LEFT(M911,FIND("+",M911&amp;"+")-1),J911),Direccion_Grupo!$A$2:$G$100,7,FALSE),"")</f>
        <v/>
      </c>
    </row>
    <row r="912">
      <c r="A912" t="n">
        <v>9</v>
      </c>
      <c r="B912" t="inlineStr">
        <is>
          <t>Castillo Angulo Martha Cecilia</t>
        </is>
      </c>
      <c r="C912" t="inlineStr">
        <is>
          <t>MIERCOLES</t>
        </is>
      </c>
      <c r="D912" t="n">
        <v>8</v>
      </c>
      <c r="E912" t="n">
        <v>4</v>
      </c>
      <c r="F912" t="n">
        <v>2</v>
      </c>
      <c r="G912" t="inlineStr">
        <is>
          <t>12:45</t>
        </is>
      </c>
      <c r="H912" t="inlineStr">
        <is>
          <t>13:30</t>
        </is>
      </c>
      <c r="I912" t="inlineStr">
        <is>
          <t>CLASE</t>
        </is>
      </c>
      <c r="J912" t="inlineStr">
        <is>
          <t>0801</t>
        </is>
      </c>
      <c r="K912" t="inlineStr">
        <is>
          <t>ETR</t>
        </is>
      </c>
      <c r="L912" t="inlineStr"/>
      <c r="M912" t="inlineStr"/>
      <c r="N912" t="inlineStr"/>
      <c r="O912" t="inlineStr">
        <is>
          <t>Ética / Religión (alternan cada semana)</t>
        </is>
      </c>
      <c r="P912" t="inlineStr">
        <is>
          <t>0801-ETR</t>
        </is>
      </c>
      <c r="Q912">
        <f>IF(I912="ENFASIS","ÉNFASIS "&amp;M912,IFERROR(VLOOKUP(J912,Grupos!$A$2:$D$100,4,FALSE),J912))</f>
        <v/>
      </c>
      <c r="R912">
        <f>O912&amp;IF(N912&lt;&gt;"",IF(O912&lt;&gt;""," · ","")&amp;"Con: "&amp;N912,"")</f>
        <v/>
      </c>
      <c r="S912">
        <f>C912&amp;"|"&amp;D912</f>
        <v/>
      </c>
      <c r="T912">
        <f>COUNTIF($S$2:S912,S912)</f>
        <v/>
      </c>
      <c r="U912">
        <f>S912&amp;"|"&amp;T912</f>
        <v/>
      </c>
      <c r="V912">
        <f>IFERROR(VLOOKUP(IF(I912="ENFASIS",LEFT(M912,FIND("+",M912&amp;"+")-1),J912),Direccion_Grupo!$A$2:$G$100,7,FALSE),"")</f>
        <v/>
      </c>
    </row>
    <row r="913">
      <c r="A913" t="n">
        <v>44</v>
      </c>
      <c r="B913" t="inlineStr">
        <is>
          <t>Samaniego Angulo Flor Mireya</t>
        </is>
      </c>
      <c r="C913" t="inlineStr">
        <is>
          <t>MIERCOLES</t>
        </is>
      </c>
      <c r="D913" t="n">
        <v>8</v>
      </c>
      <c r="E913" t="n">
        <v>4</v>
      </c>
      <c r="F913" t="n">
        <v>2</v>
      </c>
      <c r="G913" t="inlineStr">
        <is>
          <t>12:45</t>
        </is>
      </c>
      <c r="H913" t="inlineStr">
        <is>
          <t>13:30</t>
        </is>
      </c>
      <c r="I913" t="inlineStr">
        <is>
          <t>CLASE</t>
        </is>
      </c>
      <c r="J913" t="inlineStr">
        <is>
          <t>0802</t>
        </is>
      </c>
      <c r="K913" t="inlineStr">
        <is>
          <t>ART</t>
        </is>
      </c>
      <c r="L913" t="inlineStr"/>
      <c r="M913" t="inlineStr"/>
      <c r="N913" t="inlineStr"/>
      <c r="O913" t="inlineStr"/>
      <c r="P913" t="inlineStr">
        <is>
          <t>0802-ART</t>
        </is>
      </c>
      <c r="Q913">
        <f>IF(I913="ENFASIS","ÉNFASIS "&amp;M913,IFERROR(VLOOKUP(J913,Grupos!$A$2:$D$100,4,FALSE),J913))</f>
        <v/>
      </c>
      <c r="R913">
        <f>O913&amp;IF(N913&lt;&gt;"",IF(O913&lt;&gt;""," · ","")&amp;"Con: "&amp;N913,"")</f>
        <v/>
      </c>
      <c r="S913">
        <f>C913&amp;"|"&amp;D913</f>
        <v/>
      </c>
      <c r="T913">
        <f>COUNTIF($S$2:S913,S913)</f>
        <v/>
      </c>
      <c r="U913">
        <f>S913&amp;"|"&amp;T913</f>
        <v/>
      </c>
      <c r="V913">
        <f>IFERROR(VLOOKUP(IF(I913="ENFASIS",LEFT(M913,FIND("+",M913&amp;"+")-1),J913),Direccion_Grupo!$A$2:$G$100,7,FALSE),"")</f>
        <v/>
      </c>
    </row>
    <row r="914">
      <c r="A914" t="n">
        <v>31</v>
      </c>
      <c r="B914" t="inlineStr">
        <is>
          <t>Montaño Arizala Leidis Claudina</t>
        </is>
      </c>
      <c r="C914" t="inlineStr">
        <is>
          <t>MIERCOLES</t>
        </is>
      </c>
      <c r="D914" t="n">
        <v>8</v>
      </c>
      <c r="E914" t="n">
        <v>4</v>
      </c>
      <c r="F914" t="n">
        <v>2</v>
      </c>
      <c r="G914" t="inlineStr">
        <is>
          <t>12:45</t>
        </is>
      </c>
      <c r="H914" t="inlineStr">
        <is>
          <t>13:30</t>
        </is>
      </c>
      <c r="I914" t="inlineStr">
        <is>
          <t>CLASE</t>
        </is>
      </c>
      <c r="J914" t="inlineStr">
        <is>
          <t>1002</t>
        </is>
      </c>
      <c r="K914" t="inlineStr">
        <is>
          <t>ETR</t>
        </is>
      </c>
      <c r="L914" t="inlineStr"/>
      <c r="M914" t="inlineStr"/>
      <c r="N914" t="inlineStr"/>
      <c r="O914" t="inlineStr">
        <is>
          <t>Ética / Religión (alternan cada semana)</t>
        </is>
      </c>
      <c r="P914" t="inlineStr">
        <is>
          <t>1002-ETR</t>
        </is>
      </c>
      <c r="Q914">
        <f>IF(I914="ENFASIS","ÉNFASIS "&amp;M914,IFERROR(VLOOKUP(J914,Grupos!$A$2:$D$100,4,FALSE),J914))</f>
        <v/>
      </c>
      <c r="R914">
        <f>O914&amp;IF(N914&lt;&gt;"",IF(O914&lt;&gt;""," · ","")&amp;"Con: "&amp;N914,"")</f>
        <v/>
      </c>
      <c r="S914">
        <f>C914&amp;"|"&amp;D914</f>
        <v/>
      </c>
      <c r="T914">
        <f>COUNTIF($S$2:S914,S914)</f>
        <v/>
      </c>
      <c r="U914">
        <f>S914&amp;"|"&amp;T914</f>
        <v/>
      </c>
      <c r="V914">
        <f>IFERROR(VLOOKUP(IF(I914="ENFASIS",LEFT(M914,FIND("+",M914&amp;"+")-1),J914),Direccion_Grupo!$A$2:$G$100,7,FALSE),"")</f>
        <v/>
      </c>
    </row>
    <row r="915">
      <c r="A915" t="n">
        <v>40</v>
      </c>
      <c r="B915" t="inlineStr">
        <is>
          <t>Pulgarín Ortiz César Marino</t>
        </is>
      </c>
      <c r="C915" t="inlineStr">
        <is>
          <t>MIERCOLES</t>
        </is>
      </c>
      <c r="D915" t="n">
        <v>8</v>
      </c>
      <c r="E915" t="n">
        <v>4</v>
      </c>
      <c r="F915" t="n">
        <v>2</v>
      </c>
      <c r="G915" t="inlineStr">
        <is>
          <t>12:45</t>
        </is>
      </c>
      <c r="H915" t="inlineStr">
        <is>
          <t>13:30</t>
        </is>
      </c>
      <c r="I915" t="inlineStr">
        <is>
          <t>CLASE</t>
        </is>
      </c>
      <c r="J915" t="inlineStr">
        <is>
          <t>1101</t>
        </is>
      </c>
      <c r="K915" t="inlineStr">
        <is>
          <t>CSI</t>
        </is>
      </c>
      <c r="L915" t="inlineStr"/>
      <c r="M915" t="inlineStr"/>
      <c r="N915" t="inlineStr"/>
      <c r="O915" t="inlineStr">
        <is>
          <t>Sociales / Inglés (alternan cada semana)</t>
        </is>
      </c>
      <c r="P915" t="inlineStr">
        <is>
          <t>1101-CSI</t>
        </is>
      </c>
      <c r="Q915">
        <f>IF(I915="ENFASIS","ÉNFASIS "&amp;M915,IFERROR(VLOOKUP(J915,Grupos!$A$2:$D$100,4,FALSE),J915))</f>
        <v/>
      </c>
      <c r="R915">
        <f>O915&amp;IF(N915&lt;&gt;"",IF(O915&lt;&gt;""," · ","")&amp;"Con: "&amp;N915,"")</f>
        <v/>
      </c>
      <c r="S915">
        <f>C915&amp;"|"&amp;D915</f>
        <v/>
      </c>
      <c r="T915">
        <f>COUNTIF($S$2:S915,S915)</f>
        <v/>
      </c>
      <c r="U915">
        <f>S915&amp;"|"&amp;T915</f>
        <v/>
      </c>
      <c r="V915">
        <f>IFERROR(VLOOKUP(IF(I915="ENFASIS",LEFT(M915,FIND("+",M915&amp;"+")-1),J915),Direccion_Grupo!$A$2:$G$100,7,FALSE),"")</f>
        <v/>
      </c>
    </row>
    <row r="916">
      <c r="A916" t="n">
        <v>54</v>
      </c>
      <c r="B916" t="inlineStr">
        <is>
          <t>Villota Rubio Janeth del Carmen</t>
        </is>
      </c>
      <c r="C916" t="inlineStr">
        <is>
          <t>MIERCOLES</t>
        </is>
      </c>
      <c r="D916" t="n">
        <v>8</v>
      </c>
      <c r="E916" t="n">
        <v>4</v>
      </c>
      <c r="F916" t="n">
        <v>2</v>
      </c>
      <c r="G916" t="inlineStr">
        <is>
          <t>12:45</t>
        </is>
      </c>
      <c r="H916" t="inlineStr">
        <is>
          <t>13:30</t>
        </is>
      </c>
      <c r="I916" t="inlineStr">
        <is>
          <t>CLASE</t>
        </is>
      </c>
      <c r="J916" t="inlineStr">
        <is>
          <t>1102</t>
        </is>
      </c>
      <c r="K916" t="inlineStr">
        <is>
          <t>MAT</t>
        </is>
      </c>
      <c r="L916" t="inlineStr"/>
      <c r="M916" t="inlineStr"/>
      <c r="N916" t="inlineStr"/>
      <c r="O916" t="inlineStr"/>
      <c r="P916" t="inlineStr">
        <is>
          <t>1102-MAT</t>
        </is>
      </c>
      <c r="Q916">
        <f>IF(I916="ENFASIS","ÉNFASIS "&amp;M916,IFERROR(VLOOKUP(J916,Grupos!$A$2:$D$100,4,FALSE),J916))</f>
        <v/>
      </c>
      <c r="R916">
        <f>O916&amp;IF(N916&lt;&gt;"",IF(O916&lt;&gt;""," · ","")&amp;"Con: "&amp;N916,"")</f>
        <v/>
      </c>
      <c r="S916">
        <f>C916&amp;"|"&amp;D916</f>
        <v/>
      </c>
      <c r="T916">
        <f>COUNTIF($S$2:S916,S916)</f>
        <v/>
      </c>
      <c r="U916">
        <f>S916&amp;"|"&amp;T916</f>
        <v/>
      </c>
      <c r="V916">
        <f>IFERROR(VLOOKUP(IF(I916="ENFASIS",LEFT(M916,FIND("+",M916&amp;"+")-1),J916),Direccion_Grupo!$A$2:$G$100,7,FALSE),"")</f>
        <v/>
      </c>
    </row>
    <row r="917">
      <c r="A917" t="n">
        <v>42</v>
      </c>
      <c r="B917" t="inlineStr">
        <is>
          <t>Quiñones Cabezas Marcos Vidal</t>
        </is>
      </c>
      <c r="C917" t="inlineStr">
        <is>
          <t>MIERCOLES</t>
        </is>
      </c>
      <c r="D917" t="n">
        <v>8</v>
      </c>
      <c r="E917" t="n">
        <v>4</v>
      </c>
      <c r="F917" t="n">
        <v>2</v>
      </c>
      <c r="G917" t="inlineStr">
        <is>
          <t>12:45</t>
        </is>
      </c>
      <c r="H917" t="inlineStr">
        <is>
          <t>13:30</t>
        </is>
      </c>
      <c r="I917" t="inlineStr">
        <is>
          <t>CLASE</t>
        </is>
      </c>
      <c r="J917" t="inlineStr">
        <is>
          <t>CS101</t>
        </is>
      </c>
      <c r="K917" t="inlineStr">
        <is>
          <t>TEI</t>
        </is>
      </c>
      <c r="L917" t="inlineStr"/>
      <c r="M917" t="inlineStr"/>
      <c r="N917" t="inlineStr"/>
      <c r="O917" t="inlineStr"/>
      <c r="P917" t="inlineStr">
        <is>
          <t>CS101-TEI</t>
        </is>
      </c>
      <c r="Q917">
        <f>IF(I917="ENFASIS","ÉNFASIS "&amp;M917,IFERROR(VLOOKUP(J917,Grupos!$A$2:$D$100,4,FALSE),J917))</f>
        <v/>
      </c>
      <c r="R917">
        <f>O917&amp;IF(N917&lt;&gt;"",IF(O917&lt;&gt;""," · ","")&amp;"Con: "&amp;N917,"")</f>
        <v/>
      </c>
      <c r="S917">
        <f>C917&amp;"|"&amp;D917</f>
        <v/>
      </c>
      <c r="T917">
        <f>COUNTIF($S$2:S917,S917)</f>
        <v/>
      </c>
      <c r="U917">
        <f>S917&amp;"|"&amp;T917</f>
        <v/>
      </c>
      <c r="V917">
        <f>IFERROR(VLOOKUP(IF(I917="ENFASIS",LEFT(M917,FIND("+",M917&amp;"+")-1),J917),Direccion_Grupo!$A$2:$G$100,7,FALSE),"")</f>
        <v/>
      </c>
    </row>
    <row r="918">
      <c r="A918" t="n">
        <v>26</v>
      </c>
      <c r="B918" t="inlineStr">
        <is>
          <t>Lozano Torres Amanda Inés</t>
        </is>
      </c>
      <c r="C918" t="inlineStr">
        <is>
          <t>MIERCOLES</t>
        </is>
      </c>
      <c r="D918" t="n">
        <v>8</v>
      </c>
      <c r="E918" t="n">
        <v>4</v>
      </c>
      <c r="F918" t="n">
        <v>2</v>
      </c>
      <c r="G918" t="inlineStr">
        <is>
          <t>12:45</t>
        </is>
      </c>
      <c r="H918" t="inlineStr">
        <is>
          <t>13:30</t>
        </is>
      </c>
      <c r="I918" t="inlineStr">
        <is>
          <t>CLASE</t>
        </is>
      </c>
      <c r="J918" t="inlineStr">
        <is>
          <t>CS102</t>
        </is>
      </c>
      <c r="K918" t="inlineStr">
        <is>
          <t>ETR</t>
        </is>
      </c>
      <c r="L918" t="inlineStr"/>
      <c r="M918" t="inlineStr"/>
      <c r="N918" t="inlineStr"/>
      <c r="O918" t="inlineStr">
        <is>
          <t>Ética / Religión (alternan cada semana)</t>
        </is>
      </c>
      <c r="P918" t="inlineStr">
        <is>
          <t>CS102-ETR</t>
        </is>
      </c>
      <c r="Q918">
        <f>IF(I918="ENFASIS","ÉNFASIS "&amp;M918,IFERROR(VLOOKUP(J918,Grupos!$A$2:$D$100,4,FALSE),J918))</f>
        <v/>
      </c>
      <c r="R918">
        <f>O918&amp;IF(N918&lt;&gt;"",IF(O918&lt;&gt;""," · ","")&amp;"Con: "&amp;N918,"")</f>
        <v/>
      </c>
      <c r="S918">
        <f>C918&amp;"|"&amp;D918</f>
        <v/>
      </c>
      <c r="T918">
        <f>COUNTIF($S$2:S918,S918)</f>
        <v/>
      </c>
      <c r="U918">
        <f>S918&amp;"|"&amp;T918</f>
        <v/>
      </c>
      <c r="V918">
        <f>IFERROR(VLOOKUP(IF(I918="ENFASIS",LEFT(M918,FIND("+",M918&amp;"+")-1),J918),Direccion_Grupo!$A$2:$G$100,7,FALSE),"")</f>
        <v/>
      </c>
    </row>
    <row r="919">
      <c r="A919" t="n">
        <v>15</v>
      </c>
      <c r="B919" t="inlineStr">
        <is>
          <t>Cuero Bamba Berte Levi</t>
        </is>
      </c>
      <c r="C919" t="inlineStr">
        <is>
          <t>MIERCOLES</t>
        </is>
      </c>
      <c r="D919" t="n">
        <v>8</v>
      </c>
      <c r="E919" t="n">
        <v>4</v>
      </c>
      <c r="F919" t="n">
        <v>2</v>
      </c>
      <c r="G919" t="inlineStr">
        <is>
          <t>12:45</t>
        </is>
      </c>
      <c r="H919" t="inlineStr">
        <is>
          <t>13:30</t>
        </is>
      </c>
      <c r="I919" t="inlineStr">
        <is>
          <t>CLASE</t>
        </is>
      </c>
      <c r="J919" t="inlineStr">
        <is>
          <t>CS201</t>
        </is>
      </c>
      <c r="K919" t="inlineStr">
        <is>
          <t>ERD</t>
        </is>
      </c>
      <c r="L919" t="inlineStr"/>
      <c r="M919" t="inlineStr"/>
      <c r="N919" t="inlineStr"/>
      <c r="O919" t="inlineStr"/>
      <c r="P919" t="inlineStr">
        <is>
          <t>CS201-ERD</t>
        </is>
      </c>
      <c r="Q919">
        <f>IF(I919="ENFASIS","ÉNFASIS "&amp;M919,IFERROR(VLOOKUP(J919,Grupos!$A$2:$D$100,4,FALSE),J919))</f>
        <v/>
      </c>
      <c r="R919">
        <f>O919&amp;IF(N919&lt;&gt;"",IF(O919&lt;&gt;""," · ","")&amp;"Con: "&amp;N919,"")</f>
        <v/>
      </c>
      <c r="S919">
        <f>C919&amp;"|"&amp;D919</f>
        <v/>
      </c>
      <c r="T919">
        <f>COUNTIF($S$2:S919,S919)</f>
        <v/>
      </c>
      <c r="U919">
        <f>S919&amp;"|"&amp;T919</f>
        <v/>
      </c>
      <c r="V919">
        <f>IFERROR(VLOOKUP(IF(I919="ENFASIS",LEFT(M919,FIND("+",M919&amp;"+")-1),J919),Direccion_Grupo!$A$2:$G$100,7,FALSE),"")</f>
        <v/>
      </c>
    </row>
    <row r="920">
      <c r="A920" t="n">
        <v>38</v>
      </c>
      <c r="B920" t="inlineStr">
        <is>
          <t>Preciado Torres Oleisa</t>
        </is>
      </c>
      <c r="C920" t="inlineStr">
        <is>
          <t>MIERCOLES</t>
        </is>
      </c>
      <c r="D920" t="n">
        <v>8</v>
      </c>
      <c r="E920" t="n">
        <v>4</v>
      </c>
      <c r="F920" t="n">
        <v>2</v>
      </c>
      <c r="G920" t="inlineStr">
        <is>
          <t>12:45</t>
        </is>
      </c>
      <c r="H920" t="inlineStr">
        <is>
          <t>13:30</t>
        </is>
      </c>
      <c r="I920" t="inlineStr">
        <is>
          <t>CLASE</t>
        </is>
      </c>
      <c r="J920" t="inlineStr">
        <is>
          <t>CS202</t>
        </is>
      </c>
      <c r="K920" t="inlineStr">
        <is>
          <t>MAT</t>
        </is>
      </c>
      <c r="L920" t="inlineStr"/>
      <c r="M920" t="inlineStr"/>
      <c r="N920" t="inlineStr"/>
      <c r="O920" t="inlineStr"/>
      <c r="P920" t="inlineStr">
        <is>
          <t>CS202-MAT</t>
        </is>
      </c>
      <c r="Q920">
        <f>IF(I920="ENFASIS","ÉNFASIS "&amp;M920,IFERROR(VLOOKUP(J920,Grupos!$A$2:$D$100,4,FALSE),J920))</f>
        <v/>
      </c>
      <c r="R920">
        <f>O920&amp;IF(N920&lt;&gt;"",IF(O920&lt;&gt;""," · ","")&amp;"Con: "&amp;N920,"")</f>
        <v/>
      </c>
      <c r="S920">
        <f>C920&amp;"|"&amp;D920</f>
        <v/>
      </c>
      <c r="T920">
        <f>COUNTIF($S$2:S920,S920)</f>
        <v/>
      </c>
      <c r="U920">
        <f>S920&amp;"|"&amp;T920</f>
        <v/>
      </c>
      <c r="V920">
        <f>IFERROR(VLOOKUP(IF(I920="ENFASIS",LEFT(M920,FIND("+",M920&amp;"+")-1),J920),Direccion_Grupo!$A$2:$G$100,7,FALSE),"")</f>
        <v/>
      </c>
    </row>
    <row r="921">
      <c r="A921" t="n">
        <v>7</v>
      </c>
      <c r="B921" t="inlineStr">
        <is>
          <t>Casanova Casanova Johana Andrea</t>
        </is>
      </c>
      <c r="C921" t="inlineStr">
        <is>
          <t>MIERCOLES</t>
        </is>
      </c>
      <c r="D921" t="n">
        <v>8</v>
      </c>
      <c r="E921" t="n">
        <v>4</v>
      </c>
      <c r="F921" t="n">
        <v>2</v>
      </c>
      <c r="G921" t="inlineStr">
        <is>
          <t>12:45</t>
        </is>
      </c>
      <c r="H921" t="inlineStr">
        <is>
          <t>13:30</t>
        </is>
      </c>
      <c r="I921" t="inlineStr">
        <is>
          <t>ORIENTACION</t>
        </is>
      </c>
      <c r="J921" t="inlineStr">
        <is>
          <t>ORIENT</t>
        </is>
      </c>
      <c r="K921" t="inlineStr">
        <is>
          <t>ORIENTACIÓN ESCOLAR</t>
        </is>
      </c>
      <c r="L921" t="inlineStr"/>
      <c r="M921" t="inlineStr"/>
      <c r="N921" t="inlineStr"/>
      <c r="O921" t="inlineStr">
        <is>
          <t>Jornada 07:30 a 14:30</t>
        </is>
      </c>
      <c r="P921" t="inlineStr"/>
      <c r="Q921">
        <f>IF(I921="ENFASIS","ÉNFASIS "&amp;M921,IFERROR(VLOOKUP(J921,Grupos!$A$2:$D$100,4,FALSE),J921))</f>
        <v/>
      </c>
      <c r="R921">
        <f>O921&amp;IF(N921&lt;&gt;"",IF(O921&lt;&gt;""," · ","")&amp;"Con: "&amp;N921,"")</f>
        <v/>
      </c>
      <c r="S921">
        <f>C921&amp;"|"&amp;D921</f>
        <v/>
      </c>
      <c r="T921">
        <f>COUNTIF($S$2:S921,S921)</f>
        <v/>
      </c>
      <c r="U921">
        <f>S921&amp;"|"&amp;T921</f>
        <v/>
      </c>
      <c r="V921">
        <f>IFERROR(VLOOKUP(IF(I921="ENFASIS",LEFT(M921,FIND("+",M921&amp;"+")-1),J921),Direccion_Grupo!$A$2:$G$100,7,FALSE),"")</f>
        <v/>
      </c>
    </row>
    <row r="922">
      <c r="A922" t="n">
        <v>36</v>
      </c>
      <c r="B922" t="inlineStr">
        <is>
          <t>Ponce Moncayo Ángela Paola</t>
        </is>
      </c>
      <c r="C922" t="inlineStr">
        <is>
          <t>MIERCOLES</t>
        </is>
      </c>
      <c r="D922" t="n">
        <v>8</v>
      </c>
      <c r="E922" t="n">
        <v>4</v>
      </c>
      <c r="F922" t="n">
        <v>2</v>
      </c>
      <c r="G922" t="inlineStr">
        <is>
          <t>12:45</t>
        </is>
      </c>
      <c r="H922" t="inlineStr">
        <is>
          <t>13:30</t>
        </is>
      </c>
      <c r="I922" t="inlineStr">
        <is>
          <t>ORIENTACION</t>
        </is>
      </c>
      <c r="J922" t="inlineStr">
        <is>
          <t>ORIENT</t>
        </is>
      </c>
      <c r="K922" t="inlineStr">
        <is>
          <t>ORIENTACIÓN ESCOLAR</t>
        </is>
      </c>
      <c r="L922" t="inlineStr"/>
      <c r="M922" t="inlineStr"/>
      <c r="N922" t="inlineStr"/>
      <c r="O922" t="inlineStr">
        <is>
          <t>Jornada 08:30 a 13:30</t>
        </is>
      </c>
      <c r="P922" t="inlineStr"/>
      <c r="Q922">
        <f>IF(I922="ENFASIS","ÉNFASIS "&amp;M922,IFERROR(VLOOKUP(J922,Grupos!$A$2:$D$100,4,FALSE),J922))</f>
        <v/>
      </c>
      <c r="R922">
        <f>O922&amp;IF(N922&lt;&gt;"",IF(O922&lt;&gt;""," · ","")&amp;"Con: "&amp;N922,"")</f>
        <v/>
      </c>
      <c r="S922">
        <f>C922&amp;"|"&amp;D922</f>
        <v/>
      </c>
      <c r="T922">
        <f>COUNTIF($S$2:S922,S922)</f>
        <v/>
      </c>
      <c r="U922">
        <f>S922&amp;"|"&amp;T922</f>
        <v/>
      </c>
      <c r="V922">
        <f>IFERROR(VLOOKUP(IF(I922="ENFASIS",LEFT(M922,FIND("+",M922&amp;"+")-1),J922),Direccion_Grupo!$A$2:$G$100,7,FALSE),"")</f>
        <v/>
      </c>
    </row>
    <row r="923">
      <c r="A923" t="n">
        <v>10</v>
      </c>
      <c r="B923" t="inlineStr">
        <is>
          <t>Castillo Cuero Daira Eneida</t>
        </is>
      </c>
      <c r="C923" t="inlineStr">
        <is>
          <t>MIERCOLES</t>
        </is>
      </c>
      <c r="D923" t="n">
        <v>8</v>
      </c>
      <c r="E923" t="n">
        <v>4</v>
      </c>
      <c r="F923" t="n">
        <v>2</v>
      </c>
      <c r="G923" t="inlineStr">
        <is>
          <t>12:45</t>
        </is>
      </c>
      <c r="H923" t="inlineStr">
        <is>
          <t>13:30</t>
        </is>
      </c>
      <c r="I923" t="inlineStr">
        <is>
          <t>ENFASIS</t>
        </is>
      </c>
      <c r="J923" t="inlineStr"/>
      <c r="K923" t="inlineStr">
        <is>
          <t>CAS</t>
        </is>
      </c>
      <c r="L923" t="inlineStr">
        <is>
          <t>0601</t>
        </is>
      </c>
      <c r="M923" t="inlineStr">
        <is>
          <t>0601</t>
        </is>
      </c>
      <c r="N923" t="inlineStr">
        <is>
          <t>Puches Ana Milena (ART)</t>
        </is>
      </c>
      <c r="O923" t="inlineStr">
        <is>
          <t>PAREJA: comparten el énfasis y alternan por semana</t>
        </is>
      </c>
      <c r="P923" t="inlineStr">
        <is>
          <t>ENFASIS-0601</t>
        </is>
      </c>
      <c r="Q923">
        <f>IF(I923="ENFASIS","ÉNFASIS "&amp;M923,IFERROR(VLOOKUP(J923,Grupos!$A$2:$D$100,4,FALSE),J923))</f>
        <v/>
      </c>
      <c r="R923">
        <f>O923&amp;IF(N923&lt;&gt;"",IF(O923&lt;&gt;""," · ","")&amp;"Con: "&amp;N923,"")</f>
        <v/>
      </c>
      <c r="S923">
        <f>C923&amp;"|"&amp;D923</f>
        <v/>
      </c>
      <c r="T923">
        <f>COUNTIF($S$2:S923,S923)</f>
        <v/>
      </c>
      <c r="U923">
        <f>S923&amp;"|"&amp;T923</f>
        <v/>
      </c>
      <c r="V923">
        <f>IFERROR(VLOOKUP(IF(I923="ENFASIS",LEFT(M923,FIND("+",M923&amp;"+")-1),J923),Direccion_Grupo!$A$2:$G$100,7,FALSE),"")</f>
        <v/>
      </c>
    </row>
    <row r="924">
      <c r="A924" t="n">
        <v>39</v>
      </c>
      <c r="B924" t="inlineStr">
        <is>
          <t>Puches Ana Milena</t>
        </is>
      </c>
      <c r="C924" t="inlineStr">
        <is>
          <t>MIERCOLES</t>
        </is>
      </c>
      <c r="D924" t="n">
        <v>8</v>
      </c>
      <c r="E924" t="n">
        <v>4</v>
      </c>
      <c r="F924" t="n">
        <v>2</v>
      </c>
      <c r="G924" t="inlineStr">
        <is>
          <t>12:45</t>
        </is>
      </c>
      <c r="H924" t="inlineStr">
        <is>
          <t>13:30</t>
        </is>
      </c>
      <c r="I924" t="inlineStr">
        <is>
          <t>ENFASIS</t>
        </is>
      </c>
      <c r="J924" t="inlineStr"/>
      <c r="K924" t="inlineStr">
        <is>
          <t>ART</t>
        </is>
      </c>
      <c r="L924" t="inlineStr">
        <is>
          <t>0601</t>
        </is>
      </c>
      <c r="M924" t="inlineStr">
        <is>
          <t>0601</t>
        </is>
      </c>
      <c r="N924" t="inlineStr">
        <is>
          <t>Castillo Cuero Daira Eneida (CAS)</t>
        </is>
      </c>
      <c r="O924" t="inlineStr">
        <is>
          <t>PAREJA: comparten el énfasis y alternan por semana</t>
        </is>
      </c>
      <c r="P924" t="inlineStr">
        <is>
          <t>ENFASIS-0601</t>
        </is>
      </c>
      <c r="Q924">
        <f>IF(I924="ENFASIS","ÉNFASIS "&amp;M924,IFERROR(VLOOKUP(J924,Grupos!$A$2:$D$100,4,FALSE),J924))</f>
        <v/>
      </c>
      <c r="R924">
        <f>O924&amp;IF(N924&lt;&gt;"",IF(O924&lt;&gt;""," · ","")&amp;"Con: "&amp;N924,"")</f>
        <v/>
      </c>
      <c r="S924">
        <f>C924&amp;"|"&amp;D924</f>
        <v/>
      </c>
      <c r="T924">
        <f>COUNTIF($S$2:S924,S924)</f>
        <v/>
      </c>
      <c r="U924">
        <f>S924&amp;"|"&amp;T924</f>
        <v/>
      </c>
      <c r="V924">
        <f>IFERROR(VLOOKUP(IF(I924="ENFASIS",LEFT(M924,FIND("+",M924&amp;"+")-1),J924),Direccion_Grupo!$A$2:$G$100,7,FALSE),"")</f>
        <v/>
      </c>
    </row>
    <row r="925">
      <c r="A925" t="n">
        <v>34</v>
      </c>
      <c r="B925" t="inlineStr">
        <is>
          <t>Ordóñez Tenorio Jaime Marcial</t>
        </is>
      </c>
      <c r="C925" t="inlineStr">
        <is>
          <t>MIERCOLES</t>
        </is>
      </c>
      <c r="D925" t="n">
        <v>8</v>
      </c>
      <c r="E925" t="n">
        <v>4</v>
      </c>
      <c r="F925" t="n">
        <v>2</v>
      </c>
      <c r="G925" t="inlineStr">
        <is>
          <t>12:45</t>
        </is>
      </c>
      <c r="H925" t="inlineStr">
        <is>
          <t>13:30</t>
        </is>
      </c>
      <c r="I925" t="inlineStr">
        <is>
          <t>ENFASIS</t>
        </is>
      </c>
      <c r="J925" t="inlineStr"/>
      <c r="K925" t="inlineStr">
        <is>
          <t>CNA</t>
        </is>
      </c>
      <c r="L925" t="inlineStr">
        <is>
          <t>0602</t>
        </is>
      </c>
      <c r="M925" t="inlineStr">
        <is>
          <t>0602</t>
        </is>
      </c>
      <c r="N925" t="inlineStr">
        <is>
          <t>Armero Dájome Jesús (ERD)</t>
        </is>
      </c>
      <c r="O925" t="inlineStr">
        <is>
          <t>PAREJA: comparten el énfasis y alternan por semana</t>
        </is>
      </c>
      <c r="P925" t="inlineStr">
        <is>
          <t>ENFASIS-0602</t>
        </is>
      </c>
      <c r="Q925">
        <f>IF(I925="ENFASIS","ÉNFASIS "&amp;M925,IFERROR(VLOOKUP(J925,Grupos!$A$2:$D$100,4,FALSE),J925))</f>
        <v/>
      </c>
      <c r="R925">
        <f>O925&amp;IF(N925&lt;&gt;"",IF(O925&lt;&gt;""," · ","")&amp;"Con: "&amp;N925,"")</f>
        <v/>
      </c>
      <c r="S925">
        <f>C925&amp;"|"&amp;D925</f>
        <v/>
      </c>
      <c r="T925">
        <f>COUNTIF($S$2:S925,S925)</f>
        <v/>
      </c>
      <c r="U925">
        <f>S925&amp;"|"&amp;T925</f>
        <v/>
      </c>
      <c r="V925">
        <f>IFERROR(VLOOKUP(IF(I925="ENFASIS",LEFT(M925,FIND("+",M925&amp;"+")-1),J925),Direccion_Grupo!$A$2:$G$100,7,FALSE),"")</f>
        <v/>
      </c>
    </row>
    <row r="926">
      <c r="A926" t="n">
        <v>4</v>
      </c>
      <c r="B926" t="inlineStr">
        <is>
          <t>Arizala Castro Roberto Carlos</t>
        </is>
      </c>
      <c r="C926" t="inlineStr">
        <is>
          <t>MIERCOLES</t>
        </is>
      </c>
      <c r="D926" t="n">
        <v>8</v>
      </c>
      <c r="E926" t="n">
        <v>4</v>
      </c>
      <c r="F926" t="n">
        <v>2</v>
      </c>
      <c r="G926" t="inlineStr">
        <is>
          <t>12:45</t>
        </is>
      </c>
      <c r="H926" t="inlineStr">
        <is>
          <t>13:30</t>
        </is>
      </c>
      <c r="I926" t="inlineStr">
        <is>
          <t>ENFASIS</t>
        </is>
      </c>
      <c r="J926" t="inlineStr"/>
      <c r="K926" t="inlineStr">
        <is>
          <t>ERD</t>
        </is>
      </c>
      <c r="L926" t="inlineStr">
        <is>
          <t>0602</t>
        </is>
      </c>
      <c r="M926" t="inlineStr">
        <is>
          <t>0602</t>
        </is>
      </c>
      <c r="N926" t="inlineStr">
        <is>
          <t>Ordóñez Tenorio Jaime Marcial (CNA)</t>
        </is>
      </c>
      <c r="O926" t="inlineStr">
        <is>
          <t>PAREJA: comparten el énfasis y alternan por semana</t>
        </is>
      </c>
      <c r="P926" t="inlineStr">
        <is>
          <t>ENFASIS-0602</t>
        </is>
      </c>
      <c r="Q926">
        <f>IF(I926="ENFASIS","ÉNFASIS "&amp;M926,IFERROR(VLOOKUP(J926,Grupos!$A$2:$D$100,4,FALSE),J926))</f>
        <v/>
      </c>
      <c r="R926">
        <f>O926&amp;IF(N926&lt;&gt;"",IF(O926&lt;&gt;""," · ","")&amp;"Con: "&amp;N926,"")</f>
        <v/>
      </c>
      <c r="S926">
        <f>C926&amp;"|"&amp;D926</f>
        <v/>
      </c>
      <c r="T926">
        <f>COUNTIF($S$2:S926,S926)</f>
        <v/>
      </c>
      <c r="U926">
        <f>S926&amp;"|"&amp;T926</f>
        <v/>
      </c>
      <c r="V926">
        <f>IFERROR(VLOOKUP(IF(I926="ENFASIS",LEFT(M926,FIND("+",M926&amp;"+")-1),J926),Direccion_Grupo!$A$2:$G$100,7,FALSE),"")</f>
        <v/>
      </c>
    </row>
    <row r="927">
      <c r="A927" t="n">
        <v>22</v>
      </c>
      <c r="B927" t="inlineStr">
        <is>
          <t>González Castillo Jólmer Jimy</t>
        </is>
      </c>
      <c r="C927" t="inlineStr">
        <is>
          <t>MIERCOLES</t>
        </is>
      </c>
      <c r="D927" t="n">
        <v>8</v>
      </c>
      <c r="E927" t="n">
        <v>4</v>
      </c>
      <c r="F927" t="n">
        <v>2</v>
      </c>
      <c r="G927" t="inlineStr">
        <is>
          <t>12:45</t>
        </is>
      </c>
      <c r="H927" t="inlineStr">
        <is>
          <t>13:30</t>
        </is>
      </c>
      <c r="I927" t="inlineStr">
        <is>
          <t>ENFASIS</t>
        </is>
      </c>
      <c r="J927" t="inlineStr"/>
      <c r="K927" t="inlineStr">
        <is>
          <t>ERD</t>
        </is>
      </c>
      <c r="L927" t="inlineStr">
        <is>
          <t>0901</t>
        </is>
      </c>
      <c r="M927" t="inlineStr">
        <is>
          <t>0901</t>
        </is>
      </c>
      <c r="N927" t="inlineStr">
        <is>
          <t>Valencia Marínez Saidy Eufemia (ART); Meza Banguera Gladys Alicia (CAS); Lemos Guancha Miriam (CNA)</t>
        </is>
      </c>
      <c r="O927" t="inlineStr">
        <is>
          <t>EQUIPO DE 4: cada docente atiende un grupo de estudiantes en su área</t>
        </is>
      </c>
      <c r="P927" t="inlineStr">
        <is>
          <t>ENFASIS-0901</t>
        </is>
      </c>
      <c r="Q927">
        <f>IF(I927="ENFASIS","ÉNFASIS "&amp;M927,IFERROR(VLOOKUP(J927,Grupos!$A$2:$D$100,4,FALSE),J927))</f>
        <v/>
      </c>
      <c r="R927">
        <f>O927&amp;IF(N927&lt;&gt;"",IF(O927&lt;&gt;""," · ","")&amp;"Con: "&amp;N927,"")</f>
        <v/>
      </c>
      <c r="S927">
        <f>C927&amp;"|"&amp;D927</f>
        <v/>
      </c>
      <c r="T927">
        <f>COUNTIF($S$2:S927,S927)</f>
        <v/>
      </c>
      <c r="U927">
        <f>S927&amp;"|"&amp;T927</f>
        <v/>
      </c>
      <c r="V927">
        <f>IFERROR(VLOOKUP(IF(I927="ENFASIS",LEFT(M927,FIND("+",M927&amp;"+")-1),J927),Direccion_Grupo!$A$2:$G$100,7,FALSE),"")</f>
        <v/>
      </c>
    </row>
    <row r="928">
      <c r="A928" t="n">
        <v>25</v>
      </c>
      <c r="B928" t="inlineStr">
        <is>
          <t>Lemos Guancha Miriam</t>
        </is>
      </c>
      <c r="C928" t="inlineStr">
        <is>
          <t>MIERCOLES</t>
        </is>
      </c>
      <c r="D928" t="n">
        <v>8</v>
      </c>
      <c r="E928" t="n">
        <v>4</v>
      </c>
      <c r="F928" t="n">
        <v>2</v>
      </c>
      <c r="G928" t="inlineStr">
        <is>
          <t>12:45</t>
        </is>
      </c>
      <c r="H928" t="inlineStr">
        <is>
          <t>13:30</t>
        </is>
      </c>
      <c r="I928" t="inlineStr">
        <is>
          <t>ENFASIS</t>
        </is>
      </c>
      <c r="J928" t="inlineStr"/>
      <c r="K928" t="inlineStr">
        <is>
          <t>CNA</t>
        </is>
      </c>
      <c r="L928" t="inlineStr">
        <is>
          <t>0901</t>
        </is>
      </c>
      <c r="M928" t="inlineStr">
        <is>
          <t>0901</t>
        </is>
      </c>
      <c r="N928" t="inlineStr">
        <is>
          <t>Valencia Marínez Saidy Eufemia (ART); Meza Banguera Gladys Alicia (CAS); González Castillo Jólmer Jimy (ERD)</t>
        </is>
      </c>
      <c r="O928" t="inlineStr">
        <is>
          <t>EQUIPO DE 4: cada docente atiende un grupo de estudiantes en su área</t>
        </is>
      </c>
      <c r="P928" t="inlineStr">
        <is>
          <t>ENFASIS-0901</t>
        </is>
      </c>
      <c r="Q928">
        <f>IF(I928="ENFASIS","ÉNFASIS "&amp;M928,IFERROR(VLOOKUP(J928,Grupos!$A$2:$D$100,4,FALSE),J928))</f>
        <v/>
      </c>
      <c r="R928">
        <f>O928&amp;IF(N928&lt;&gt;"",IF(O928&lt;&gt;""," · ","")&amp;"Con: "&amp;N928,"")</f>
        <v/>
      </c>
      <c r="S928">
        <f>C928&amp;"|"&amp;D928</f>
        <v/>
      </c>
      <c r="T928">
        <f>COUNTIF($S$2:S928,S928)</f>
        <v/>
      </c>
      <c r="U928">
        <f>S928&amp;"|"&amp;T928</f>
        <v/>
      </c>
      <c r="V928">
        <f>IFERROR(VLOOKUP(IF(I928="ENFASIS",LEFT(M928,FIND("+",M928&amp;"+")-1),J928),Direccion_Grupo!$A$2:$G$100,7,FALSE),"")</f>
        <v/>
      </c>
    </row>
    <row r="929">
      <c r="A929" t="n">
        <v>28</v>
      </c>
      <c r="B929" t="inlineStr">
        <is>
          <t>Meza Banguera Gladys Alicia</t>
        </is>
      </c>
      <c r="C929" t="inlineStr">
        <is>
          <t>MIERCOLES</t>
        </is>
      </c>
      <c r="D929" t="n">
        <v>8</v>
      </c>
      <c r="E929" t="n">
        <v>4</v>
      </c>
      <c r="F929" t="n">
        <v>2</v>
      </c>
      <c r="G929" t="inlineStr">
        <is>
          <t>12:45</t>
        </is>
      </c>
      <c r="H929" t="inlineStr">
        <is>
          <t>13:30</t>
        </is>
      </c>
      <c r="I929" t="inlineStr">
        <is>
          <t>ENFASIS</t>
        </is>
      </c>
      <c r="J929" t="inlineStr"/>
      <c r="K929" t="inlineStr">
        <is>
          <t>CAS</t>
        </is>
      </c>
      <c r="L929" t="inlineStr">
        <is>
          <t>0901</t>
        </is>
      </c>
      <c r="M929" t="inlineStr">
        <is>
          <t>0901</t>
        </is>
      </c>
      <c r="N929" t="inlineStr">
        <is>
          <t>Valencia Marínez Saidy Eufemia (ART); González Castillo Jólmer Jimy (ERD); Lemos Guancha Miriam (CNA)</t>
        </is>
      </c>
      <c r="O929" t="inlineStr">
        <is>
          <t>EQUIPO DE 4: cada docente atiende un grupo de estudiantes en su área</t>
        </is>
      </c>
      <c r="P929" t="inlineStr">
        <is>
          <t>ENFASIS-0901</t>
        </is>
      </c>
      <c r="Q929">
        <f>IF(I929="ENFASIS","ÉNFASIS "&amp;M929,IFERROR(VLOOKUP(J929,Grupos!$A$2:$D$100,4,FALSE),J929))</f>
        <v/>
      </c>
      <c r="R929">
        <f>O929&amp;IF(N929&lt;&gt;"",IF(O929&lt;&gt;""," · ","")&amp;"Con: "&amp;N929,"")</f>
        <v/>
      </c>
      <c r="S929">
        <f>C929&amp;"|"&amp;D929</f>
        <v/>
      </c>
      <c r="T929">
        <f>COUNTIF($S$2:S929,S929)</f>
        <v/>
      </c>
      <c r="U929">
        <f>S929&amp;"|"&amp;T929</f>
        <v/>
      </c>
      <c r="V929">
        <f>IFERROR(VLOOKUP(IF(I929="ENFASIS",LEFT(M929,FIND("+",M929&amp;"+")-1),J929),Direccion_Grupo!$A$2:$G$100,7,FALSE),"")</f>
        <v/>
      </c>
    </row>
    <row r="930">
      <c r="A930" t="n">
        <v>49</v>
      </c>
      <c r="B930" t="inlineStr">
        <is>
          <t>Valencia Marínez Saidy Eufemia</t>
        </is>
      </c>
      <c r="C930" t="inlineStr">
        <is>
          <t>MIERCOLES</t>
        </is>
      </c>
      <c r="D930" t="n">
        <v>8</v>
      </c>
      <c r="E930" t="n">
        <v>4</v>
      </c>
      <c r="F930" t="n">
        <v>2</v>
      </c>
      <c r="G930" t="inlineStr">
        <is>
          <t>12:45</t>
        </is>
      </c>
      <c r="H930" t="inlineStr">
        <is>
          <t>13:30</t>
        </is>
      </c>
      <c r="I930" t="inlineStr">
        <is>
          <t>ENFASIS</t>
        </is>
      </c>
      <c r="J930" t="inlineStr"/>
      <c r="K930" t="inlineStr">
        <is>
          <t>ART</t>
        </is>
      </c>
      <c r="L930" t="inlineStr">
        <is>
          <t>0901</t>
        </is>
      </c>
      <c r="M930" t="inlineStr">
        <is>
          <t>0901</t>
        </is>
      </c>
      <c r="N930" t="inlineStr">
        <is>
          <t>Meza Banguera Gladys Alicia (CAS); González Castillo Jólmer Jimy (ERD); Lemos Guancha Miriam (CNA)</t>
        </is>
      </c>
      <c r="O930" t="inlineStr">
        <is>
          <t>EQUIPO DE 4: cada docente atiende un grupo de estudiantes en su área</t>
        </is>
      </c>
      <c r="P930" t="inlineStr">
        <is>
          <t>ENFASIS-0901</t>
        </is>
      </c>
      <c r="Q930">
        <f>IF(I930="ENFASIS","ÉNFASIS "&amp;M930,IFERROR(VLOOKUP(J930,Grupos!$A$2:$D$100,4,FALSE),J930))</f>
        <v/>
      </c>
      <c r="R930">
        <f>O930&amp;IF(N930&lt;&gt;"",IF(O930&lt;&gt;""," · ","")&amp;"Con: "&amp;N930,"")</f>
        <v/>
      </c>
      <c r="S930">
        <f>C930&amp;"|"&amp;D930</f>
        <v/>
      </c>
      <c r="T930">
        <f>COUNTIF($S$2:S930,S930)</f>
        <v/>
      </c>
      <c r="U930">
        <f>S930&amp;"|"&amp;T930</f>
        <v/>
      </c>
      <c r="V930">
        <f>IFERROR(VLOOKUP(IF(I930="ENFASIS",LEFT(M930,FIND("+",M930&amp;"+")-1),J930),Direccion_Grupo!$A$2:$G$100,7,FALSE),"")</f>
        <v/>
      </c>
    </row>
    <row r="931">
      <c r="A931" t="n">
        <v>5</v>
      </c>
      <c r="B931" t="inlineStr">
        <is>
          <t>Bastidas Valencia Zeneida Judith</t>
        </is>
      </c>
      <c r="C931" t="inlineStr">
        <is>
          <t>MIERCOLES</t>
        </is>
      </c>
      <c r="D931" t="n">
        <v>8</v>
      </c>
      <c r="E931" t="n">
        <v>4</v>
      </c>
      <c r="F931" t="n">
        <v>2</v>
      </c>
      <c r="G931" t="inlineStr">
        <is>
          <t>12:45</t>
        </is>
      </c>
      <c r="H931" t="inlineStr">
        <is>
          <t>13:30</t>
        </is>
      </c>
      <c r="I931" t="inlineStr">
        <is>
          <t>ENFASIS</t>
        </is>
      </c>
      <c r="J931" t="inlineStr"/>
      <c r="K931" t="inlineStr">
        <is>
          <t>MAT</t>
        </is>
      </c>
      <c r="L931" t="inlineStr">
        <is>
          <t>0902</t>
        </is>
      </c>
      <c r="M931" t="inlineStr">
        <is>
          <t>0902</t>
        </is>
      </c>
      <c r="N931" t="inlineStr">
        <is>
          <t>Betancourth Ocampo Yohana Patricia (CSI); Estacio Estupiñán Rosario (ETR); Mindineros Satizábal John Jáver (TEI)</t>
        </is>
      </c>
      <c r="O931" t="inlineStr">
        <is>
          <t>EQUIPO DE 4: cada docente atiende un grupo de estudiantes en su área</t>
        </is>
      </c>
      <c r="P931" t="inlineStr">
        <is>
          <t>ENFASIS-0902</t>
        </is>
      </c>
      <c r="Q931">
        <f>IF(I931="ENFASIS","ÉNFASIS "&amp;M931,IFERROR(VLOOKUP(J931,Grupos!$A$2:$D$100,4,FALSE),J931))</f>
        <v/>
      </c>
      <c r="R931">
        <f>O931&amp;IF(N931&lt;&gt;"",IF(O931&lt;&gt;""," · ","")&amp;"Con: "&amp;N931,"")</f>
        <v/>
      </c>
      <c r="S931">
        <f>C931&amp;"|"&amp;D931</f>
        <v/>
      </c>
      <c r="T931">
        <f>COUNTIF($S$2:S931,S931)</f>
        <v/>
      </c>
      <c r="U931">
        <f>S931&amp;"|"&amp;T931</f>
        <v/>
      </c>
      <c r="V931">
        <f>IFERROR(VLOOKUP(IF(I931="ENFASIS",LEFT(M931,FIND("+",M931&amp;"+")-1),J931),Direccion_Grupo!$A$2:$G$100,7,FALSE),"")</f>
        <v/>
      </c>
    </row>
    <row r="932">
      <c r="A932" t="n">
        <v>6</v>
      </c>
      <c r="B932" t="inlineStr">
        <is>
          <t>Betancourth Ocampo Yohana Patricia</t>
        </is>
      </c>
      <c r="C932" t="inlineStr">
        <is>
          <t>MIERCOLES</t>
        </is>
      </c>
      <c r="D932" t="n">
        <v>8</v>
      </c>
      <c r="E932" t="n">
        <v>4</v>
      </c>
      <c r="F932" t="n">
        <v>2</v>
      </c>
      <c r="G932" t="inlineStr">
        <is>
          <t>12:45</t>
        </is>
      </c>
      <c r="H932" t="inlineStr">
        <is>
          <t>13:30</t>
        </is>
      </c>
      <c r="I932" t="inlineStr">
        <is>
          <t>ENFASIS</t>
        </is>
      </c>
      <c r="J932" t="inlineStr"/>
      <c r="K932" t="inlineStr">
        <is>
          <t>CSI</t>
        </is>
      </c>
      <c r="L932" t="inlineStr">
        <is>
          <t>0902</t>
        </is>
      </c>
      <c r="M932" t="inlineStr">
        <is>
          <t>0902</t>
        </is>
      </c>
      <c r="N932" t="inlineStr">
        <is>
          <t>Estacio Estupiñán Rosario (ETR); Bastidas Valencia Zeneida Judith (MAT); Mindineros Satizábal John Jáver (TEI)</t>
        </is>
      </c>
      <c r="O932" t="inlineStr">
        <is>
          <t>EQUIPO DE 4: cada docente atiende un grupo de estudiantes en su área</t>
        </is>
      </c>
      <c r="P932" t="inlineStr">
        <is>
          <t>ENFASIS-0902</t>
        </is>
      </c>
      <c r="Q932">
        <f>IF(I932="ENFASIS","ÉNFASIS "&amp;M932,IFERROR(VLOOKUP(J932,Grupos!$A$2:$D$100,4,FALSE),J932))</f>
        <v/>
      </c>
      <c r="R932">
        <f>O932&amp;IF(N932&lt;&gt;"",IF(O932&lt;&gt;""," · ","")&amp;"Con: "&amp;N932,"")</f>
        <v/>
      </c>
      <c r="S932">
        <f>C932&amp;"|"&amp;D932</f>
        <v/>
      </c>
      <c r="T932">
        <f>COUNTIF($S$2:S932,S932)</f>
        <v/>
      </c>
      <c r="U932">
        <f>S932&amp;"|"&amp;T932</f>
        <v/>
      </c>
      <c r="V932">
        <f>IFERROR(VLOOKUP(IF(I932="ENFASIS",LEFT(M932,FIND("+",M932&amp;"+")-1),J932),Direccion_Grupo!$A$2:$G$100,7,FALSE),"")</f>
        <v/>
      </c>
    </row>
    <row r="933">
      <c r="A933" t="n">
        <v>18</v>
      </c>
      <c r="B933" t="inlineStr">
        <is>
          <t>Estacio Estupiñán Rosario</t>
        </is>
      </c>
      <c r="C933" t="inlineStr">
        <is>
          <t>MIERCOLES</t>
        </is>
      </c>
      <c r="D933" t="n">
        <v>8</v>
      </c>
      <c r="E933" t="n">
        <v>4</v>
      </c>
      <c r="F933" t="n">
        <v>2</v>
      </c>
      <c r="G933" t="inlineStr">
        <is>
          <t>12:45</t>
        </is>
      </c>
      <c r="H933" t="inlineStr">
        <is>
          <t>13:30</t>
        </is>
      </c>
      <c r="I933" t="inlineStr">
        <is>
          <t>ENFASIS</t>
        </is>
      </c>
      <c r="J933" t="inlineStr"/>
      <c r="K933" t="inlineStr">
        <is>
          <t>ETR</t>
        </is>
      </c>
      <c r="L933" t="inlineStr">
        <is>
          <t>0902</t>
        </is>
      </c>
      <c r="M933" t="inlineStr">
        <is>
          <t>0902</t>
        </is>
      </c>
      <c r="N933" t="inlineStr">
        <is>
          <t>Betancourth Ocampo Yohana Patricia (CSI); Bastidas Valencia Zeneida Judith (MAT); Mindineros Satizábal John Jáver (TEI)</t>
        </is>
      </c>
      <c r="O933" t="inlineStr">
        <is>
          <t>EQUIPO DE 4: cada docente atiende un grupo de estudiantes en su área</t>
        </is>
      </c>
      <c r="P933" t="inlineStr">
        <is>
          <t>ENFASIS-0902</t>
        </is>
      </c>
      <c r="Q933">
        <f>IF(I933="ENFASIS","ÉNFASIS "&amp;M933,IFERROR(VLOOKUP(J933,Grupos!$A$2:$D$100,4,FALSE),J933))</f>
        <v/>
      </c>
      <c r="R933">
        <f>O933&amp;IF(N933&lt;&gt;"",IF(O933&lt;&gt;""," · ","")&amp;"Con: "&amp;N933,"")</f>
        <v/>
      </c>
      <c r="S933">
        <f>C933&amp;"|"&amp;D933</f>
        <v/>
      </c>
      <c r="T933">
        <f>COUNTIF($S$2:S933,S933)</f>
        <v/>
      </c>
      <c r="U933">
        <f>S933&amp;"|"&amp;T933</f>
        <v/>
      </c>
      <c r="V933">
        <f>IFERROR(VLOOKUP(IF(I933="ENFASIS",LEFT(M933,FIND("+",M933&amp;"+")-1),J933),Direccion_Grupo!$A$2:$G$100,7,FALSE),"")</f>
        <v/>
      </c>
    </row>
    <row r="934">
      <c r="A934" t="n">
        <v>29</v>
      </c>
      <c r="B934" t="inlineStr">
        <is>
          <t>Mindineros Satizábal John Jáver</t>
        </is>
      </c>
      <c r="C934" t="inlineStr">
        <is>
          <t>MIERCOLES</t>
        </is>
      </c>
      <c r="D934" t="n">
        <v>8</v>
      </c>
      <c r="E934" t="n">
        <v>4</v>
      </c>
      <c r="F934" t="n">
        <v>2</v>
      </c>
      <c r="G934" t="inlineStr">
        <is>
          <t>12:45</t>
        </is>
      </c>
      <c r="H934" t="inlineStr">
        <is>
          <t>13:30</t>
        </is>
      </c>
      <c r="I934" t="inlineStr">
        <is>
          <t>ENFASIS</t>
        </is>
      </c>
      <c r="J934" t="inlineStr"/>
      <c r="K934" t="inlineStr">
        <is>
          <t>TEI</t>
        </is>
      </c>
      <c r="L934" t="inlineStr">
        <is>
          <t>0902</t>
        </is>
      </c>
      <c r="M934" t="inlineStr">
        <is>
          <t>0902</t>
        </is>
      </c>
      <c r="N934" t="inlineStr">
        <is>
          <t>Betancourth Ocampo Yohana Patricia (CSI); Estacio Estupiñán Rosario (ETR); Bastidas Valencia Zeneida Judith (MAT)</t>
        </is>
      </c>
      <c r="O934" t="inlineStr">
        <is>
          <t>EQUIPO DE 4: cada docente atiende un grupo de estudiantes en su área</t>
        </is>
      </c>
      <c r="P934" t="inlineStr">
        <is>
          <t>ENFASIS-0902</t>
        </is>
      </c>
      <c r="Q934">
        <f>IF(I934="ENFASIS","ÉNFASIS "&amp;M934,IFERROR(VLOOKUP(J934,Grupos!$A$2:$D$100,4,FALSE),J934))</f>
        <v/>
      </c>
      <c r="R934">
        <f>O934&amp;IF(N934&lt;&gt;"",IF(O934&lt;&gt;""," · ","")&amp;"Con: "&amp;N934,"")</f>
        <v/>
      </c>
      <c r="S934">
        <f>C934&amp;"|"&amp;D934</f>
        <v/>
      </c>
      <c r="T934">
        <f>COUNTIF($S$2:S934,S934)</f>
        <v/>
      </c>
      <c r="U934">
        <f>S934&amp;"|"&amp;T934</f>
        <v/>
      </c>
      <c r="V934">
        <f>IFERROR(VLOOKUP(IF(I934="ENFASIS",LEFT(M934,FIND("+",M934&amp;"+")-1),J934),Direccion_Grupo!$A$2:$G$100,7,FALSE),"")</f>
        <v/>
      </c>
    </row>
    <row r="935">
      <c r="A935" t="n">
        <v>3</v>
      </c>
      <c r="B935" t="inlineStr">
        <is>
          <t>Arboleda Ortiz Luz América</t>
        </is>
      </c>
      <c r="C935" t="inlineStr">
        <is>
          <t>MIERCOLES</t>
        </is>
      </c>
      <c r="D935" t="n">
        <v>8</v>
      </c>
      <c r="E935" t="n">
        <v>4</v>
      </c>
      <c r="F935" t="n">
        <v>2</v>
      </c>
      <c r="G935" t="inlineStr">
        <is>
          <t>12:45</t>
        </is>
      </c>
      <c r="H935" t="inlineStr">
        <is>
          <t>13:30</t>
        </is>
      </c>
      <c r="I935" t="inlineStr">
        <is>
          <t>ENFASIS</t>
        </is>
      </c>
      <c r="J935" t="inlineStr"/>
      <c r="K935" t="inlineStr">
        <is>
          <t>ART</t>
        </is>
      </c>
      <c r="L935" t="inlineStr">
        <is>
          <t>D5-10°</t>
        </is>
      </c>
      <c r="M935" t="inlineStr">
        <is>
          <t>1001</t>
        </is>
      </c>
      <c r="N935" t="inlineStr">
        <is>
          <t>Montaño Anchico Favio Héctor (CAS); Ramírez Guerra Jimmy Eduardo (ERD); Villota Rubio Héctor Hugo (CNA)</t>
        </is>
      </c>
      <c r="O935" t="inlineStr">
        <is>
          <t>EQUIPO DE 4: cada docente atiende un grupo de estudiantes en su área</t>
        </is>
      </c>
      <c r="P935" t="inlineStr">
        <is>
          <t>ENFASIS-D5-10°</t>
        </is>
      </c>
      <c r="Q935">
        <f>IF(I935="ENFASIS","ÉNFASIS "&amp;M935,IFERROR(VLOOKUP(J935,Grupos!$A$2:$D$100,4,FALSE),J935))</f>
        <v/>
      </c>
      <c r="R935">
        <f>O935&amp;IF(N935&lt;&gt;"",IF(O935&lt;&gt;""," · ","")&amp;"Con: "&amp;N935,"")</f>
        <v/>
      </c>
      <c r="S935">
        <f>C935&amp;"|"&amp;D935</f>
        <v/>
      </c>
      <c r="T935">
        <f>COUNTIF($S$2:S935,S935)</f>
        <v/>
      </c>
      <c r="U935">
        <f>S935&amp;"|"&amp;T935</f>
        <v/>
      </c>
      <c r="V935">
        <f>IFERROR(VLOOKUP(IF(I935="ENFASIS",LEFT(M935,FIND("+",M935&amp;"+")-1),J935),Direccion_Grupo!$A$2:$G$100,7,FALSE),"")</f>
        <v/>
      </c>
    </row>
    <row r="936">
      <c r="A936" t="n">
        <v>30</v>
      </c>
      <c r="B936" t="inlineStr">
        <is>
          <t>Montaño Anchico Favio Héctor</t>
        </is>
      </c>
      <c r="C936" t="inlineStr">
        <is>
          <t>MIERCOLES</t>
        </is>
      </c>
      <c r="D936" t="n">
        <v>8</v>
      </c>
      <c r="E936" t="n">
        <v>4</v>
      </c>
      <c r="F936" t="n">
        <v>2</v>
      </c>
      <c r="G936" t="inlineStr">
        <is>
          <t>12:45</t>
        </is>
      </c>
      <c r="H936" t="inlineStr">
        <is>
          <t>13:30</t>
        </is>
      </c>
      <c r="I936" t="inlineStr">
        <is>
          <t>ENFASIS</t>
        </is>
      </c>
      <c r="J936" t="inlineStr"/>
      <c r="K936" t="inlineStr">
        <is>
          <t>CAS</t>
        </is>
      </c>
      <c r="L936" t="inlineStr">
        <is>
          <t>D5-10°</t>
        </is>
      </c>
      <c r="M936" t="inlineStr">
        <is>
          <t>1001</t>
        </is>
      </c>
      <c r="N936" t="inlineStr">
        <is>
          <t>Arboleda Ortiz Luz América (ART); Ramírez Guerra Jimmy Eduardo (ERD); Villota Rubio Héctor Hugo (CNA)</t>
        </is>
      </c>
      <c r="O936" t="inlineStr">
        <is>
          <t>EQUIPO DE 4: cada docente atiende un grupo de estudiantes en su área</t>
        </is>
      </c>
      <c r="P936" t="inlineStr">
        <is>
          <t>ENFASIS-D5-10°</t>
        </is>
      </c>
      <c r="Q936">
        <f>IF(I936="ENFASIS","ÉNFASIS "&amp;M936,IFERROR(VLOOKUP(J936,Grupos!$A$2:$D$100,4,FALSE),J936))</f>
        <v/>
      </c>
      <c r="R936">
        <f>O936&amp;IF(N936&lt;&gt;"",IF(O936&lt;&gt;""," · ","")&amp;"Con: "&amp;N936,"")</f>
        <v/>
      </c>
      <c r="S936">
        <f>C936&amp;"|"&amp;D936</f>
        <v/>
      </c>
      <c r="T936">
        <f>COUNTIF($S$2:S936,S936)</f>
        <v/>
      </c>
      <c r="U936">
        <f>S936&amp;"|"&amp;T936</f>
        <v/>
      </c>
      <c r="V936">
        <f>IFERROR(VLOOKUP(IF(I936="ENFASIS",LEFT(M936,FIND("+",M936&amp;"+")-1),J936),Direccion_Grupo!$A$2:$G$100,7,FALSE),"")</f>
        <v/>
      </c>
    </row>
    <row r="937">
      <c r="A937" t="n">
        <v>43</v>
      </c>
      <c r="B937" t="inlineStr">
        <is>
          <t>Ramírez Guerra Jimmy Eduardo</t>
        </is>
      </c>
      <c r="C937" t="inlineStr">
        <is>
          <t>MIERCOLES</t>
        </is>
      </c>
      <c r="D937" t="n">
        <v>8</v>
      </c>
      <c r="E937" t="n">
        <v>4</v>
      </c>
      <c r="F937" t="n">
        <v>2</v>
      </c>
      <c r="G937" t="inlineStr">
        <is>
          <t>12:45</t>
        </is>
      </c>
      <c r="H937" t="inlineStr">
        <is>
          <t>13:30</t>
        </is>
      </c>
      <c r="I937" t="inlineStr">
        <is>
          <t>ENFASIS</t>
        </is>
      </c>
      <c r="J937" t="inlineStr"/>
      <c r="K937" t="inlineStr">
        <is>
          <t>ERD</t>
        </is>
      </c>
      <c r="L937" t="inlineStr">
        <is>
          <t>D5-10°</t>
        </is>
      </c>
      <c r="M937" t="inlineStr">
        <is>
          <t>1001</t>
        </is>
      </c>
      <c r="N937" t="inlineStr">
        <is>
          <t>Arboleda Ortiz Luz América (ART); Montaño Anchico Favio Héctor (CAS); Villota Rubio Héctor Hugo (CNA)</t>
        </is>
      </c>
      <c r="O937" t="inlineStr">
        <is>
          <t>EQUIPO DE 4: cada docente atiende un grupo de estudiantes en su área</t>
        </is>
      </c>
      <c r="P937" t="inlineStr">
        <is>
          <t>ENFASIS-D5-10°</t>
        </is>
      </c>
      <c r="Q937">
        <f>IF(I937="ENFASIS","ÉNFASIS "&amp;M937,IFERROR(VLOOKUP(J937,Grupos!$A$2:$D$100,4,FALSE),J937))</f>
        <v/>
      </c>
      <c r="R937">
        <f>O937&amp;IF(N937&lt;&gt;"",IF(O937&lt;&gt;""," · ","")&amp;"Con: "&amp;N937,"")</f>
        <v/>
      </c>
      <c r="S937">
        <f>C937&amp;"|"&amp;D937</f>
        <v/>
      </c>
      <c r="T937">
        <f>COUNTIF($S$2:S937,S937)</f>
        <v/>
      </c>
      <c r="U937">
        <f>S937&amp;"|"&amp;T937</f>
        <v/>
      </c>
      <c r="V937">
        <f>IFERROR(VLOOKUP(IF(I937="ENFASIS",LEFT(M937,FIND("+",M937&amp;"+")-1),J937),Direccion_Grupo!$A$2:$G$100,7,FALSE),"")</f>
        <v/>
      </c>
    </row>
    <row r="938">
      <c r="A938" t="n">
        <v>53</v>
      </c>
      <c r="B938" t="inlineStr">
        <is>
          <t>Villota Rubio Héctor Hugo</t>
        </is>
      </c>
      <c r="C938" t="inlineStr">
        <is>
          <t>MIERCOLES</t>
        </is>
      </c>
      <c r="D938" t="n">
        <v>8</v>
      </c>
      <c r="E938" t="n">
        <v>4</v>
      </c>
      <c r="F938" t="n">
        <v>2</v>
      </c>
      <c r="G938" t="inlineStr">
        <is>
          <t>12:45</t>
        </is>
      </c>
      <c r="H938" t="inlineStr">
        <is>
          <t>13:30</t>
        </is>
      </c>
      <c r="I938" t="inlineStr">
        <is>
          <t>ENFASIS</t>
        </is>
      </c>
      <c r="J938" t="inlineStr"/>
      <c r="K938" t="inlineStr">
        <is>
          <t>CNA</t>
        </is>
      </c>
      <c r="L938" t="inlineStr">
        <is>
          <t>D5-10°</t>
        </is>
      </c>
      <c r="M938" t="inlineStr">
        <is>
          <t>1001</t>
        </is>
      </c>
      <c r="N938" t="inlineStr">
        <is>
          <t>Arboleda Ortiz Luz América (ART); Montaño Anchico Favio Héctor (CAS); Ramírez Guerra Jimmy Eduardo (ERD)</t>
        </is>
      </c>
      <c r="O938" t="inlineStr">
        <is>
          <t>EQUIPO DE 4: cada docente atiende un grupo de estudiantes en su área</t>
        </is>
      </c>
      <c r="P938" t="inlineStr">
        <is>
          <t>ENFASIS-D5-10°</t>
        </is>
      </c>
      <c r="Q938">
        <f>IF(I938="ENFASIS","ÉNFASIS "&amp;M938,IFERROR(VLOOKUP(J938,Grupos!$A$2:$D$100,4,FALSE),J938))</f>
        <v/>
      </c>
      <c r="R938">
        <f>O938&amp;IF(N938&lt;&gt;"",IF(O938&lt;&gt;""," · ","")&amp;"Con: "&amp;N938,"")</f>
        <v/>
      </c>
      <c r="S938">
        <f>C938&amp;"|"&amp;D938</f>
        <v/>
      </c>
      <c r="T938">
        <f>COUNTIF($S$2:S938,S938)</f>
        <v/>
      </c>
      <c r="U938">
        <f>S938&amp;"|"&amp;T938</f>
        <v/>
      </c>
      <c r="V938">
        <f>IFERROR(VLOOKUP(IF(I938="ENFASIS",LEFT(M938,FIND("+",M938&amp;"+")-1),J938),Direccion_Grupo!$A$2:$G$100,7,FALSE),"")</f>
        <v/>
      </c>
    </row>
    <row r="939">
      <c r="A939" t="n">
        <v>23</v>
      </c>
      <c r="B939" t="inlineStr">
        <is>
          <t>Landázuri Quiñones María Elia</t>
        </is>
      </c>
      <c r="C939" t="inlineStr">
        <is>
          <t>JUEVES</t>
        </is>
      </c>
      <c r="D939" t="n">
        <v>1</v>
      </c>
      <c r="E939" t="n">
        <v>1</v>
      </c>
      <c r="F939" t="n">
        <v>1</v>
      </c>
      <c r="G939" t="inlineStr">
        <is>
          <t>06:30</t>
        </is>
      </c>
      <c r="H939" t="inlineStr">
        <is>
          <t>07:15</t>
        </is>
      </c>
      <c r="I939" t="inlineStr">
        <is>
          <t>AREAS_MULTIPLES</t>
        </is>
      </c>
      <c r="J939" t="inlineStr">
        <is>
          <t>0101</t>
        </is>
      </c>
      <c r="K939" t="inlineStr">
        <is>
          <t>ÁREAS MÚLTIPLES</t>
        </is>
      </c>
      <c r="L939" t="inlineStr"/>
      <c r="M939" t="inlineStr"/>
      <c r="N939" t="inlineStr"/>
      <c r="O939" t="inlineStr">
        <is>
          <t>Maestro de aula: todas las áreas con su grupo</t>
        </is>
      </c>
      <c r="P939" t="inlineStr"/>
      <c r="Q939">
        <f>IF(I939="ENFASIS","ÉNFASIS "&amp;M939,IFERROR(VLOOKUP(J939,Grupos!$A$2:$D$100,4,FALSE),J939))</f>
        <v/>
      </c>
      <c r="R939">
        <f>O939&amp;IF(N939&lt;&gt;"",IF(O939&lt;&gt;""," · ","")&amp;"Con: "&amp;N939,"")</f>
        <v/>
      </c>
      <c r="S939">
        <f>C939&amp;"|"&amp;D939</f>
        <v/>
      </c>
      <c r="T939">
        <f>COUNTIF($S$2:S939,S939)</f>
        <v/>
      </c>
      <c r="U939">
        <f>S939&amp;"|"&amp;T939</f>
        <v/>
      </c>
      <c r="V939">
        <f>IFERROR(VLOOKUP(IF(I939="ENFASIS",LEFT(M939,FIND("+",M939&amp;"+")-1),J939),Direccion_Grupo!$A$2:$G$100,7,FALSE),"")</f>
        <v/>
      </c>
    </row>
    <row r="940">
      <c r="A940" t="n">
        <v>45</v>
      </c>
      <c r="B940" t="inlineStr">
        <is>
          <t>Sinisterra Ana Lucía</t>
        </is>
      </c>
      <c r="C940" t="inlineStr">
        <is>
          <t>JUEVES</t>
        </is>
      </c>
      <c r="D940" t="n">
        <v>1</v>
      </c>
      <c r="E940" t="n">
        <v>1</v>
      </c>
      <c r="F940" t="n">
        <v>1</v>
      </c>
      <c r="G940" t="inlineStr">
        <is>
          <t>06:30</t>
        </is>
      </c>
      <c r="H940" t="inlineStr">
        <is>
          <t>07:15</t>
        </is>
      </c>
      <c r="I940" t="inlineStr">
        <is>
          <t>AREAS_MULTIPLES</t>
        </is>
      </c>
      <c r="J940" t="inlineStr">
        <is>
          <t>0102</t>
        </is>
      </c>
      <c r="K940" t="inlineStr">
        <is>
          <t>ÁREAS MÚLTIPLES</t>
        </is>
      </c>
      <c r="L940" t="inlineStr"/>
      <c r="M940" t="inlineStr"/>
      <c r="N940" t="inlineStr"/>
      <c r="O940" t="inlineStr">
        <is>
          <t>Maestro de aula: todas las áreas con su grupo</t>
        </is>
      </c>
      <c r="P940" t="inlineStr"/>
      <c r="Q940">
        <f>IF(I940="ENFASIS","ÉNFASIS "&amp;M940,IFERROR(VLOOKUP(J940,Grupos!$A$2:$D$100,4,FALSE),J940))</f>
        <v/>
      </c>
      <c r="R940">
        <f>O940&amp;IF(N940&lt;&gt;"",IF(O940&lt;&gt;""," · ","")&amp;"Con: "&amp;N940,"")</f>
        <v/>
      </c>
      <c r="S940">
        <f>C940&amp;"|"&amp;D940</f>
        <v/>
      </c>
      <c r="T940">
        <f>COUNTIF($S$2:S940,S940)</f>
        <v/>
      </c>
      <c r="U940">
        <f>S940&amp;"|"&amp;T940</f>
        <v/>
      </c>
      <c r="V940">
        <f>IFERROR(VLOOKUP(IF(I940="ENFASIS",LEFT(M940,FIND("+",M940&amp;"+")-1),J940),Direccion_Grupo!$A$2:$G$100,7,FALSE),"")</f>
        <v/>
      </c>
    </row>
    <row r="941">
      <c r="A941" t="n">
        <v>13</v>
      </c>
      <c r="B941" t="inlineStr">
        <is>
          <t>Cortés Salazar María Ebelice</t>
        </is>
      </c>
      <c r="C941" t="inlineStr">
        <is>
          <t>JUEVES</t>
        </is>
      </c>
      <c r="D941" t="n">
        <v>1</v>
      </c>
      <c r="E941" t="n">
        <v>1</v>
      </c>
      <c r="F941" t="n">
        <v>1</v>
      </c>
      <c r="G941" t="inlineStr">
        <is>
          <t>06:30</t>
        </is>
      </c>
      <c r="H941" t="inlineStr">
        <is>
          <t>07:15</t>
        </is>
      </c>
      <c r="I941" t="inlineStr">
        <is>
          <t>AREAS_MULTIPLES</t>
        </is>
      </c>
      <c r="J941" t="inlineStr">
        <is>
          <t>0201</t>
        </is>
      </c>
      <c r="K941" t="inlineStr">
        <is>
          <t>ÁREAS MÚLTIPLES</t>
        </is>
      </c>
      <c r="L941" t="inlineStr"/>
      <c r="M941" t="inlineStr"/>
      <c r="N941" t="inlineStr"/>
      <c r="O941" t="inlineStr">
        <is>
          <t>Maestro de aula: todas las áreas con su grupo</t>
        </is>
      </c>
      <c r="P941" t="inlineStr"/>
      <c r="Q941">
        <f>IF(I941="ENFASIS","ÉNFASIS "&amp;M941,IFERROR(VLOOKUP(J941,Grupos!$A$2:$D$100,4,FALSE),J941))</f>
        <v/>
      </c>
      <c r="R941">
        <f>O941&amp;IF(N941&lt;&gt;"",IF(O941&lt;&gt;""," · ","")&amp;"Con: "&amp;N941,"")</f>
        <v/>
      </c>
      <c r="S941">
        <f>C941&amp;"|"&amp;D941</f>
        <v/>
      </c>
      <c r="T941">
        <f>COUNTIF($S$2:S941,S941)</f>
        <v/>
      </c>
      <c r="U941">
        <f>S941&amp;"|"&amp;T941</f>
        <v/>
      </c>
      <c r="V941">
        <f>IFERROR(VLOOKUP(IF(I941="ENFASIS",LEFT(M941,FIND("+",M941&amp;"+")-1),J941),Direccion_Grupo!$A$2:$G$100,7,FALSE),"")</f>
        <v/>
      </c>
    </row>
    <row r="942">
      <c r="A942" t="n">
        <v>21</v>
      </c>
      <c r="B942" t="inlineStr">
        <is>
          <t>Garzón Quiñones Sixta Janina</t>
        </is>
      </c>
      <c r="C942" t="inlineStr">
        <is>
          <t>JUEVES</t>
        </is>
      </c>
      <c r="D942" t="n">
        <v>1</v>
      </c>
      <c r="E942" t="n">
        <v>1</v>
      </c>
      <c r="F942" t="n">
        <v>1</v>
      </c>
      <c r="G942" t="inlineStr">
        <is>
          <t>06:30</t>
        </is>
      </c>
      <c r="H942" t="inlineStr">
        <is>
          <t>07:15</t>
        </is>
      </c>
      <c r="I942" t="inlineStr">
        <is>
          <t>AREAS_MULTIPLES</t>
        </is>
      </c>
      <c r="J942" t="inlineStr">
        <is>
          <t>0202</t>
        </is>
      </c>
      <c r="K942" t="inlineStr">
        <is>
          <t>ÁREAS MÚLTIPLES</t>
        </is>
      </c>
      <c r="L942" t="inlineStr"/>
      <c r="M942" t="inlineStr"/>
      <c r="N942" t="inlineStr"/>
      <c r="O942" t="inlineStr">
        <is>
          <t>Maestro de aula: todas las áreas con su grupo</t>
        </is>
      </c>
      <c r="P942" t="inlineStr"/>
      <c r="Q942">
        <f>IF(I942="ENFASIS","ÉNFASIS "&amp;M942,IFERROR(VLOOKUP(J942,Grupos!$A$2:$D$100,4,FALSE),J942))</f>
        <v/>
      </c>
      <c r="R942">
        <f>O942&amp;IF(N942&lt;&gt;"",IF(O942&lt;&gt;""," · ","")&amp;"Con: "&amp;N942,"")</f>
        <v/>
      </c>
      <c r="S942">
        <f>C942&amp;"|"&amp;D942</f>
        <v/>
      </c>
      <c r="T942">
        <f>COUNTIF($S$2:S942,S942)</f>
        <v/>
      </c>
      <c r="U942">
        <f>S942&amp;"|"&amp;T942</f>
        <v/>
      </c>
      <c r="V942">
        <f>IFERROR(VLOOKUP(IF(I942="ENFASIS",LEFT(M942,FIND("+",M942&amp;"+")-1),J942),Direccion_Grupo!$A$2:$G$100,7,FALSE),"")</f>
        <v/>
      </c>
    </row>
    <row r="943">
      <c r="A943" t="n">
        <v>46</v>
      </c>
      <c r="B943" t="inlineStr">
        <is>
          <t>Tenorio Cuero Lucy Bivian</t>
        </is>
      </c>
      <c r="C943" t="inlineStr">
        <is>
          <t>JUEVES</t>
        </is>
      </c>
      <c r="D943" t="n">
        <v>1</v>
      </c>
      <c r="E943" t="n">
        <v>1</v>
      </c>
      <c r="F943" t="n">
        <v>1</v>
      </c>
      <c r="G943" t="inlineStr">
        <is>
          <t>06:30</t>
        </is>
      </c>
      <c r="H943" t="inlineStr">
        <is>
          <t>07:15</t>
        </is>
      </c>
      <c r="I943" t="inlineStr">
        <is>
          <t>AREAS_MULTIPLES</t>
        </is>
      </c>
      <c r="J943" t="inlineStr">
        <is>
          <t>0203</t>
        </is>
      </c>
      <c r="K943" t="inlineStr">
        <is>
          <t>ÁREAS MÚLTIPLES</t>
        </is>
      </c>
      <c r="L943" t="inlineStr"/>
      <c r="M943" t="inlineStr"/>
      <c r="N943" t="inlineStr"/>
      <c r="O943" t="inlineStr">
        <is>
          <t>Maestro de aula: todas las áreas con su grupo</t>
        </is>
      </c>
      <c r="P943" t="inlineStr"/>
      <c r="Q943">
        <f>IF(I943="ENFASIS","ÉNFASIS "&amp;M943,IFERROR(VLOOKUP(J943,Grupos!$A$2:$D$100,4,FALSE),J943))</f>
        <v/>
      </c>
      <c r="R943">
        <f>O943&amp;IF(N943&lt;&gt;"",IF(O943&lt;&gt;""," · ","")&amp;"Con: "&amp;N943,"")</f>
        <v/>
      </c>
      <c r="S943">
        <f>C943&amp;"|"&amp;D943</f>
        <v/>
      </c>
      <c r="T943">
        <f>COUNTIF($S$2:S943,S943)</f>
        <v/>
      </c>
      <c r="U943">
        <f>S943&amp;"|"&amp;T943</f>
        <v/>
      </c>
      <c r="V943">
        <f>IFERROR(VLOOKUP(IF(I943="ENFASIS",LEFT(M943,FIND("+",M943&amp;"+")-1),J943),Direccion_Grupo!$A$2:$G$100,7,FALSE),"")</f>
        <v/>
      </c>
    </row>
    <row r="944">
      <c r="A944" t="n">
        <v>48</v>
      </c>
      <c r="B944" t="inlineStr">
        <is>
          <t>Torres Segura Encarnación</t>
        </is>
      </c>
      <c r="C944" t="inlineStr">
        <is>
          <t>JUEVES</t>
        </is>
      </c>
      <c r="D944" t="n">
        <v>1</v>
      </c>
      <c r="E944" t="n">
        <v>1</v>
      </c>
      <c r="F944" t="n">
        <v>1</v>
      </c>
      <c r="G944" t="inlineStr">
        <is>
          <t>06:30</t>
        </is>
      </c>
      <c r="H944" t="inlineStr">
        <is>
          <t>07:15</t>
        </is>
      </c>
      <c r="I944" t="inlineStr">
        <is>
          <t>AREAS_MULTIPLES</t>
        </is>
      </c>
      <c r="J944" t="inlineStr">
        <is>
          <t>0301</t>
        </is>
      </c>
      <c r="K944" t="inlineStr">
        <is>
          <t>ÁREAS MÚLTIPLES</t>
        </is>
      </c>
      <c r="L944" t="inlineStr"/>
      <c r="M944" t="inlineStr"/>
      <c r="N944" t="inlineStr"/>
      <c r="O944" t="inlineStr">
        <is>
          <t>Maestro de aula: todas las áreas con su grupo</t>
        </is>
      </c>
      <c r="P944" t="inlineStr"/>
      <c r="Q944">
        <f>IF(I944="ENFASIS","ÉNFASIS "&amp;M944,IFERROR(VLOOKUP(J944,Grupos!$A$2:$D$100,4,FALSE),J944))</f>
        <v/>
      </c>
      <c r="R944">
        <f>O944&amp;IF(N944&lt;&gt;"",IF(O944&lt;&gt;""," · ","")&amp;"Con: "&amp;N944,"")</f>
        <v/>
      </c>
      <c r="S944">
        <f>C944&amp;"|"&amp;D944</f>
        <v/>
      </c>
      <c r="T944">
        <f>COUNTIF($S$2:S944,S944)</f>
        <v/>
      </c>
      <c r="U944">
        <f>S944&amp;"|"&amp;T944</f>
        <v/>
      </c>
      <c r="V944">
        <f>IFERROR(VLOOKUP(IF(I944="ENFASIS",LEFT(M944,FIND("+",M944&amp;"+")-1),J944),Direccion_Grupo!$A$2:$G$100,7,FALSE),"")</f>
        <v/>
      </c>
    </row>
    <row r="945">
      <c r="A945" t="n">
        <v>24</v>
      </c>
      <c r="B945" t="inlineStr">
        <is>
          <t>Landázuri Gallón Teresa</t>
        </is>
      </c>
      <c r="C945" t="inlineStr">
        <is>
          <t>JUEVES</t>
        </is>
      </c>
      <c r="D945" t="n">
        <v>1</v>
      </c>
      <c r="E945" t="n">
        <v>1</v>
      </c>
      <c r="F945" t="n">
        <v>1</v>
      </c>
      <c r="G945" t="inlineStr">
        <is>
          <t>06:30</t>
        </is>
      </c>
      <c r="H945" t="inlineStr">
        <is>
          <t>07:15</t>
        </is>
      </c>
      <c r="I945" t="inlineStr">
        <is>
          <t>AREAS_MULTIPLES</t>
        </is>
      </c>
      <c r="J945" t="inlineStr">
        <is>
          <t>0302</t>
        </is>
      </c>
      <c r="K945" t="inlineStr">
        <is>
          <t>ÁREAS MÚLTIPLES</t>
        </is>
      </c>
      <c r="L945" t="inlineStr"/>
      <c r="M945" t="inlineStr"/>
      <c r="N945" t="inlineStr"/>
      <c r="O945" t="inlineStr">
        <is>
          <t>Maestro de aula: todas las áreas con su grupo</t>
        </is>
      </c>
      <c r="P945" t="inlineStr"/>
      <c r="Q945">
        <f>IF(I945="ENFASIS","ÉNFASIS "&amp;M945,IFERROR(VLOOKUP(J945,Grupos!$A$2:$D$100,4,FALSE),J945))</f>
        <v/>
      </c>
      <c r="R945">
        <f>O945&amp;IF(N945&lt;&gt;"",IF(O945&lt;&gt;""," · ","")&amp;"Con: "&amp;N945,"")</f>
        <v/>
      </c>
      <c r="S945">
        <f>C945&amp;"|"&amp;D945</f>
        <v/>
      </c>
      <c r="T945">
        <f>COUNTIF($S$2:S945,S945)</f>
        <v/>
      </c>
      <c r="U945">
        <f>S945&amp;"|"&amp;T945</f>
        <v/>
      </c>
      <c r="V945">
        <f>IFERROR(VLOOKUP(IF(I945="ENFASIS",LEFT(M945,FIND("+",M945&amp;"+")-1),J945),Direccion_Grupo!$A$2:$G$100,7,FALSE),"")</f>
        <v/>
      </c>
    </row>
    <row r="946">
      <c r="A946" t="n">
        <v>55</v>
      </c>
      <c r="B946" t="inlineStr">
        <is>
          <t>Zamora Ordóñez Celia Pastora</t>
        </is>
      </c>
      <c r="C946" t="inlineStr">
        <is>
          <t>JUEVES</t>
        </is>
      </c>
      <c r="D946" t="n">
        <v>1</v>
      </c>
      <c r="E946" t="n">
        <v>1</v>
      </c>
      <c r="F946" t="n">
        <v>1</v>
      </c>
      <c r="G946" t="inlineStr">
        <is>
          <t>06:30</t>
        </is>
      </c>
      <c r="H946" t="inlineStr">
        <is>
          <t>07:15</t>
        </is>
      </c>
      <c r="I946" t="inlineStr">
        <is>
          <t>AREAS_MULTIPLES</t>
        </is>
      </c>
      <c r="J946" t="inlineStr">
        <is>
          <t>0401</t>
        </is>
      </c>
      <c r="K946" t="inlineStr">
        <is>
          <t>ÁREAS MÚLTIPLES</t>
        </is>
      </c>
      <c r="L946" t="inlineStr"/>
      <c r="M946" t="inlineStr"/>
      <c r="N946" t="inlineStr"/>
      <c r="O946" t="inlineStr">
        <is>
          <t>Maestro de aula: todas las áreas con su grupo</t>
        </is>
      </c>
      <c r="P946" t="inlineStr"/>
      <c r="Q946">
        <f>IF(I946="ENFASIS","ÉNFASIS "&amp;M946,IFERROR(VLOOKUP(J946,Grupos!$A$2:$D$100,4,FALSE),J946))</f>
        <v/>
      </c>
      <c r="R946">
        <f>O946&amp;IF(N946&lt;&gt;"",IF(O946&lt;&gt;""," · ","")&amp;"Con: "&amp;N946,"")</f>
        <v/>
      </c>
      <c r="S946">
        <f>C946&amp;"|"&amp;D946</f>
        <v/>
      </c>
      <c r="T946">
        <f>COUNTIF($S$2:S946,S946)</f>
        <v/>
      </c>
      <c r="U946">
        <f>S946&amp;"|"&amp;T946</f>
        <v/>
      </c>
      <c r="V946">
        <f>IFERROR(VLOOKUP(IF(I946="ENFASIS",LEFT(M946,FIND("+",M946&amp;"+")-1),J946),Direccion_Grupo!$A$2:$G$100,7,FALSE),"")</f>
        <v/>
      </c>
    </row>
    <row r="947">
      <c r="A947" t="n">
        <v>33</v>
      </c>
      <c r="B947" t="inlineStr">
        <is>
          <t>Núñez Perlaza Elcy</t>
        </is>
      </c>
      <c r="C947" t="inlineStr">
        <is>
          <t>JUEVES</t>
        </is>
      </c>
      <c r="D947" t="n">
        <v>1</v>
      </c>
      <c r="E947" t="n">
        <v>1</v>
      </c>
      <c r="F947" t="n">
        <v>1</v>
      </c>
      <c r="G947" t="inlineStr">
        <is>
          <t>06:30</t>
        </is>
      </c>
      <c r="H947" t="inlineStr">
        <is>
          <t>07:15</t>
        </is>
      </c>
      <c r="I947" t="inlineStr">
        <is>
          <t>AREAS_MULTIPLES</t>
        </is>
      </c>
      <c r="J947" t="inlineStr">
        <is>
          <t>0402</t>
        </is>
      </c>
      <c r="K947" t="inlineStr">
        <is>
          <t>ÁREAS MÚLTIPLES</t>
        </is>
      </c>
      <c r="L947" t="inlineStr"/>
      <c r="M947" t="inlineStr"/>
      <c r="N947" t="inlineStr"/>
      <c r="O947" t="inlineStr">
        <is>
          <t>Maestro de aula: todas las áreas con su grupo</t>
        </is>
      </c>
      <c r="P947" t="inlineStr"/>
      <c r="Q947">
        <f>IF(I947="ENFASIS","ÉNFASIS "&amp;M947,IFERROR(VLOOKUP(J947,Grupos!$A$2:$D$100,4,FALSE),J947))</f>
        <v/>
      </c>
      <c r="R947">
        <f>O947&amp;IF(N947&lt;&gt;"",IF(O947&lt;&gt;""," · ","")&amp;"Con: "&amp;N947,"")</f>
        <v/>
      </c>
      <c r="S947">
        <f>C947&amp;"|"&amp;D947</f>
        <v/>
      </c>
      <c r="T947">
        <f>COUNTIF($S$2:S947,S947)</f>
        <v/>
      </c>
      <c r="U947">
        <f>S947&amp;"|"&amp;T947</f>
        <v/>
      </c>
      <c r="V947">
        <f>IFERROR(VLOOKUP(IF(I947="ENFASIS",LEFT(M947,FIND("+",M947&amp;"+")-1),J947),Direccion_Grupo!$A$2:$G$100,7,FALSE),"")</f>
        <v/>
      </c>
    </row>
    <row r="948">
      <c r="A948" t="n">
        <v>14</v>
      </c>
      <c r="B948" t="inlineStr">
        <is>
          <t>Cuéllar Gallo Nemesia</t>
        </is>
      </c>
      <c r="C948" t="inlineStr">
        <is>
          <t>JUEVES</t>
        </is>
      </c>
      <c r="D948" t="n">
        <v>1</v>
      </c>
      <c r="E948" t="n">
        <v>1</v>
      </c>
      <c r="F948" t="n">
        <v>1</v>
      </c>
      <c r="G948" t="inlineStr">
        <is>
          <t>06:30</t>
        </is>
      </c>
      <c r="H948" t="inlineStr">
        <is>
          <t>07:15</t>
        </is>
      </c>
      <c r="I948" t="inlineStr">
        <is>
          <t>AREAS_MULTIPLES</t>
        </is>
      </c>
      <c r="J948" t="inlineStr">
        <is>
          <t>0501</t>
        </is>
      </c>
      <c r="K948" t="inlineStr">
        <is>
          <t>ÁREAS MÚLTIPLES</t>
        </is>
      </c>
      <c r="L948" t="inlineStr"/>
      <c r="M948" t="inlineStr"/>
      <c r="N948" t="inlineStr"/>
      <c r="O948" t="inlineStr">
        <is>
          <t>Maestro de aula: todas las áreas con su grupo</t>
        </is>
      </c>
      <c r="P948" t="inlineStr"/>
      <c r="Q948">
        <f>IF(I948="ENFASIS","ÉNFASIS "&amp;M948,IFERROR(VLOOKUP(J948,Grupos!$A$2:$D$100,4,FALSE),J948))</f>
        <v/>
      </c>
      <c r="R948">
        <f>O948&amp;IF(N948&lt;&gt;"",IF(O948&lt;&gt;""," · ","")&amp;"Con: "&amp;N948,"")</f>
        <v/>
      </c>
      <c r="S948">
        <f>C948&amp;"|"&amp;D948</f>
        <v/>
      </c>
      <c r="T948">
        <f>COUNTIF($S$2:S948,S948)</f>
        <v/>
      </c>
      <c r="U948">
        <f>S948&amp;"|"&amp;T948</f>
        <v/>
      </c>
      <c r="V948">
        <f>IFERROR(VLOOKUP(IF(I948="ENFASIS",LEFT(M948,FIND("+",M948&amp;"+")-1),J948),Direccion_Grupo!$A$2:$G$100,7,FALSE),"")</f>
        <v/>
      </c>
    </row>
    <row r="949">
      <c r="A949" t="n">
        <v>11</v>
      </c>
      <c r="B949" t="inlineStr">
        <is>
          <t>Centeno Zúñiga Claudia Patricia</t>
        </is>
      </c>
      <c r="C949" t="inlineStr">
        <is>
          <t>JUEVES</t>
        </is>
      </c>
      <c r="D949" t="n">
        <v>1</v>
      </c>
      <c r="E949" t="n">
        <v>1</v>
      </c>
      <c r="F949" t="n">
        <v>1</v>
      </c>
      <c r="G949" t="inlineStr">
        <is>
          <t>06:30</t>
        </is>
      </c>
      <c r="H949" t="inlineStr">
        <is>
          <t>07:15</t>
        </is>
      </c>
      <c r="I949" t="inlineStr">
        <is>
          <t>AREAS_MULTIPLES</t>
        </is>
      </c>
      <c r="J949" t="inlineStr">
        <is>
          <t>0502</t>
        </is>
      </c>
      <c r="K949" t="inlineStr">
        <is>
          <t>ÁREAS MÚLTIPLES</t>
        </is>
      </c>
      <c r="L949" t="inlineStr"/>
      <c r="M949" t="inlineStr"/>
      <c r="N949" t="inlineStr"/>
      <c r="O949" t="inlineStr">
        <is>
          <t>Maestro de aula: todas las áreas con su grupo</t>
        </is>
      </c>
      <c r="P949" t="inlineStr"/>
      <c r="Q949">
        <f>IF(I949="ENFASIS","ÉNFASIS "&amp;M949,IFERROR(VLOOKUP(J949,Grupos!$A$2:$D$100,4,FALSE),J949))</f>
        <v/>
      </c>
      <c r="R949">
        <f>O949&amp;IF(N949&lt;&gt;"",IF(O949&lt;&gt;""," · ","")&amp;"Con: "&amp;N949,"")</f>
        <v/>
      </c>
      <c r="S949">
        <f>C949&amp;"|"&amp;D949</f>
        <v/>
      </c>
      <c r="T949">
        <f>COUNTIF($S$2:S949,S949)</f>
        <v/>
      </c>
      <c r="U949">
        <f>S949&amp;"|"&amp;T949</f>
        <v/>
      </c>
      <c r="V949">
        <f>IFERROR(VLOOKUP(IF(I949="ENFASIS",LEFT(M949,FIND("+",M949&amp;"+")-1),J949),Direccion_Grupo!$A$2:$G$100,7,FALSE),"")</f>
        <v/>
      </c>
    </row>
    <row r="950">
      <c r="A950" t="n">
        <v>32</v>
      </c>
      <c r="B950" t="inlineStr">
        <is>
          <t>Narváez Sánchez Dora Alejandra</t>
        </is>
      </c>
      <c r="C950" t="inlineStr">
        <is>
          <t>JUEVES</t>
        </is>
      </c>
      <c r="D950" t="n">
        <v>1</v>
      </c>
      <c r="E950" t="n">
        <v>1</v>
      </c>
      <c r="F950" t="n">
        <v>1</v>
      </c>
      <c r="G950" t="inlineStr">
        <is>
          <t>06:30</t>
        </is>
      </c>
      <c r="H950" t="inlineStr">
        <is>
          <t>07:15</t>
        </is>
      </c>
      <c r="I950" t="inlineStr">
        <is>
          <t>AREAS_MULTIPLES</t>
        </is>
      </c>
      <c r="J950" t="inlineStr">
        <is>
          <t>0503</t>
        </is>
      </c>
      <c r="K950" t="inlineStr">
        <is>
          <t>ÁREAS MÚLTIPLES</t>
        </is>
      </c>
      <c r="L950" t="inlineStr"/>
      <c r="M950" t="inlineStr"/>
      <c r="N950" t="inlineStr"/>
      <c r="O950" t="inlineStr">
        <is>
          <t>Maestro de aula: todas las áreas con su grupo</t>
        </is>
      </c>
      <c r="P950" t="inlineStr"/>
      <c r="Q950">
        <f>IF(I950="ENFASIS","ÉNFASIS "&amp;M950,IFERROR(VLOOKUP(J950,Grupos!$A$2:$D$100,4,FALSE),J950))</f>
        <v/>
      </c>
      <c r="R950">
        <f>O950&amp;IF(N950&lt;&gt;"",IF(O950&lt;&gt;""," · ","")&amp;"Con: "&amp;N950,"")</f>
        <v/>
      </c>
      <c r="S950">
        <f>C950&amp;"|"&amp;D950</f>
        <v/>
      </c>
      <c r="T950">
        <f>COUNTIF($S$2:S950,S950)</f>
        <v/>
      </c>
      <c r="U950">
        <f>S950&amp;"|"&amp;T950</f>
        <v/>
      </c>
      <c r="V950">
        <f>IFERROR(VLOOKUP(IF(I950="ENFASIS",LEFT(M950,FIND("+",M950&amp;"+")-1),J950),Direccion_Grupo!$A$2:$G$100,7,FALSE),"")</f>
        <v/>
      </c>
    </row>
    <row r="951">
      <c r="A951" t="n">
        <v>17</v>
      </c>
      <c r="B951" t="inlineStr">
        <is>
          <t>Escobar Cortés Liliana</t>
        </is>
      </c>
      <c r="C951" t="inlineStr">
        <is>
          <t>JUEVES</t>
        </is>
      </c>
      <c r="D951" t="n">
        <v>1</v>
      </c>
      <c r="E951" t="n">
        <v>1</v>
      </c>
      <c r="F951" t="n">
        <v>1</v>
      </c>
      <c r="G951" t="inlineStr">
        <is>
          <t>06:30</t>
        </is>
      </c>
      <c r="H951" t="inlineStr">
        <is>
          <t>07:15</t>
        </is>
      </c>
      <c r="I951" t="inlineStr">
        <is>
          <t>AREAS_MULTIPLES</t>
        </is>
      </c>
      <c r="J951" t="inlineStr">
        <is>
          <t>0504</t>
        </is>
      </c>
      <c r="K951" t="inlineStr">
        <is>
          <t>ÁREAS MÚLTIPLES</t>
        </is>
      </c>
      <c r="L951" t="inlineStr"/>
      <c r="M951" t="inlineStr"/>
      <c r="N951" t="inlineStr"/>
      <c r="O951" t="inlineStr">
        <is>
          <t>Maestro de aula: todas las áreas con su grupo</t>
        </is>
      </c>
      <c r="P951" t="inlineStr"/>
      <c r="Q951">
        <f>IF(I951="ENFASIS","ÉNFASIS "&amp;M951,IFERROR(VLOOKUP(J951,Grupos!$A$2:$D$100,4,FALSE),J951))</f>
        <v/>
      </c>
      <c r="R951">
        <f>O951&amp;IF(N951&lt;&gt;"",IF(O951&lt;&gt;""," · ","")&amp;"Con: "&amp;N951,"")</f>
        <v/>
      </c>
      <c r="S951">
        <f>C951&amp;"|"&amp;D951</f>
        <v/>
      </c>
      <c r="T951">
        <f>COUNTIF($S$2:S951,S951)</f>
        <v/>
      </c>
      <c r="U951">
        <f>S951&amp;"|"&amp;T951</f>
        <v/>
      </c>
      <c r="V951">
        <f>IFERROR(VLOOKUP(IF(I951="ENFASIS",LEFT(M951,FIND("+",M951&amp;"+")-1),J951),Direccion_Grupo!$A$2:$G$100,7,FALSE),"")</f>
        <v/>
      </c>
    </row>
    <row r="952">
      <c r="A952" t="n">
        <v>42</v>
      </c>
      <c r="B952" t="inlineStr">
        <is>
          <t>Quiñones Cabezas Marcos Vidal</t>
        </is>
      </c>
      <c r="C952" t="inlineStr">
        <is>
          <t>JUEVES</t>
        </is>
      </c>
      <c r="D952" t="n">
        <v>1</v>
      </c>
      <c r="E952" t="n">
        <v>1</v>
      </c>
      <c r="F952" t="n">
        <v>1</v>
      </c>
      <c r="G952" t="inlineStr">
        <is>
          <t>06:30</t>
        </is>
      </c>
      <c r="H952" t="inlineStr">
        <is>
          <t>07:15</t>
        </is>
      </c>
      <c r="I952" t="inlineStr">
        <is>
          <t>CLASE</t>
        </is>
      </c>
      <c r="J952" t="inlineStr">
        <is>
          <t>0601</t>
        </is>
      </c>
      <c r="K952" t="inlineStr">
        <is>
          <t>MAT</t>
        </is>
      </c>
      <c r="L952" t="inlineStr"/>
      <c r="M952" t="inlineStr"/>
      <c r="N952" t="inlineStr"/>
      <c r="O952" t="inlineStr"/>
      <c r="P952" t="inlineStr">
        <is>
          <t>0601-MAT</t>
        </is>
      </c>
      <c r="Q952">
        <f>IF(I952="ENFASIS","ÉNFASIS "&amp;M952,IFERROR(VLOOKUP(J952,Grupos!$A$2:$D$100,4,FALSE),J952))</f>
        <v/>
      </c>
      <c r="R952">
        <f>O952&amp;IF(N952&lt;&gt;"",IF(O952&lt;&gt;""," · ","")&amp;"Con: "&amp;N952,"")</f>
        <v/>
      </c>
      <c r="S952">
        <f>C952&amp;"|"&amp;D952</f>
        <v/>
      </c>
      <c r="T952">
        <f>COUNTIF($S$2:S952,S952)</f>
        <v/>
      </c>
      <c r="U952">
        <f>S952&amp;"|"&amp;T952</f>
        <v/>
      </c>
      <c r="V952">
        <f>IFERROR(VLOOKUP(IF(I952="ENFASIS",LEFT(M952,FIND("+",M952&amp;"+")-1),J952),Direccion_Grupo!$A$2:$G$100,7,FALSE),"")</f>
        <v/>
      </c>
    </row>
    <row r="953">
      <c r="A953" t="n">
        <v>16</v>
      </c>
      <c r="B953" t="inlineStr">
        <is>
          <t>Cuero Rincón Hernando Jesús</t>
        </is>
      </c>
      <c r="C953" t="inlineStr">
        <is>
          <t>JUEVES</t>
        </is>
      </c>
      <c r="D953" t="n">
        <v>1</v>
      </c>
      <c r="E953" t="n">
        <v>1</v>
      </c>
      <c r="F953" t="n">
        <v>1</v>
      </c>
      <c r="G953" t="inlineStr">
        <is>
          <t>06:30</t>
        </is>
      </c>
      <c r="H953" t="inlineStr">
        <is>
          <t>07:15</t>
        </is>
      </c>
      <c r="I953" t="inlineStr">
        <is>
          <t>CLASE</t>
        </is>
      </c>
      <c r="J953" t="inlineStr">
        <is>
          <t>0602</t>
        </is>
      </c>
      <c r="K953" t="inlineStr">
        <is>
          <t>TEI</t>
        </is>
      </c>
      <c r="L953" t="inlineStr"/>
      <c r="M953" t="inlineStr"/>
      <c r="N953" t="inlineStr"/>
      <c r="O953" t="inlineStr"/>
      <c r="P953" t="inlineStr">
        <is>
          <t>0602-TEI</t>
        </is>
      </c>
      <c r="Q953">
        <f>IF(I953="ENFASIS","ÉNFASIS "&amp;M953,IFERROR(VLOOKUP(J953,Grupos!$A$2:$D$100,4,FALSE),J953))</f>
        <v/>
      </c>
      <c r="R953">
        <f>O953&amp;IF(N953&lt;&gt;"",IF(O953&lt;&gt;""," · ","")&amp;"Con: "&amp;N953,"")</f>
        <v/>
      </c>
      <c r="S953">
        <f>C953&amp;"|"&amp;D953</f>
        <v/>
      </c>
      <c r="T953">
        <f>COUNTIF($S$2:S953,S953)</f>
        <v/>
      </c>
      <c r="U953">
        <f>S953&amp;"|"&amp;T953</f>
        <v/>
      </c>
      <c r="V953">
        <f>IFERROR(VLOOKUP(IF(I953="ENFASIS",LEFT(M953,FIND("+",M953&amp;"+")-1),J953),Direccion_Grupo!$A$2:$G$100,7,FALSE),"")</f>
        <v/>
      </c>
    </row>
    <row r="954">
      <c r="A954" t="n">
        <v>10</v>
      </c>
      <c r="B954" t="inlineStr">
        <is>
          <t>Castillo Cuero Daira Eneida</t>
        </is>
      </c>
      <c r="C954" t="inlineStr">
        <is>
          <t>JUEVES</t>
        </is>
      </c>
      <c r="D954" t="n">
        <v>1</v>
      </c>
      <c r="E954" t="n">
        <v>1</v>
      </c>
      <c r="F954" t="n">
        <v>1</v>
      </c>
      <c r="G954" t="inlineStr">
        <is>
          <t>06:30</t>
        </is>
      </c>
      <c r="H954" t="inlineStr">
        <is>
          <t>07:15</t>
        </is>
      </c>
      <c r="I954" t="inlineStr">
        <is>
          <t>CLASE</t>
        </is>
      </c>
      <c r="J954" t="inlineStr">
        <is>
          <t>0704</t>
        </is>
      </c>
      <c r="K954" t="inlineStr">
        <is>
          <t>CAS</t>
        </is>
      </c>
      <c r="L954" t="inlineStr"/>
      <c r="M954" t="inlineStr"/>
      <c r="N954" t="inlineStr"/>
      <c r="O954" t="inlineStr"/>
      <c r="P954" t="inlineStr">
        <is>
          <t>0704-CAS</t>
        </is>
      </c>
      <c r="Q954">
        <f>IF(I954="ENFASIS","ÉNFASIS "&amp;M954,IFERROR(VLOOKUP(J954,Grupos!$A$2:$D$100,4,FALSE),J954))</f>
        <v/>
      </c>
      <c r="R954">
        <f>O954&amp;IF(N954&lt;&gt;"",IF(O954&lt;&gt;""," · ","")&amp;"Con: "&amp;N954,"")</f>
        <v/>
      </c>
      <c r="S954">
        <f>C954&amp;"|"&amp;D954</f>
        <v/>
      </c>
      <c r="T954">
        <f>COUNTIF($S$2:S954,S954)</f>
        <v/>
      </c>
      <c r="U954">
        <f>S954&amp;"|"&amp;T954</f>
        <v/>
      </c>
      <c r="V954">
        <f>IFERROR(VLOOKUP(IF(I954="ENFASIS",LEFT(M954,FIND("+",M954&amp;"+")-1),J954),Direccion_Grupo!$A$2:$G$100,7,FALSE),"")</f>
        <v/>
      </c>
    </row>
    <row r="955">
      <c r="A955" t="n">
        <v>19</v>
      </c>
      <c r="B955" t="inlineStr">
        <is>
          <t>Fernández Vélez Alfredo Enrique</t>
        </is>
      </c>
      <c r="C955" t="inlineStr">
        <is>
          <t>JUEVES</t>
        </is>
      </c>
      <c r="D955" t="n">
        <v>1</v>
      </c>
      <c r="E955" t="n">
        <v>1</v>
      </c>
      <c r="F955" t="n">
        <v>1</v>
      </c>
      <c r="G955" t="inlineStr">
        <is>
          <t>06:30</t>
        </is>
      </c>
      <c r="H955" t="inlineStr">
        <is>
          <t>07:15</t>
        </is>
      </c>
      <c r="I955" t="inlineStr">
        <is>
          <t>CLASE</t>
        </is>
      </c>
      <c r="J955" t="inlineStr">
        <is>
          <t>0801</t>
        </is>
      </c>
      <c r="K955" t="inlineStr">
        <is>
          <t>TEI</t>
        </is>
      </c>
      <c r="L955" t="inlineStr"/>
      <c r="M955" t="inlineStr"/>
      <c r="N955" t="inlineStr"/>
      <c r="O955" t="inlineStr"/>
      <c r="P955" t="inlineStr">
        <is>
          <t>0801-TEI</t>
        </is>
      </c>
      <c r="Q955">
        <f>IF(I955="ENFASIS","ÉNFASIS "&amp;M955,IFERROR(VLOOKUP(J955,Grupos!$A$2:$D$100,4,FALSE),J955))</f>
        <v/>
      </c>
      <c r="R955">
        <f>O955&amp;IF(N955&lt;&gt;"",IF(O955&lt;&gt;""," · ","")&amp;"Con: "&amp;N955,"")</f>
        <v/>
      </c>
      <c r="S955">
        <f>C955&amp;"|"&amp;D955</f>
        <v/>
      </c>
      <c r="T955">
        <f>COUNTIF($S$2:S955,S955)</f>
        <v/>
      </c>
      <c r="U955">
        <f>S955&amp;"|"&amp;T955</f>
        <v/>
      </c>
      <c r="V955">
        <f>IFERROR(VLOOKUP(IF(I955="ENFASIS",LEFT(M955,FIND("+",M955&amp;"+")-1),J955),Direccion_Grupo!$A$2:$G$100,7,FALSE),"")</f>
        <v/>
      </c>
    </row>
    <row r="956">
      <c r="A956" t="n">
        <v>35</v>
      </c>
      <c r="B956" t="inlineStr">
        <is>
          <t>Ortiz Araujo Adiela Carlota</t>
        </is>
      </c>
      <c r="C956" t="inlineStr">
        <is>
          <t>JUEVES</t>
        </is>
      </c>
      <c r="D956" t="n">
        <v>1</v>
      </c>
      <c r="E956" t="n">
        <v>1</v>
      </c>
      <c r="F956" t="n">
        <v>1</v>
      </c>
      <c r="G956" t="inlineStr">
        <is>
          <t>06:30</t>
        </is>
      </c>
      <c r="H956" t="inlineStr">
        <is>
          <t>07:15</t>
        </is>
      </c>
      <c r="I956" t="inlineStr">
        <is>
          <t>CLASE</t>
        </is>
      </c>
      <c r="J956" t="inlineStr">
        <is>
          <t>0802</t>
        </is>
      </c>
      <c r="K956" t="inlineStr">
        <is>
          <t>CSI</t>
        </is>
      </c>
      <c r="L956" t="inlineStr"/>
      <c r="M956" t="inlineStr"/>
      <c r="N956" t="inlineStr"/>
      <c r="O956" t="inlineStr">
        <is>
          <t>Sociales / Inglés (alternan cada semana)</t>
        </is>
      </c>
      <c r="P956" t="inlineStr">
        <is>
          <t>0802-CSI</t>
        </is>
      </c>
      <c r="Q956">
        <f>IF(I956="ENFASIS","ÉNFASIS "&amp;M956,IFERROR(VLOOKUP(J956,Grupos!$A$2:$D$100,4,FALSE),J956))</f>
        <v/>
      </c>
      <c r="R956">
        <f>O956&amp;IF(N956&lt;&gt;"",IF(O956&lt;&gt;""," · ","")&amp;"Con: "&amp;N956,"")</f>
        <v/>
      </c>
      <c r="S956">
        <f>C956&amp;"|"&amp;D956</f>
        <v/>
      </c>
      <c r="T956">
        <f>COUNTIF($S$2:S956,S956)</f>
        <v/>
      </c>
      <c r="U956">
        <f>S956&amp;"|"&amp;T956</f>
        <v/>
      </c>
      <c r="V956">
        <f>IFERROR(VLOOKUP(IF(I956="ENFASIS",LEFT(M956,FIND("+",M956&amp;"+")-1),J956),Direccion_Grupo!$A$2:$G$100,7,FALSE),"")</f>
        <v/>
      </c>
    </row>
    <row r="957">
      <c r="A957" t="n">
        <v>22</v>
      </c>
      <c r="B957" t="inlineStr">
        <is>
          <t>González Castillo Jólmer Jimy</t>
        </is>
      </c>
      <c r="C957" t="inlineStr">
        <is>
          <t>JUEVES</t>
        </is>
      </c>
      <c r="D957" t="n">
        <v>1</v>
      </c>
      <c r="E957" t="n">
        <v>1</v>
      </c>
      <c r="F957" t="n">
        <v>1</v>
      </c>
      <c r="G957" t="inlineStr">
        <is>
          <t>06:30</t>
        </is>
      </c>
      <c r="H957" t="inlineStr">
        <is>
          <t>07:15</t>
        </is>
      </c>
      <c r="I957" t="inlineStr">
        <is>
          <t>CLASE</t>
        </is>
      </c>
      <c r="J957" t="inlineStr">
        <is>
          <t>0901</t>
        </is>
      </c>
      <c r="K957" t="inlineStr">
        <is>
          <t>ERD</t>
        </is>
      </c>
      <c r="L957" t="inlineStr"/>
      <c r="M957" t="inlineStr"/>
      <c r="N957" t="inlineStr"/>
      <c r="O957" t="inlineStr"/>
      <c r="P957" t="inlineStr">
        <is>
          <t>0901-ERD</t>
        </is>
      </c>
      <c r="Q957">
        <f>IF(I957="ENFASIS","ÉNFASIS "&amp;M957,IFERROR(VLOOKUP(J957,Grupos!$A$2:$D$100,4,FALSE),J957))</f>
        <v/>
      </c>
      <c r="R957">
        <f>O957&amp;IF(N957&lt;&gt;"",IF(O957&lt;&gt;""," · ","")&amp;"Con: "&amp;N957,"")</f>
        <v/>
      </c>
      <c r="S957">
        <f>C957&amp;"|"&amp;D957</f>
        <v/>
      </c>
      <c r="T957">
        <f>COUNTIF($S$2:S957,S957)</f>
        <v/>
      </c>
      <c r="U957">
        <f>S957&amp;"|"&amp;T957</f>
        <v/>
      </c>
      <c r="V957">
        <f>IFERROR(VLOOKUP(IF(I957="ENFASIS",LEFT(M957,FIND("+",M957&amp;"+")-1),J957),Direccion_Grupo!$A$2:$G$100,7,FALSE),"")</f>
        <v/>
      </c>
    </row>
    <row r="958">
      <c r="A958" t="n">
        <v>28</v>
      </c>
      <c r="B958" t="inlineStr">
        <is>
          <t>Meza Banguera Gladys Alicia</t>
        </is>
      </c>
      <c r="C958" t="inlineStr">
        <is>
          <t>JUEVES</t>
        </is>
      </c>
      <c r="D958" t="n">
        <v>1</v>
      </c>
      <c r="E958" t="n">
        <v>1</v>
      </c>
      <c r="F958" t="n">
        <v>1</v>
      </c>
      <c r="G958" t="inlineStr">
        <is>
          <t>06:30</t>
        </is>
      </c>
      <c r="H958" t="inlineStr">
        <is>
          <t>07:15</t>
        </is>
      </c>
      <c r="I958" t="inlineStr">
        <is>
          <t>CLASE</t>
        </is>
      </c>
      <c r="J958" t="inlineStr">
        <is>
          <t>1001</t>
        </is>
      </c>
      <c r="K958" t="inlineStr">
        <is>
          <t>CAS</t>
        </is>
      </c>
      <c r="L958" t="inlineStr"/>
      <c r="M958" t="inlineStr"/>
      <c r="N958" t="inlineStr"/>
      <c r="O958" t="inlineStr"/>
      <c r="P958" t="inlineStr">
        <is>
          <t>1001-CAS</t>
        </is>
      </c>
      <c r="Q958">
        <f>IF(I958="ENFASIS","ÉNFASIS "&amp;M958,IFERROR(VLOOKUP(J958,Grupos!$A$2:$D$100,4,FALSE),J958))</f>
        <v/>
      </c>
      <c r="R958">
        <f>O958&amp;IF(N958&lt;&gt;"",IF(O958&lt;&gt;""," · ","")&amp;"Con: "&amp;N958,"")</f>
        <v/>
      </c>
      <c r="S958">
        <f>C958&amp;"|"&amp;D958</f>
        <v/>
      </c>
      <c r="T958">
        <f>COUNTIF($S$2:S958,S958)</f>
        <v/>
      </c>
      <c r="U958">
        <f>S958&amp;"|"&amp;T958</f>
        <v/>
      </c>
      <c r="V958">
        <f>IFERROR(VLOOKUP(IF(I958="ENFASIS",LEFT(M958,FIND("+",M958&amp;"+")-1),J958),Direccion_Grupo!$A$2:$G$100,7,FALSE),"")</f>
        <v/>
      </c>
    </row>
    <row r="959">
      <c r="A959" t="n">
        <v>43</v>
      </c>
      <c r="B959" t="inlineStr">
        <is>
          <t>Ramírez Guerra Jimmy Eduardo</t>
        </is>
      </c>
      <c r="C959" t="inlineStr">
        <is>
          <t>JUEVES</t>
        </is>
      </c>
      <c r="D959" t="n">
        <v>1</v>
      </c>
      <c r="E959" t="n">
        <v>1</v>
      </c>
      <c r="F959" t="n">
        <v>1</v>
      </c>
      <c r="G959" t="inlineStr">
        <is>
          <t>06:30</t>
        </is>
      </c>
      <c r="H959" t="inlineStr">
        <is>
          <t>07:15</t>
        </is>
      </c>
      <c r="I959" t="inlineStr">
        <is>
          <t>CLASE</t>
        </is>
      </c>
      <c r="J959" t="inlineStr">
        <is>
          <t>1002</t>
        </is>
      </c>
      <c r="K959" t="inlineStr">
        <is>
          <t>ERD</t>
        </is>
      </c>
      <c r="L959" t="inlineStr"/>
      <c r="M959" t="inlineStr"/>
      <c r="N959" t="inlineStr"/>
      <c r="O959" t="inlineStr"/>
      <c r="P959" t="inlineStr">
        <is>
          <t>1002-ERD</t>
        </is>
      </c>
      <c r="Q959">
        <f>IF(I959="ENFASIS","ÉNFASIS "&amp;M959,IFERROR(VLOOKUP(J959,Grupos!$A$2:$D$100,4,FALSE),J959))</f>
        <v/>
      </c>
      <c r="R959">
        <f>O959&amp;IF(N959&lt;&gt;"",IF(O959&lt;&gt;""," · ","")&amp;"Con: "&amp;N959,"")</f>
        <v/>
      </c>
      <c r="S959">
        <f>C959&amp;"|"&amp;D959</f>
        <v/>
      </c>
      <c r="T959">
        <f>COUNTIF($S$2:S959,S959)</f>
        <v/>
      </c>
      <c r="U959">
        <f>S959&amp;"|"&amp;T959</f>
        <v/>
      </c>
      <c r="V959">
        <f>IFERROR(VLOOKUP(IF(I959="ENFASIS",LEFT(M959,FIND("+",M959&amp;"+")-1),J959),Direccion_Grupo!$A$2:$G$100,7,FALSE),"")</f>
        <v/>
      </c>
    </row>
    <row r="960">
      <c r="A960" t="n">
        <v>2</v>
      </c>
      <c r="B960" t="inlineStr">
        <is>
          <t>Angulo Lucero Andrés Mauricio</t>
        </is>
      </c>
      <c r="C960" t="inlineStr">
        <is>
          <t>JUEVES</t>
        </is>
      </c>
      <c r="D960" t="n">
        <v>1</v>
      </c>
      <c r="E960" t="n">
        <v>1</v>
      </c>
      <c r="F960" t="n">
        <v>1</v>
      </c>
      <c r="G960" t="inlineStr">
        <is>
          <t>06:30</t>
        </is>
      </c>
      <c r="H960" t="inlineStr">
        <is>
          <t>07:15</t>
        </is>
      </c>
      <c r="I960" t="inlineStr">
        <is>
          <t>CLASE</t>
        </is>
      </c>
      <c r="J960" t="inlineStr">
        <is>
          <t>1101</t>
        </is>
      </c>
      <c r="K960" t="inlineStr">
        <is>
          <t>TEI</t>
        </is>
      </c>
      <c r="L960" t="inlineStr"/>
      <c r="M960" t="inlineStr"/>
      <c r="N960" t="inlineStr"/>
      <c r="O960" t="inlineStr"/>
      <c r="P960" t="inlineStr">
        <is>
          <t>1101-TEI</t>
        </is>
      </c>
      <c r="Q960">
        <f>IF(I960="ENFASIS","ÉNFASIS "&amp;M960,IFERROR(VLOOKUP(J960,Grupos!$A$2:$D$100,4,FALSE),J960))</f>
        <v/>
      </c>
      <c r="R960">
        <f>O960&amp;IF(N960&lt;&gt;"",IF(O960&lt;&gt;""," · ","")&amp;"Con: "&amp;N960,"")</f>
        <v/>
      </c>
      <c r="S960">
        <f>C960&amp;"|"&amp;D960</f>
        <v/>
      </c>
      <c r="T960">
        <f>COUNTIF($S$2:S960,S960)</f>
        <v/>
      </c>
      <c r="U960">
        <f>S960&amp;"|"&amp;T960</f>
        <v/>
      </c>
      <c r="V960">
        <f>IFERROR(VLOOKUP(IF(I960="ENFASIS",LEFT(M960,FIND("+",M960&amp;"+")-1),J960),Direccion_Grupo!$A$2:$G$100,7,FALSE),"")</f>
        <v/>
      </c>
    </row>
    <row r="961">
      <c r="A961" t="n">
        <v>53</v>
      </c>
      <c r="B961" t="inlineStr">
        <is>
          <t>Villota Rubio Héctor Hugo</t>
        </is>
      </c>
      <c r="C961" t="inlineStr">
        <is>
          <t>JUEVES</t>
        </is>
      </c>
      <c r="D961" t="n">
        <v>1</v>
      </c>
      <c r="E961" t="n">
        <v>1</v>
      </c>
      <c r="F961" t="n">
        <v>1</v>
      </c>
      <c r="G961" t="inlineStr">
        <is>
          <t>06:30</t>
        </is>
      </c>
      <c r="H961" t="inlineStr">
        <is>
          <t>07:15</t>
        </is>
      </c>
      <c r="I961" t="inlineStr">
        <is>
          <t>CLASE</t>
        </is>
      </c>
      <c r="J961" t="inlineStr">
        <is>
          <t>1102</t>
        </is>
      </c>
      <c r="K961" t="inlineStr">
        <is>
          <t>CNA</t>
        </is>
      </c>
      <c r="L961" t="inlineStr"/>
      <c r="M961" t="inlineStr"/>
      <c r="N961" t="inlineStr"/>
      <c r="O961" t="inlineStr"/>
      <c r="P961" t="inlineStr">
        <is>
          <t>1102-CNA</t>
        </is>
      </c>
      <c r="Q961">
        <f>IF(I961="ENFASIS","ÉNFASIS "&amp;M961,IFERROR(VLOOKUP(J961,Grupos!$A$2:$D$100,4,FALSE),J961))</f>
        <v/>
      </c>
      <c r="R961">
        <f>O961&amp;IF(N961&lt;&gt;"",IF(O961&lt;&gt;""," · ","")&amp;"Con: "&amp;N961,"")</f>
        <v/>
      </c>
      <c r="S961">
        <f>C961&amp;"|"&amp;D961</f>
        <v/>
      </c>
      <c r="T961">
        <f>COUNTIF($S$2:S961,S961)</f>
        <v/>
      </c>
      <c r="U961">
        <f>S961&amp;"|"&amp;T961</f>
        <v/>
      </c>
      <c r="V961">
        <f>IFERROR(VLOOKUP(IF(I961="ENFASIS",LEFT(M961,FIND("+",M961&amp;"+")-1),J961),Direccion_Grupo!$A$2:$G$100,7,FALSE),"")</f>
        <v/>
      </c>
    </row>
    <row r="962">
      <c r="A962" t="n">
        <v>38</v>
      </c>
      <c r="B962" t="inlineStr">
        <is>
          <t>Preciado Torres Oleisa</t>
        </is>
      </c>
      <c r="C962" t="inlineStr">
        <is>
          <t>JUEVES</t>
        </is>
      </c>
      <c r="D962" t="n">
        <v>1</v>
      </c>
      <c r="E962" t="n">
        <v>1</v>
      </c>
      <c r="F962" t="n">
        <v>1</v>
      </c>
      <c r="G962" t="inlineStr">
        <is>
          <t>06:30</t>
        </is>
      </c>
      <c r="H962" t="inlineStr">
        <is>
          <t>07:15</t>
        </is>
      </c>
      <c r="I962" t="inlineStr">
        <is>
          <t>CLASE</t>
        </is>
      </c>
      <c r="J962" t="inlineStr">
        <is>
          <t>CS201</t>
        </is>
      </c>
      <c r="K962" t="inlineStr">
        <is>
          <t>MAT</t>
        </is>
      </c>
      <c r="L962" t="inlineStr"/>
      <c r="M962" t="inlineStr"/>
      <c r="N962" t="inlineStr"/>
      <c r="O962" t="inlineStr"/>
      <c r="P962" t="inlineStr">
        <is>
          <t>CS201-MAT</t>
        </is>
      </c>
      <c r="Q962">
        <f>IF(I962="ENFASIS","ÉNFASIS "&amp;M962,IFERROR(VLOOKUP(J962,Grupos!$A$2:$D$100,4,FALSE),J962))</f>
        <v/>
      </c>
      <c r="R962">
        <f>O962&amp;IF(N962&lt;&gt;"",IF(O962&lt;&gt;""," · ","")&amp;"Con: "&amp;N962,"")</f>
        <v/>
      </c>
      <c r="S962">
        <f>C962&amp;"|"&amp;D962</f>
        <v/>
      </c>
      <c r="T962">
        <f>COUNTIF($S$2:S962,S962)</f>
        <v/>
      </c>
      <c r="U962">
        <f>S962&amp;"|"&amp;T962</f>
        <v/>
      </c>
      <c r="V962">
        <f>IFERROR(VLOOKUP(IF(I962="ENFASIS",LEFT(M962,FIND("+",M962&amp;"+")-1),J962),Direccion_Grupo!$A$2:$G$100,7,FALSE),"")</f>
        <v/>
      </c>
    </row>
    <row r="963">
      <c r="A963" t="n">
        <v>9</v>
      </c>
      <c r="B963" t="inlineStr">
        <is>
          <t>Castillo Angulo Martha Cecilia</t>
        </is>
      </c>
      <c r="C963" t="inlineStr">
        <is>
          <t>JUEVES</t>
        </is>
      </c>
      <c r="D963" t="n">
        <v>1</v>
      </c>
      <c r="E963" t="n">
        <v>1</v>
      </c>
      <c r="F963" t="n">
        <v>1</v>
      </c>
      <c r="G963" t="inlineStr">
        <is>
          <t>06:30</t>
        </is>
      </c>
      <c r="H963" t="inlineStr">
        <is>
          <t>07:15</t>
        </is>
      </c>
      <c r="I963" t="inlineStr">
        <is>
          <t>CLASE</t>
        </is>
      </c>
      <c r="J963" t="inlineStr">
        <is>
          <t>CS202</t>
        </is>
      </c>
      <c r="K963" t="inlineStr">
        <is>
          <t>ETR</t>
        </is>
      </c>
      <c r="L963" t="inlineStr"/>
      <c r="M963" t="inlineStr"/>
      <c r="N963" t="inlineStr"/>
      <c r="O963" t="inlineStr">
        <is>
          <t>Ética / Religión (alternan cada semana)</t>
        </is>
      </c>
      <c r="P963" t="inlineStr">
        <is>
          <t>CS202-ETR</t>
        </is>
      </c>
      <c r="Q963">
        <f>IF(I963="ENFASIS","ÉNFASIS "&amp;M963,IFERROR(VLOOKUP(J963,Grupos!$A$2:$D$100,4,FALSE),J963))</f>
        <v/>
      </c>
      <c r="R963">
        <f>O963&amp;IF(N963&lt;&gt;"",IF(O963&lt;&gt;""," · ","")&amp;"Con: "&amp;N963,"")</f>
        <v/>
      </c>
      <c r="S963">
        <f>C963&amp;"|"&amp;D963</f>
        <v/>
      </c>
      <c r="T963">
        <f>COUNTIF($S$2:S963,S963)</f>
        <v/>
      </c>
      <c r="U963">
        <f>S963&amp;"|"&amp;T963</f>
        <v/>
      </c>
      <c r="V963">
        <f>IFERROR(VLOOKUP(IF(I963="ENFASIS",LEFT(M963,FIND("+",M963&amp;"+")-1),J963),Direccion_Grupo!$A$2:$G$100,7,FALSE),"")</f>
        <v/>
      </c>
    </row>
    <row r="964">
      <c r="A964" t="n">
        <v>56</v>
      </c>
      <c r="B964" t="inlineStr">
        <is>
          <t>Ortiz Estacio Martha Cecilia</t>
        </is>
      </c>
      <c r="C964" t="inlineStr">
        <is>
          <t>JUEVES</t>
        </is>
      </c>
      <c r="D964" t="n">
        <v>1</v>
      </c>
      <c r="E964" t="n">
        <v>1</v>
      </c>
      <c r="F964" t="n">
        <v>1</v>
      </c>
      <c r="G964" t="inlineStr">
        <is>
          <t>06:30</t>
        </is>
      </c>
      <c r="H964" t="inlineStr">
        <is>
          <t>07:15</t>
        </is>
      </c>
      <c r="I964" t="inlineStr">
        <is>
          <t>TUTORIA</t>
        </is>
      </c>
      <c r="J964" t="inlineStr">
        <is>
          <t>PTAFI</t>
        </is>
      </c>
      <c r="K964" t="inlineStr">
        <is>
          <t>TUTORÍA PTAFI</t>
        </is>
      </c>
      <c r="L964" t="inlineStr"/>
      <c r="M964" t="inlineStr"/>
      <c r="N964" t="inlineStr"/>
      <c r="O964" t="inlineStr">
        <is>
          <t>Jornada 06:30 a 12:00</t>
        </is>
      </c>
      <c r="P964" t="inlineStr"/>
      <c r="Q964">
        <f>IF(I964="ENFASIS","ÉNFASIS "&amp;M964,IFERROR(VLOOKUP(J964,Grupos!$A$2:$D$100,4,FALSE),J964))</f>
        <v/>
      </c>
      <c r="R964">
        <f>O964&amp;IF(N964&lt;&gt;"",IF(O964&lt;&gt;""," · ","")&amp;"Con: "&amp;N964,"")</f>
        <v/>
      </c>
      <c r="S964">
        <f>C964&amp;"|"&amp;D964</f>
        <v/>
      </c>
      <c r="T964">
        <f>COUNTIF($S$2:S964,S964)</f>
        <v/>
      </c>
      <c r="U964">
        <f>S964&amp;"|"&amp;T964</f>
        <v/>
      </c>
      <c r="V964">
        <f>IFERROR(VLOOKUP(IF(I964="ENFASIS",LEFT(M964,FIND("+",M964&amp;"+")-1),J964),Direccion_Grupo!$A$2:$G$100,7,FALSE),"")</f>
        <v/>
      </c>
    </row>
    <row r="965">
      <c r="A965" t="n">
        <v>44</v>
      </c>
      <c r="B965" t="inlineStr">
        <is>
          <t>Samaniego Angulo Flor Mireya</t>
        </is>
      </c>
      <c r="C965" t="inlineStr">
        <is>
          <t>JUEVES</t>
        </is>
      </c>
      <c r="D965" t="n">
        <v>1</v>
      </c>
      <c r="E965" t="n">
        <v>1</v>
      </c>
      <c r="F965" t="n">
        <v>1</v>
      </c>
      <c r="G965" t="inlineStr">
        <is>
          <t>06:30</t>
        </is>
      </c>
      <c r="H965" t="inlineStr">
        <is>
          <t>07:15</t>
        </is>
      </c>
      <c r="I965" t="inlineStr">
        <is>
          <t>ENFASIS</t>
        </is>
      </c>
      <c r="J965" t="inlineStr"/>
      <c r="K965" t="inlineStr">
        <is>
          <t>ART</t>
        </is>
      </c>
      <c r="L965" t="inlineStr">
        <is>
          <t>0701</t>
        </is>
      </c>
      <c r="M965" t="inlineStr">
        <is>
          <t>0701</t>
        </is>
      </c>
      <c r="N965" t="inlineStr">
        <is>
          <t>Valverde Montaño María Teresa (CAS)</t>
        </is>
      </c>
      <c r="O965" t="inlineStr">
        <is>
          <t>PAREJA: comparten el énfasis y alternan por semana</t>
        </is>
      </c>
      <c r="P965" t="inlineStr">
        <is>
          <t>ENFASIS-0701</t>
        </is>
      </c>
      <c r="Q965">
        <f>IF(I965="ENFASIS","ÉNFASIS "&amp;M965,IFERROR(VLOOKUP(J965,Grupos!$A$2:$D$100,4,FALSE),J965))</f>
        <v/>
      </c>
      <c r="R965">
        <f>O965&amp;IF(N965&lt;&gt;"",IF(O965&lt;&gt;""," · ","")&amp;"Con: "&amp;N965,"")</f>
        <v/>
      </c>
      <c r="S965">
        <f>C965&amp;"|"&amp;D965</f>
        <v/>
      </c>
      <c r="T965">
        <f>COUNTIF($S$2:S965,S965)</f>
        <v/>
      </c>
      <c r="U965">
        <f>S965&amp;"|"&amp;T965</f>
        <v/>
      </c>
      <c r="V965">
        <f>IFERROR(VLOOKUP(IF(I965="ENFASIS",LEFT(M965,FIND("+",M965&amp;"+")-1),J965),Direccion_Grupo!$A$2:$G$100,7,FALSE),"")</f>
        <v/>
      </c>
    </row>
    <row r="966">
      <c r="A966" t="n">
        <v>51</v>
      </c>
      <c r="B966" t="inlineStr">
        <is>
          <t>Valverde Montaño María Teresa</t>
        </is>
      </c>
      <c r="C966" t="inlineStr">
        <is>
          <t>JUEVES</t>
        </is>
      </c>
      <c r="D966" t="n">
        <v>1</v>
      </c>
      <c r="E966" t="n">
        <v>1</v>
      </c>
      <c r="F966" t="n">
        <v>1</v>
      </c>
      <c r="G966" t="inlineStr">
        <is>
          <t>06:30</t>
        </is>
      </c>
      <c r="H966" t="inlineStr">
        <is>
          <t>07:15</t>
        </is>
      </c>
      <c r="I966" t="inlineStr">
        <is>
          <t>ENFASIS</t>
        </is>
      </c>
      <c r="J966" t="inlineStr"/>
      <c r="K966" t="inlineStr">
        <is>
          <t>CAS</t>
        </is>
      </c>
      <c r="L966" t="inlineStr">
        <is>
          <t>0701</t>
        </is>
      </c>
      <c r="M966" t="inlineStr">
        <is>
          <t>0701</t>
        </is>
      </c>
      <c r="N966" t="inlineStr">
        <is>
          <t>Samaniego Angulo Flor Mireya (ART)</t>
        </is>
      </c>
      <c r="O966" t="inlineStr">
        <is>
          <t>PAREJA: comparten el énfasis y alternan por semana</t>
        </is>
      </c>
      <c r="P966" t="inlineStr">
        <is>
          <t>ENFASIS-0701</t>
        </is>
      </c>
      <c r="Q966">
        <f>IF(I966="ENFASIS","ÉNFASIS "&amp;M966,IFERROR(VLOOKUP(J966,Grupos!$A$2:$D$100,4,FALSE),J966))</f>
        <v/>
      </c>
      <c r="R966">
        <f>O966&amp;IF(N966&lt;&gt;"",IF(O966&lt;&gt;""," · ","")&amp;"Con: "&amp;N966,"")</f>
        <v/>
      </c>
      <c r="S966">
        <f>C966&amp;"|"&amp;D966</f>
        <v/>
      </c>
      <c r="T966">
        <f>COUNTIF($S$2:S966,S966)</f>
        <v/>
      </c>
      <c r="U966">
        <f>S966&amp;"|"&amp;T966</f>
        <v/>
      </c>
      <c r="V966">
        <f>IFERROR(VLOOKUP(IF(I966="ENFASIS",LEFT(M966,FIND("+",M966&amp;"+")-1),J966),Direccion_Grupo!$A$2:$G$100,7,FALSE),"")</f>
        <v/>
      </c>
    </row>
    <row r="967">
      <c r="A967" t="n">
        <v>34</v>
      </c>
      <c r="B967" t="inlineStr">
        <is>
          <t>Ordóñez Tenorio Jaime Marcial</t>
        </is>
      </c>
      <c r="C967" t="inlineStr">
        <is>
          <t>JUEVES</t>
        </is>
      </c>
      <c r="D967" t="n">
        <v>1</v>
      </c>
      <c r="E967" t="n">
        <v>1</v>
      </c>
      <c r="F967" t="n">
        <v>1</v>
      </c>
      <c r="G967" t="inlineStr">
        <is>
          <t>06:30</t>
        </is>
      </c>
      <c r="H967" t="inlineStr">
        <is>
          <t>07:15</t>
        </is>
      </c>
      <c r="I967" t="inlineStr">
        <is>
          <t>ENFASIS</t>
        </is>
      </c>
      <c r="J967" t="inlineStr"/>
      <c r="K967" t="inlineStr">
        <is>
          <t>CNA</t>
        </is>
      </c>
      <c r="L967" t="inlineStr">
        <is>
          <t>0702</t>
        </is>
      </c>
      <c r="M967" t="inlineStr">
        <is>
          <t>0702</t>
        </is>
      </c>
      <c r="N967" t="inlineStr">
        <is>
          <t>Armero Dájome Jesús (ERD)</t>
        </is>
      </c>
      <c r="O967" t="inlineStr">
        <is>
          <t>PAREJA: comparten el énfasis y alternan por semana</t>
        </is>
      </c>
      <c r="P967" t="inlineStr">
        <is>
          <t>ENFASIS-0702</t>
        </is>
      </c>
      <c r="Q967">
        <f>IF(I967="ENFASIS","ÉNFASIS "&amp;M967,IFERROR(VLOOKUP(J967,Grupos!$A$2:$D$100,4,FALSE),J967))</f>
        <v/>
      </c>
      <c r="R967">
        <f>O967&amp;IF(N967&lt;&gt;"",IF(O967&lt;&gt;""," · ","")&amp;"Con: "&amp;N967,"")</f>
        <v/>
      </c>
      <c r="S967">
        <f>C967&amp;"|"&amp;D967</f>
        <v/>
      </c>
      <c r="T967">
        <f>COUNTIF($S$2:S967,S967)</f>
        <v/>
      </c>
      <c r="U967">
        <f>S967&amp;"|"&amp;T967</f>
        <v/>
      </c>
      <c r="V967">
        <f>IFERROR(VLOOKUP(IF(I967="ENFASIS",LEFT(M967,FIND("+",M967&amp;"+")-1),J967),Direccion_Grupo!$A$2:$G$100,7,FALSE),"")</f>
        <v/>
      </c>
    </row>
    <row r="968">
      <c r="A968" t="n">
        <v>4</v>
      </c>
      <c r="B968" t="inlineStr">
        <is>
          <t>Arizala Castro Roberto Carlos</t>
        </is>
      </c>
      <c r="C968" t="inlineStr">
        <is>
          <t>JUEVES</t>
        </is>
      </c>
      <c r="D968" t="n">
        <v>1</v>
      </c>
      <c r="E968" t="n">
        <v>1</v>
      </c>
      <c r="F968" t="n">
        <v>1</v>
      </c>
      <c r="G968" t="inlineStr">
        <is>
          <t>06:30</t>
        </is>
      </c>
      <c r="H968" t="inlineStr">
        <is>
          <t>07:15</t>
        </is>
      </c>
      <c r="I968" t="inlineStr">
        <is>
          <t>ENFASIS</t>
        </is>
      </c>
      <c r="J968" t="inlineStr"/>
      <c r="K968" t="inlineStr">
        <is>
          <t>ERD</t>
        </is>
      </c>
      <c r="L968" t="inlineStr">
        <is>
          <t>0702</t>
        </is>
      </c>
      <c r="M968" t="inlineStr">
        <is>
          <t>0702</t>
        </is>
      </c>
      <c r="N968" t="inlineStr">
        <is>
          <t>Ordóñez Tenorio Jaime Marcial (CNA)</t>
        </is>
      </c>
      <c r="O968" t="inlineStr">
        <is>
          <t>PAREJA: comparten el énfasis y alternan por semana</t>
        </is>
      </c>
      <c r="P968" t="inlineStr">
        <is>
          <t>ENFASIS-0702</t>
        </is>
      </c>
      <c r="Q968">
        <f>IF(I968="ENFASIS","ÉNFASIS "&amp;M968,IFERROR(VLOOKUP(J968,Grupos!$A$2:$D$100,4,FALSE),J968))</f>
        <v/>
      </c>
      <c r="R968">
        <f>O968&amp;IF(N968&lt;&gt;"",IF(O968&lt;&gt;""," · ","")&amp;"Con: "&amp;N968,"")</f>
        <v/>
      </c>
      <c r="S968">
        <f>C968&amp;"|"&amp;D968</f>
        <v/>
      </c>
      <c r="T968">
        <f>COUNTIF($S$2:S968,S968)</f>
        <v/>
      </c>
      <c r="U968">
        <f>S968&amp;"|"&amp;T968</f>
        <v/>
      </c>
      <c r="V968">
        <f>IFERROR(VLOOKUP(IF(I968="ENFASIS",LEFT(M968,FIND("+",M968&amp;"+")-1),J968),Direccion_Grupo!$A$2:$G$100,7,FALSE),"")</f>
        <v/>
      </c>
    </row>
    <row r="969">
      <c r="A969" t="n">
        <v>8</v>
      </c>
      <c r="B969" t="inlineStr">
        <is>
          <t>Casanova Quiñones Yoli del Carmen</t>
        </is>
      </c>
      <c r="C969" t="inlineStr">
        <is>
          <t>JUEVES</t>
        </is>
      </c>
      <c r="D969" t="n">
        <v>1</v>
      </c>
      <c r="E969" t="n">
        <v>1</v>
      </c>
      <c r="F969" t="n">
        <v>1</v>
      </c>
      <c r="G969" t="inlineStr">
        <is>
          <t>06:30</t>
        </is>
      </c>
      <c r="H969" t="inlineStr">
        <is>
          <t>07:15</t>
        </is>
      </c>
      <c r="I969" t="inlineStr">
        <is>
          <t>ENFASIS</t>
        </is>
      </c>
      <c r="J969" t="inlineStr"/>
      <c r="K969" t="inlineStr">
        <is>
          <t>ETR</t>
        </is>
      </c>
      <c r="L969" t="inlineStr">
        <is>
          <t>0703</t>
        </is>
      </c>
      <c r="M969" t="inlineStr">
        <is>
          <t>0703</t>
        </is>
      </c>
      <c r="N969" t="inlineStr">
        <is>
          <t>Quintero Ramírez María del Carmen (CSI)</t>
        </is>
      </c>
      <c r="O969" t="inlineStr">
        <is>
          <t>PAREJA: comparten el énfasis y alternan por semana</t>
        </is>
      </c>
      <c r="P969" t="inlineStr">
        <is>
          <t>ENFASIS-0703</t>
        </is>
      </c>
      <c r="Q969">
        <f>IF(I969="ENFASIS","ÉNFASIS "&amp;M969,IFERROR(VLOOKUP(J969,Grupos!$A$2:$D$100,4,FALSE),J969))</f>
        <v/>
      </c>
      <c r="R969">
        <f>O969&amp;IF(N969&lt;&gt;"",IF(O969&lt;&gt;""," · ","")&amp;"Con: "&amp;N969,"")</f>
        <v/>
      </c>
      <c r="S969">
        <f>C969&amp;"|"&amp;D969</f>
        <v/>
      </c>
      <c r="T969">
        <f>COUNTIF($S$2:S969,S969)</f>
        <v/>
      </c>
      <c r="U969">
        <f>S969&amp;"|"&amp;T969</f>
        <v/>
      </c>
      <c r="V969">
        <f>IFERROR(VLOOKUP(IF(I969="ENFASIS",LEFT(M969,FIND("+",M969&amp;"+")-1),J969),Direccion_Grupo!$A$2:$G$100,7,FALSE),"")</f>
        <v/>
      </c>
    </row>
    <row r="970">
      <c r="A970" t="n">
        <v>41</v>
      </c>
      <c r="B970" t="inlineStr">
        <is>
          <t>Quintero Ramírez María del Carmen</t>
        </is>
      </c>
      <c r="C970" t="inlineStr">
        <is>
          <t>JUEVES</t>
        </is>
      </c>
      <c r="D970" t="n">
        <v>1</v>
      </c>
      <c r="E970" t="n">
        <v>1</v>
      </c>
      <c r="F970" t="n">
        <v>1</v>
      </c>
      <c r="G970" t="inlineStr">
        <is>
          <t>06:30</t>
        </is>
      </c>
      <c r="H970" t="inlineStr">
        <is>
          <t>07:15</t>
        </is>
      </c>
      <c r="I970" t="inlineStr">
        <is>
          <t>ENFASIS</t>
        </is>
      </c>
      <c r="J970" t="inlineStr"/>
      <c r="K970" t="inlineStr">
        <is>
          <t>CSI</t>
        </is>
      </c>
      <c r="L970" t="inlineStr">
        <is>
          <t>0703</t>
        </is>
      </c>
      <c r="M970" t="inlineStr">
        <is>
          <t>0703</t>
        </is>
      </c>
      <c r="N970" t="inlineStr">
        <is>
          <t>Casanova Quiñones Yoli del Carmen (ETR)</t>
        </is>
      </c>
      <c r="O970" t="inlineStr">
        <is>
          <t>PAREJA: comparten el énfasis y alternan por semana</t>
        </is>
      </c>
      <c r="P970" t="inlineStr">
        <is>
          <t>ENFASIS-0703</t>
        </is>
      </c>
      <c r="Q970">
        <f>IF(I970="ENFASIS","ÉNFASIS "&amp;M970,IFERROR(VLOOKUP(J970,Grupos!$A$2:$D$100,4,FALSE),J970))</f>
        <v/>
      </c>
      <c r="R970">
        <f>O970&amp;IF(N970&lt;&gt;"",IF(O970&lt;&gt;""," · ","")&amp;"Con: "&amp;N970,"")</f>
        <v/>
      </c>
      <c r="S970">
        <f>C970&amp;"|"&amp;D970</f>
        <v/>
      </c>
      <c r="T970">
        <f>COUNTIF($S$2:S970,S970)</f>
        <v/>
      </c>
      <c r="U970">
        <f>S970&amp;"|"&amp;T970</f>
        <v/>
      </c>
      <c r="V970">
        <f>IFERROR(VLOOKUP(IF(I970="ENFASIS",LEFT(M970,FIND("+",M970&amp;"+")-1),J970),Direccion_Grupo!$A$2:$G$100,7,FALSE),"")</f>
        <v/>
      </c>
    </row>
    <row r="971">
      <c r="A971" t="n">
        <v>5</v>
      </c>
      <c r="B971" t="inlineStr">
        <is>
          <t>Bastidas Valencia Zeneida Judith</t>
        </is>
      </c>
      <c r="C971" t="inlineStr">
        <is>
          <t>JUEVES</t>
        </is>
      </c>
      <c r="D971" t="n">
        <v>1</v>
      </c>
      <c r="E971" t="n">
        <v>1</v>
      </c>
      <c r="F971" t="n">
        <v>1</v>
      </c>
      <c r="G971" t="inlineStr">
        <is>
          <t>06:30</t>
        </is>
      </c>
      <c r="H971" t="inlineStr">
        <is>
          <t>07:15</t>
        </is>
      </c>
      <c r="I971" t="inlineStr">
        <is>
          <t>ENFASIS</t>
        </is>
      </c>
      <c r="J971" t="inlineStr"/>
      <c r="K971" t="inlineStr">
        <is>
          <t>MAT</t>
        </is>
      </c>
      <c r="L971" t="inlineStr">
        <is>
          <t>0902</t>
        </is>
      </c>
      <c r="M971" t="inlineStr">
        <is>
          <t>0902</t>
        </is>
      </c>
      <c r="N971" t="inlineStr">
        <is>
          <t>Betancourth Ocampo Yohana Patricia (CSI); Estacio Estupiñán Rosario (ETR); Mindineros Satizábal John Jáver (TEI)</t>
        </is>
      </c>
      <c r="O971" t="inlineStr">
        <is>
          <t>EQUIPO DE 4: cada docente atiende un grupo de estudiantes en su área</t>
        </is>
      </c>
      <c r="P971" t="inlineStr">
        <is>
          <t>ENFASIS-0902</t>
        </is>
      </c>
      <c r="Q971">
        <f>IF(I971="ENFASIS","ÉNFASIS "&amp;M971,IFERROR(VLOOKUP(J971,Grupos!$A$2:$D$100,4,FALSE),J971))</f>
        <v/>
      </c>
      <c r="R971">
        <f>O971&amp;IF(N971&lt;&gt;"",IF(O971&lt;&gt;""," · ","")&amp;"Con: "&amp;N971,"")</f>
        <v/>
      </c>
      <c r="S971">
        <f>C971&amp;"|"&amp;D971</f>
        <v/>
      </c>
      <c r="T971">
        <f>COUNTIF($S$2:S971,S971)</f>
        <v/>
      </c>
      <c r="U971">
        <f>S971&amp;"|"&amp;T971</f>
        <v/>
      </c>
      <c r="V971">
        <f>IFERROR(VLOOKUP(IF(I971="ENFASIS",LEFT(M971,FIND("+",M971&amp;"+")-1),J971),Direccion_Grupo!$A$2:$G$100,7,FALSE),"")</f>
        <v/>
      </c>
    </row>
    <row r="972">
      <c r="A972" t="n">
        <v>6</v>
      </c>
      <c r="B972" t="inlineStr">
        <is>
          <t>Betancourth Ocampo Yohana Patricia</t>
        </is>
      </c>
      <c r="C972" t="inlineStr">
        <is>
          <t>JUEVES</t>
        </is>
      </c>
      <c r="D972" t="n">
        <v>1</v>
      </c>
      <c r="E972" t="n">
        <v>1</v>
      </c>
      <c r="F972" t="n">
        <v>1</v>
      </c>
      <c r="G972" t="inlineStr">
        <is>
          <t>06:30</t>
        </is>
      </c>
      <c r="H972" t="inlineStr">
        <is>
          <t>07:15</t>
        </is>
      </c>
      <c r="I972" t="inlineStr">
        <is>
          <t>ENFASIS</t>
        </is>
      </c>
      <c r="J972" t="inlineStr"/>
      <c r="K972" t="inlineStr">
        <is>
          <t>CSI</t>
        </is>
      </c>
      <c r="L972" t="inlineStr">
        <is>
          <t>0902</t>
        </is>
      </c>
      <c r="M972" t="inlineStr">
        <is>
          <t>0902</t>
        </is>
      </c>
      <c r="N972" t="inlineStr">
        <is>
          <t>Estacio Estupiñán Rosario (ETR); Bastidas Valencia Zeneida Judith (MAT); Mindineros Satizábal John Jáver (TEI)</t>
        </is>
      </c>
      <c r="O972" t="inlineStr">
        <is>
          <t>EQUIPO DE 4: cada docente atiende un grupo de estudiantes en su área</t>
        </is>
      </c>
      <c r="P972" t="inlineStr">
        <is>
          <t>ENFASIS-0902</t>
        </is>
      </c>
      <c r="Q972">
        <f>IF(I972="ENFASIS","ÉNFASIS "&amp;M972,IFERROR(VLOOKUP(J972,Grupos!$A$2:$D$100,4,FALSE),J972))</f>
        <v/>
      </c>
      <c r="R972">
        <f>O972&amp;IF(N972&lt;&gt;"",IF(O972&lt;&gt;""," · ","")&amp;"Con: "&amp;N972,"")</f>
        <v/>
      </c>
      <c r="S972">
        <f>C972&amp;"|"&amp;D972</f>
        <v/>
      </c>
      <c r="T972">
        <f>COUNTIF($S$2:S972,S972)</f>
        <v/>
      </c>
      <c r="U972">
        <f>S972&amp;"|"&amp;T972</f>
        <v/>
      </c>
      <c r="V972">
        <f>IFERROR(VLOOKUP(IF(I972="ENFASIS",LEFT(M972,FIND("+",M972&amp;"+")-1),J972),Direccion_Grupo!$A$2:$G$100,7,FALSE),"")</f>
        <v/>
      </c>
    </row>
    <row r="973">
      <c r="A973" t="n">
        <v>18</v>
      </c>
      <c r="B973" t="inlineStr">
        <is>
          <t>Estacio Estupiñán Rosario</t>
        </is>
      </c>
      <c r="C973" t="inlineStr">
        <is>
          <t>JUEVES</t>
        </is>
      </c>
      <c r="D973" t="n">
        <v>1</v>
      </c>
      <c r="E973" t="n">
        <v>1</v>
      </c>
      <c r="F973" t="n">
        <v>1</v>
      </c>
      <c r="G973" t="inlineStr">
        <is>
          <t>06:30</t>
        </is>
      </c>
      <c r="H973" t="inlineStr">
        <is>
          <t>07:15</t>
        </is>
      </c>
      <c r="I973" t="inlineStr">
        <is>
          <t>ENFASIS</t>
        </is>
      </c>
      <c r="J973" t="inlineStr"/>
      <c r="K973" t="inlineStr">
        <is>
          <t>ETR</t>
        </is>
      </c>
      <c r="L973" t="inlineStr">
        <is>
          <t>0902</t>
        </is>
      </c>
      <c r="M973" t="inlineStr">
        <is>
          <t>0902</t>
        </is>
      </c>
      <c r="N973" t="inlineStr">
        <is>
          <t>Betancourth Ocampo Yohana Patricia (CSI); Bastidas Valencia Zeneida Judith (MAT); Mindineros Satizábal John Jáver (TEI)</t>
        </is>
      </c>
      <c r="O973" t="inlineStr">
        <is>
          <t>EQUIPO DE 4: cada docente atiende un grupo de estudiantes en su área</t>
        </is>
      </c>
      <c r="P973" t="inlineStr">
        <is>
          <t>ENFASIS-0902</t>
        </is>
      </c>
      <c r="Q973">
        <f>IF(I973="ENFASIS","ÉNFASIS "&amp;M973,IFERROR(VLOOKUP(J973,Grupos!$A$2:$D$100,4,FALSE),J973))</f>
        <v/>
      </c>
      <c r="R973">
        <f>O973&amp;IF(N973&lt;&gt;"",IF(O973&lt;&gt;""," · ","")&amp;"Con: "&amp;N973,"")</f>
        <v/>
      </c>
      <c r="S973">
        <f>C973&amp;"|"&amp;D973</f>
        <v/>
      </c>
      <c r="T973">
        <f>COUNTIF($S$2:S973,S973)</f>
        <v/>
      </c>
      <c r="U973">
        <f>S973&amp;"|"&amp;T973</f>
        <v/>
      </c>
      <c r="V973">
        <f>IFERROR(VLOOKUP(IF(I973="ENFASIS",LEFT(M973,FIND("+",M973&amp;"+")-1),J973),Direccion_Grupo!$A$2:$G$100,7,FALSE),"")</f>
        <v/>
      </c>
    </row>
    <row r="974">
      <c r="A974" t="n">
        <v>29</v>
      </c>
      <c r="B974" t="inlineStr">
        <is>
          <t>Mindineros Satizábal John Jáver</t>
        </is>
      </c>
      <c r="C974" t="inlineStr">
        <is>
          <t>JUEVES</t>
        </is>
      </c>
      <c r="D974" t="n">
        <v>1</v>
      </c>
      <c r="E974" t="n">
        <v>1</v>
      </c>
      <c r="F974" t="n">
        <v>1</v>
      </c>
      <c r="G974" t="inlineStr">
        <is>
          <t>06:30</t>
        </is>
      </c>
      <c r="H974" t="inlineStr">
        <is>
          <t>07:15</t>
        </is>
      </c>
      <c r="I974" t="inlineStr">
        <is>
          <t>ENFASIS</t>
        </is>
      </c>
      <c r="J974" t="inlineStr"/>
      <c r="K974" t="inlineStr">
        <is>
          <t>TEI</t>
        </is>
      </c>
      <c r="L974" t="inlineStr">
        <is>
          <t>0902</t>
        </is>
      </c>
      <c r="M974" t="inlineStr">
        <is>
          <t>0902</t>
        </is>
      </c>
      <c r="N974" t="inlineStr">
        <is>
          <t>Betancourth Ocampo Yohana Patricia (CSI); Estacio Estupiñán Rosario (ETR); Bastidas Valencia Zeneida Judith (MAT)</t>
        </is>
      </c>
      <c r="O974" t="inlineStr">
        <is>
          <t>EQUIPO DE 4: cada docente atiende un grupo de estudiantes en su área</t>
        </is>
      </c>
      <c r="P974" t="inlineStr">
        <is>
          <t>ENFASIS-0902</t>
        </is>
      </c>
      <c r="Q974">
        <f>IF(I974="ENFASIS","ÉNFASIS "&amp;M974,IFERROR(VLOOKUP(J974,Grupos!$A$2:$D$100,4,FALSE),J974))</f>
        <v/>
      </c>
      <c r="R974">
        <f>O974&amp;IF(N974&lt;&gt;"",IF(O974&lt;&gt;""," · ","")&amp;"Con: "&amp;N974,"")</f>
        <v/>
      </c>
      <c r="S974">
        <f>C974&amp;"|"&amp;D974</f>
        <v/>
      </c>
      <c r="T974">
        <f>COUNTIF($S$2:S974,S974)</f>
        <v/>
      </c>
      <c r="U974">
        <f>S974&amp;"|"&amp;T974</f>
        <v/>
      </c>
      <c r="V974">
        <f>IFERROR(VLOOKUP(IF(I974="ENFASIS",LEFT(M974,FIND("+",M974&amp;"+")-1),J974),Direccion_Grupo!$A$2:$G$100,7,FALSE),"")</f>
        <v/>
      </c>
    </row>
    <row r="975">
      <c r="A975" t="n">
        <v>20</v>
      </c>
      <c r="B975" t="inlineStr">
        <is>
          <t>García Gobea Saydi Magali</t>
        </is>
      </c>
      <c r="C975" t="inlineStr">
        <is>
          <t>JUEVES</t>
        </is>
      </c>
      <c r="D975" t="n">
        <v>1</v>
      </c>
      <c r="E975" t="n">
        <v>1</v>
      </c>
      <c r="F975" t="n">
        <v>1</v>
      </c>
      <c r="G975" t="inlineStr">
        <is>
          <t>06:30</t>
        </is>
      </c>
      <c r="H975" t="inlineStr">
        <is>
          <t>07:15</t>
        </is>
      </c>
      <c r="I975" t="inlineStr">
        <is>
          <t>ENFASIS</t>
        </is>
      </c>
      <c r="J975" t="inlineStr"/>
      <c r="K975" t="inlineStr">
        <is>
          <t>CSI</t>
        </is>
      </c>
      <c r="L975" t="inlineStr">
        <is>
          <t>CS101</t>
        </is>
      </c>
      <c r="M975" t="inlineStr">
        <is>
          <t>CS101</t>
        </is>
      </c>
      <c r="N975" t="inlineStr">
        <is>
          <t>Lozano Torres Amanda Inés (ETR)</t>
        </is>
      </c>
      <c r="O975" t="inlineStr">
        <is>
          <t>PAREJA: comparten el énfasis y alternan por semana</t>
        </is>
      </c>
      <c r="P975" t="inlineStr">
        <is>
          <t>ENFASIS-CS101</t>
        </is>
      </c>
      <c r="Q975">
        <f>IF(I975="ENFASIS","ÉNFASIS "&amp;M975,IFERROR(VLOOKUP(J975,Grupos!$A$2:$D$100,4,FALSE),J975))</f>
        <v/>
      </c>
      <c r="R975">
        <f>O975&amp;IF(N975&lt;&gt;"",IF(O975&lt;&gt;""," · ","")&amp;"Con: "&amp;N975,"")</f>
        <v/>
      </c>
      <c r="S975">
        <f>C975&amp;"|"&amp;D975</f>
        <v/>
      </c>
      <c r="T975">
        <f>COUNTIF($S$2:S975,S975)</f>
        <v/>
      </c>
      <c r="U975">
        <f>S975&amp;"|"&amp;T975</f>
        <v/>
      </c>
      <c r="V975">
        <f>IFERROR(VLOOKUP(IF(I975="ENFASIS",LEFT(M975,FIND("+",M975&amp;"+")-1),J975),Direccion_Grupo!$A$2:$G$100,7,FALSE),"")</f>
        <v/>
      </c>
    </row>
    <row r="976">
      <c r="A976" t="n">
        <v>26</v>
      </c>
      <c r="B976" t="inlineStr">
        <is>
          <t>Lozano Torres Amanda Inés</t>
        </is>
      </c>
      <c r="C976" t="inlineStr">
        <is>
          <t>JUEVES</t>
        </is>
      </c>
      <c r="D976" t="n">
        <v>1</v>
      </c>
      <c r="E976" t="n">
        <v>1</v>
      </c>
      <c r="F976" t="n">
        <v>1</v>
      </c>
      <c r="G976" t="inlineStr">
        <is>
          <t>06:30</t>
        </is>
      </c>
      <c r="H976" t="inlineStr">
        <is>
          <t>07:15</t>
        </is>
      </c>
      <c r="I976" t="inlineStr">
        <is>
          <t>ENFASIS</t>
        </is>
      </c>
      <c r="J976" t="inlineStr"/>
      <c r="K976" t="inlineStr">
        <is>
          <t>ETR</t>
        </is>
      </c>
      <c r="L976" t="inlineStr">
        <is>
          <t>CS101</t>
        </is>
      </c>
      <c r="M976" t="inlineStr">
        <is>
          <t>CS101</t>
        </is>
      </c>
      <c r="N976" t="inlineStr">
        <is>
          <t>García Gobea Saydi Magali (CSI)</t>
        </is>
      </c>
      <c r="O976" t="inlineStr">
        <is>
          <t>PAREJA: comparten el énfasis y alternan por semana</t>
        </is>
      </c>
      <c r="P976" t="inlineStr">
        <is>
          <t>ENFASIS-CS101</t>
        </is>
      </c>
      <c r="Q976">
        <f>IF(I976="ENFASIS","ÉNFASIS "&amp;M976,IFERROR(VLOOKUP(J976,Grupos!$A$2:$D$100,4,FALSE),J976))</f>
        <v/>
      </c>
      <c r="R976">
        <f>O976&amp;IF(N976&lt;&gt;"",IF(O976&lt;&gt;""," · ","")&amp;"Con: "&amp;N976,"")</f>
        <v/>
      </c>
      <c r="S976">
        <f>C976&amp;"|"&amp;D976</f>
        <v/>
      </c>
      <c r="T976">
        <f>COUNTIF($S$2:S976,S976)</f>
        <v/>
      </c>
      <c r="U976">
        <f>S976&amp;"|"&amp;T976</f>
        <v/>
      </c>
      <c r="V976">
        <f>IFERROR(VLOOKUP(IF(I976="ENFASIS",LEFT(M976,FIND("+",M976&amp;"+")-1),J976),Direccion_Grupo!$A$2:$G$100,7,FALSE),"")</f>
        <v/>
      </c>
    </row>
    <row r="977">
      <c r="A977" t="n">
        <v>1</v>
      </c>
      <c r="B977" t="inlineStr">
        <is>
          <t>Aguirre Riascos Jorge Andrés</t>
        </is>
      </c>
      <c r="C977" t="inlineStr">
        <is>
          <t>JUEVES</t>
        </is>
      </c>
      <c r="D977" t="n">
        <v>1</v>
      </c>
      <c r="E977" t="n">
        <v>1</v>
      </c>
      <c r="F977" t="n">
        <v>1</v>
      </c>
      <c r="G977" t="inlineStr">
        <is>
          <t>06:30</t>
        </is>
      </c>
      <c r="H977" t="inlineStr">
        <is>
          <t>07:15</t>
        </is>
      </c>
      <c r="I977" t="inlineStr">
        <is>
          <t>ENFASIS</t>
        </is>
      </c>
      <c r="J977" t="inlineStr"/>
      <c r="K977" t="inlineStr">
        <is>
          <t>TEI</t>
        </is>
      </c>
      <c r="L977" t="inlineStr">
        <is>
          <t>CS102</t>
        </is>
      </c>
      <c r="M977" t="inlineStr">
        <is>
          <t>CS102</t>
        </is>
      </c>
      <c r="N977" t="inlineStr">
        <is>
          <t>Vásquez Valencia Segundo Leoncio (MAT)</t>
        </is>
      </c>
      <c r="O977" t="inlineStr">
        <is>
          <t>PAREJA: comparten el énfasis y alternan por semana</t>
        </is>
      </c>
      <c r="P977" t="inlineStr">
        <is>
          <t>ENFASIS-CS102</t>
        </is>
      </c>
      <c r="Q977">
        <f>IF(I977="ENFASIS","ÉNFASIS "&amp;M977,IFERROR(VLOOKUP(J977,Grupos!$A$2:$D$100,4,FALSE),J977))</f>
        <v/>
      </c>
      <c r="R977">
        <f>O977&amp;IF(N977&lt;&gt;"",IF(O977&lt;&gt;""," · ","")&amp;"Con: "&amp;N977,"")</f>
        <v/>
      </c>
      <c r="S977">
        <f>C977&amp;"|"&amp;D977</f>
        <v/>
      </c>
      <c r="T977">
        <f>COUNTIF($S$2:S977,S977)</f>
        <v/>
      </c>
      <c r="U977">
        <f>S977&amp;"|"&amp;T977</f>
        <v/>
      </c>
      <c r="V977">
        <f>IFERROR(VLOOKUP(IF(I977="ENFASIS",LEFT(M977,FIND("+",M977&amp;"+")-1),J977),Direccion_Grupo!$A$2:$G$100,7,FALSE),"")</f>
        <v/>
      </c>
    </row>
    <row r="978">
      <c r="A978" t="n">
        <v>52</v>
      </c>
      <c r="B978" t="inlineStr">
        <is>
          <t>Vásquez Valencia Segundo Leoncio</t>
        </is>
      </c>
      <c r="C978" t="inlineStr">
        <is>
          <t>JUEVES</t>
        </is>
      </c>
      <c r="D978" t="n">
        <v>1</v>
      </c>
      <c r="E978" t="n">
        <v>1</v>
      </c>
      <c r="F978" t="n">
        <v>1</v>
      </c>
      <c r="G978" t="inlineStr">
        <is>
          <t>06:30</t>
        </is>
      </c>
      <c r="H978" t="inlineStr">
        <is>
          <t>07:15</t>
        </is>
      </c>
      <c r="I978" t="inlineStr">
        <is>
          <t>ENFASIS</t>
        </is>
      </c>
      <c r="J978" t="inlineStr"/>
      <c r="K978" t="inlineStr">
        <is>
          <t>MAT</t>
        </is>
      </c>
      <c r="L978" t="inlineStr">
        <is>
          <t>CS102</t>
        </is>
      </c>
      <c r="M978" t="inlineStr">
        <is>
          <t>CS102</t>
        </is>
      </c>
      <c r="N978" t="inlineStr">
        <is>
          <t>Aguirre Riascos Jorge Andrés (TEI)</t>
        </is>
      </c>
      <c r="O978" t="inlineStr">
        <is>
          <t>PAREJA: comparten el énfasis y alternan por semana</t>
        </is>
      </c>
      <c r="P978" t="inlineStr">
        <is>
          <t>ENFASIS-CS102</t>
        </is>
      </c>
      <c r="Q978">
        <f>IF(I978="ENFASIS","ÉNFASIS "&amp;M978,IFERROR(VLOOKUP(J978,Grupos!$A$2:$D$100,4,FALSE),J978))</f>
        <v/>
      </c>
      <c r="R978">
        <f>O978&amp;IF(N978&lt;&gt;"",IF(O978&lt;&gt;""," · ","")&amp;"Con: "&amp;N978,"")</f>
        <v/>
      </c>
      <c r="S978">
        <f>C978&amp;"|"&amp;D978</f>
        <v/>
      </c>
      <c r="T978">
        <f>COUNTIF($S$2:S978,S978)</f>
        <v/>
      </c>
      <c r="U978">
        <f>S978&amp;"|"&amp;T978</f>
        <v/>
      </c>
      <c r="V978">
        <f>IFERROR(VLOOKUP(IF(I978="ENFASIS",LEFT(M978,FIND("+",M978&amp;"+")-1),J978),Direccion_Grupo!$A$2:$G$100,7,FALSE),"")</f>
        <v/>
      </c>
    </row>
    <row r="979">
      <c r="A979" t="n">
        <v>23</v>
      </c>
      <c r="B979" t="inlineStr">
        <is>
          <t>Landázuri Quiñones María Elia</t>
        </is>
      </c>
      <c r="C979" t="inlineStr">
        <is>
          <t>JUEVES</t>
        </is>
      </c>
      <c r="D979" t="n">
        <v>2</v>
      </c>
      <c r="E979" t="n">
        <v>1</v>
      </c>
      <c r="F979" t="n">
        <v>2</v>
      </c>
      <c r="G979" t="inlineStr">
        <is>
          <t>07:15</t>
        </is>
      </c>
      <c r="H979" t="inlineStr">
        <is>
          <t>08:00</t>
        </is>
      </c>
      <c r="I979" t="inlineStr">
        <is>
          <t>AREAS_MULTIPLES</t>
        </is>
      </c>
      <c r="J979" t="inlineStr">
        <is>
          <t>0101</t>
        </is>
      </c>
      <c r="K979" t="inlineStr">
        <is>
          <t>ÁREAS MÚLTIPLES</t>
        </is>
      </c>
      <c r="L979" t="inlineStr"/>
      <c r="M979" t="inlineStr"/>
      <c r="N979" t="inlineStr"/>
      <c r="O979" t="inlineStr">
        <is>
          <t>Maestro de aula: todas las áreas con su grupo</t>
        </is>
      </c>
      <c r="P979" t="inlineStr"/>
      <c r="Q979">
        <f>IF(I979="ENFASIS","ÉNFASIS "&amp;M979,IFERROR(VLOOKUP(J979,Grupos!$A$2:$D$100,4,FALSE),J979))</f>
        <v/>
      </c>
      <c r="R979">
        <f>O979&amp;IF(N979&lt;&gt;"",IF(O979&lt;&gt;""," · ","")&amp;"Con: "&amp;N979,"")</f>
        <v/>
      </c>
      <c r="S979">
        <f>C979&amp;"|"&amp;D979</f>
        <v/>
      </c>
      <c r="T979">
        <f>COUNTIF($S$2:S979,S979)</f>
        <v/>
      </c>
      <c r="U979">
        <f>S979&amp;"|"&amp;T979</f>
        <v/>
      </c>
      <c r="V979">
        <f>IFERROR(VLOOKUP(IF(I979="ENFASIS",LEFT(M979,FIND("+",M979&amp;"+")-1),J979),Direccion_Grupo!$A$2:$G$100,7,FALSE),"")</f>
        <v/>
      </c>
    </row>
    <row r="980">
      <c r="A980" t="n">
        <v>45</v>
      </c>
      <c r="B980" t="inlineStr">
        <is>
          <t>Sinisterra Ana Lucía</t>
        </is>
      </c>
      <c r="C980" t="inlineStr">
        <is>
          <t>JUEVES</t>
        </is>
      </c>
      <c r="D980" t="n">
        <v>2</v>
      </c>
      <c r="E980" t="n">
        <v>1</v>
      </c>
      <c r="F980" t="n">
        <v>2</v>
      </c>
      <c r="G980" t="inlineStr">
        <is>
          <t>07:15</t>
        </is>
      </c>
      <c r="H980" t="inlineStr">
        <is>
          <t>08:00</t>
        </is>
      </c>
      <c r="I980" t="inlineStr">
        <is>
          <t>AREAS_MULTIPLES</t>
        </is>
      </c>
      <c r="J980" t="inlineStr">
        <is>
          <t>0102</t>
        </is>
      </c>
      <c r="K980" t="inlineStr">
        <is>
          <t>ÁREAS MÚLTIPLES</t>
        </is>
      </c>
      <c r="L980" t="inlineStr"/>
      <c r="M980" t="inlineStr"/>
      <c r="N980" t="inlineStr"/>
      <c r="O980" t="inlineStr">
        <is>
          <t>Maestro de aula: todas las áreas con su grupo</t>
        </is>
      </c>
      <c r="P980" t="inlineStr"/>
      <c r="Q980">
        <f>IF(I980="ENFASIS","ÉNFASIS "&amp;M980,IFERROR(VLOOKUP(J980,Grupos!$A$2:$D$100,4,FALSE),J980))</f>
        <v/>
      </c>
      <c r="R980">
        <f>O980&amp;IF(N980&lt;&gt;"",IF(O980&lt;&gt;""," · ","")&amp;"Con: "&amp;N980,"")</f>
        <v/>
      </c>
      <c r="S980">
        <f>C980&amp;"|"&amp;D980</f>
        <v/>
      </c>
      <c r="T980">
        <f>COUNTIF($S$2:S980,S980)</f>
        <v/>
      </c>
      <c r="U980">
        <f>S980&amp;"|"&amp;T980</f>
        <v/>
      </c>
      <c r="V980">
        <f>IFERROR(VLOOKUP(IF(I980="ENFASIS",LEFT(M980,FIND("+",M980&amp;"+")-1),J980),Direccion_Grupo!$A$2:$G$100,7,FALSE),"")</f>
        <v/>
      </c>
    </row>
    <row r="981">
      <c r="A981" t="n">
        <v>13</v>
      </c>
      <c r="B981" t="inlineStr">
        <is>
          <t>Cortés Salazar María Ebelice</t>
        </is>
      </c>
      <c r="C981" t="inlineStr">
        <is>
          <t>JUEVES</t>
        </is>
      </c>
      <c r="D981" t="n">
        <v>2</v>
      </c>
      <c r="E981" t="n">
        <v>1</v>
      </c>
      <c r="F981" t="n">
        <v>2</v>
      </c>
      <c r="G981" t="inlineStr">
        <is>
          <t>07:15</t>
        </is>
      </c>
      <c r="H981" t="inlineStr">
        <is>
          <t>08:00</t>
        </is>
      </c>
      <c r="I981" t="inlineStr">
        <is>
          <t>AREAS_MULTIPLES</t>
        </is>
      </c>
      <c r="J981" t="inlineStr">
        <is>
          <t>0201</t>
        </is>
      </c>
      <c r="K981" t="inlineStr">
        <is>
          <t>ÁREAS MÚLTIPLES</t>
        </is>
      </c>
      <c r="L981" t="inlineStr"/>
      <c r="M981" t="inlineStr"/>
      <c r="N981" t="inlineStr"/>
      <c r="O981" t="inlineStr">
        <is>
          <t>Maestro de aula: todas las áreas con su grupo</t>
        </is>
      </c>
      <c r="P981" t="inlineStr"/>
      <c r="Q981">
        <f>IF(I981="ENFASIS","ÉNFASIS "&amp;M981,IFERROR(VLOOKUP(J981,Grupos!$A$2:$D$100,4,FALSE),J981))</f>
        <v/>
      </c>
      <c r="R981">
        <f>O981&amp;IF(N981&lt;&gt;"",IF(O981&lt;&gt;""," · ","")&amp;"Con: "&amp;N981,"")</f>
        <v/>
      </c>
      <c r="S981">
        <f>C981&amp;"|"&amp;D981</f>
        <v/>
      </c>
      <c r="T981">
        <f>COUNTIF($S$2:S981,S981)</f>
        <v/>
      </c>
      <c r="U981">
        <f>S981&amp;"|"&amp;T981</f>
        <v/>
      </c>
      <c r="V981">
        <f>IFERROR(VLOOKUP(IF(I981="ENFASIS",LEFT(M981,FIND("+",M981&amp;"+")-1),J981),Direccion_Grupo!$A$2:$G$100,7,FALSE),"")</f>
        <v/>
      </c>
    </row>
    <row r="982">
      <c r="A982" t="n">
        <v>21</v>
      </c>
      <c r="B982" t="inlineStr">
        <is>
          <t>Garzón Quiñones Sixta Janina</t>
        </is>
      </c>
      <c r="C982" t="inlineStr">
        <is>
          <t>JUEVES</t>
        </is>
      </c>
      <c r="D982" t="n">
        <v>2</v>
      </c>
      <c r="E982" t="n">
        <v>1</v>
      </c>
      <c r="F982" t="n">
        <v>2</v>
      </c>
      <c r="G982" t="inlineStr">
        <is>
          <t>07:15</t>
        </is>
      </c>
      <c r="H982" t="inlineStr">
        <is>
          <t>08:00</t>
        </is>
      </c>
      <c r="I982" t="inlineStr">
        <is>
          <t>AREAS_MULTIPLES</t>
        </is>
      </c>
      <c r="J982" t="inlineStr">
        <is>
          <t>0202</t>
        </is>
      </c>
      <c r="K982" t="inlineStr">
        <is>
          <t>ÁREAS MÚLTIPLES</t>
        </is>
      </c>
      <c r="L982" t="inlineStr"/>
      <c r="M982" t="inlineStr"/>
      <c r="N982" t="inlineStr"/>
      <c r="O982" t="inlineStr">
        <is>
          <t>Maestro de aula: todas las áreas con su grupo</t>
        </is>
      </c>
      <c r="P982" t="inlineStr"/>
      <c r="Q982">
        <f>IF(I982="ENFASIS","ÉNFASIS "&amp;M982,IFERROR(VLOOKUP(J982,Grupos!$A$2:$D$100,4,FALSE),J982))</f>
        <v/>
      </c>
      <c r="R982">
        <f>O982&amp;IF(N982&lt;&gt;"",IF(O982&lt;&gt;""," · ","")&amp;"Con: "&amp;N982,"")</f>
        <v/>
      </c>
      <c r="S982">
        <f>C982&amp;"|"&amp;D982</f>
        <v/>
      </c>
      <c r="T982">
        <f>COUNTIF($S$2:S982,S982)</f>
        <v/>
      </c>
      <c r="U982">
        <f>S982&amp;"|"&amp;T982</f>
        <v/>
      </c>
      <c r="V982">
        <f>IFERROR(VLOOKUP(IF(I982="ENFASIS",LEFT(M982,FIND("+",M982&amp;"+")-1),J982),Direccion_Grupo!$A$2:$G$100,7,FALSE),"")</f>
        <v/>
      </c>
    </row>
    <row r="983">
      <c r="A983" t="n">
        <v>46</v>
      </c>
      <c r="B983" t="inlineStr">
        <is>
          <t>Tenorio Cuero Lucy Bivian</t>
        </is>
      </c>
      <c r="C983" t="inlineStr">
        <is>
          <t>JUEVES</t>
        </is>
      </c>
      <c r="D983" t="n">
        <v>2</v>
      </c>
      <c r="E983" t="n">
        <v>1</v>
      </c>
      <c r="F983" t="n">
        <v>2</v>
      </c>
      <c r="G983" t="inlineStr">
        <is>
          <t>07:15</t>
        </is>
      </c>
      <c r="H983" t="inlineStr">
        <is>
          <t>08:00</t>
        </is>
      </c>
      <c r="I983" t="inlineStr">
        <is>
          <t>AREAS_MULTIPLES</t>
        </is>
      </c>
      <c r="J983" t="inlineStr">
        <is>
          <t>0203</t>
        </is>
      </c>
      <c r="K983" t="inlineStr">
        <is>
          <t>ÁREAS MÚLTIPLES</t>
        </is>
      </c>
      <c r="L983" t="inlineStr"/>
      <c r="M983" t="inlineStr"/>
      <c r="N983" t="inlineStr"/>
      <c r="O983" t="inlineStr">
        <is>
          <t>Maestro de aula: todas las áreas con su grupo</t>
        </is>
      </c>
      <c r="P983" t="inlineStr"/>
      <c r="Q983">
        <f>IF(I983="ENFASIS","ÉNFASIS "&amp;M983,IFERROR(VLOOKUP(J983,Grupos!$A$2:$D$100,4,FALSE),J983))</f>
        <v/>
      </c>
      <c r="R983">
        <f>O983&amp;IF(N983&lt;&gt;"",IF(O983&lt;&gt;""," · ","")&amp;"Con: "&amp;N983,"")</f>
        <v/>
      </c>
      <c r="S983">
        <f>C983&amp;"|"&amp;D983</f>
        <v/>
      </c>
      <c r="T983">
        <f>COUNTIF($S$2:S983,S983)</f>
        <v/>
      </c>
      <c r="U983">
        <f>S983&amp;"|"&amp;T983</f>
        <v/>
      </c>
      <c r="V983">
        <f>IFERROR(VLOOKUP(IF(I983="ENFASIS",LEFT(M983,FIND("+",M983&amp;"+")-1),J983),Direccion_Grupo!$A$2:$G$100,7,FALSE),"")</f>
        <v/>
      </c>
    </row>
    <row r="984">
      <c r="A984" t="n">
        <v>48</v>
      </c>
      <c r="B984" t="inlineStr">
        <is>
          <t>Torres Segura Encarnación</t>
        </is>
      </c>
      <c r="C984" t="inlineStr">
        <is>
          <t>JUEVES</t>
        </is>
      </c>
      <c r="D984" t="n">
        <v>2</v>
      </c>
      <c r="E984" t="n">
        <v>1</v>
      </c>
      <c r="F984" t="n">
        <v>2</v>
      </c>
      <c r="G984" t="inlineStr">
        <is>
          <t>07:15</t>
        </is>
      </c>
      <c r="H984" t="inlineStr">
        <is>
          <t>08:00</t>
        </is>
      </c>
      <c r="I984" t="inlineStr">
        <is>
          <t>AREAS_MULTIPLES</t>
        </is>
      </c>
      <c r="J984" t="inlineStr">
        <is>
          <t>0301</t>
        </is>
      </c>
      <c r="K984" t="inlineStr">
        <is>
          <t>ÁREAS MÚLTIPLES</t>
        </is>
      </c>
      <c r="L984" t="inlineStr"/>
      <c r="M984" t="inlineStr"/>
      <c r="N984" t="inlineStr"/>
      <c r="O984" t="inlineStr">
        <is>
          <t>Maestro de aula: todas las áreas con su grupo</t>
        </is>
      </c>
      <c r="P984" t="inlineStr"/>
      <c r="Q984">
        <f>IF(I984="ENFASIS","ÉNFASIS "&amp;M984,IFERROR(VLOOKUP(J984,Grupos!$A$2:$D$100,4,FALSE),J984))</f>
        <v/>
      </c>
      <c r="R984">
        <f>O984&amp;IF(N984&lt;&gt;"",IF(O984&lt;&gt;""," · ","")&amp;"Con: "&amp;N984,"")</f>
        <v/>
      </c>
      <c r="S984">
        <f>C984&amp;"|"&amp;D984</f>
        <v/>
      </c>
      <c r="T984">
        <f>COUNTIF($S$2:S984,S984)</f>
        <v/>
      </c>
      <c r="U984">
        <f>S984&amp;"|"&amp;T984</f>
        <v/>
      </c>
      <c r="V984">
        <f>IFERROR(VLOOKUP(IF(I984="ENFASIS",LEFT(M984,FIND("+",M984&amp;"+")-1),J984),Direccion_Grupo!$A$2:$G$100,7,FALSE),"")</f>
        <v/>
      </c>
    </row>
    <row r="985">
      <c r="A985" t="n">
        <v>24</v>
      </c>
      <c r="B985" t="inlineStr">
        <is>
          <t>Landázuri Gallón Teresa</t>
        </is>
      </c>
      <c r="C985" t="inlineStr">
        <is>
          <t>JUEVES</t>
        </is>
      </c>
      <c r="D985" t="n">
        <v>2</v>
      </c>
      <c r="E985" t="n">
        <v>1</v>
      </c>
      <c r="F985" t="n">
        <v>2</v>
      </c>
      <c r="G985" t="inlineStr">
        <is>
          <t>07:15</t>
        </is>
      </c>
      <c r="H985" t="inlineStr">
        <is>
          <t>08:00</t>
        </is>
      </c>
      <c r="I985" t="inlineStr">
        <is>
          <t>AREAS_MULTIPLES</t>
        </is>
      </c>
      <c r="J985" t="inlineStr">
        <is>
          <t>0302</t>
        </is>
      </c>
      <c r="K985" t="inlineStr">
        <is>
          <t>ÁREAS MÚLTIPLES</t>
        </is>
      </c>
      <c r="L985" t="inlineStr"/>
      <c r="M985" t="inlineStr"/>
      <c r="N985" t="inlineStr"/>
      <c r="O985" t="inlineStr">
        <is>
          <t>Maestro de aula: todas las áreas con su grupo</t>
        </is>
      </c>
      <c r="P985" t="inlineStr"/>
      <c r="Q985">
        <f>IF(I985="ENFASIS","ÉNFASIS "&amp;M985,IFERROR(VLOOKUP(J985,Grupos!$A$2:$D$100,4,FALSE),J985))</f>
        <v/>
      </c>
      <c r="R985">
        <f>O985&amp;IF(N985&lt;&gt;"",IF(O985&lt;&gt;""," · ","")&amp;"Con: "&amp;N985,"")</f>
        <v/>
      </c>
      <c r="S985">
        <f>C985&amp;"|"&amp;D985</f>
        <v/>
      </c>
      <c r="T985">
        <f>COUNTIF($S$2:S985,S985)</f>
        <v/>
      </c>
      <c r="U985">
        <f>S985&amp;"|"&amp;T985</f>
        <v/>
      </c>
      <c r="V985">
        <f>IFERROR(VLOOKUP(IF(I985="ENFASIS",LEFT(M985,FIND("+",M985&amp;"+")-1),J985),Direccion_Grupo!$A$2:$G$100,7,FALSE),"")</f>
        <v/>
      </c>
    </row>
    <row r="986">
      <c r="A986" t="n">
        <v>55</v>
      </c>
      <c r="B986" t="inlineStr">
        <is>
          <t>Zamora Ordóñez Celia Pastora</t>
        </is>
      </c>
      <c r="C986" t="inlineStr">
        <is>
          <t>JUEVES</t>
        </is>
      </c>
      <c r="D986" t="n">
        <v>2</v>
      </c>
      <c r="E986" t="n">
        <v>1</v>
      </c>
      <c r="F986" t="n">
        <v>2</v>
      </c>
      <c r="G986" t="inlineStr">
        <is>
          <t>07:15</t>
        </is>
      </c>
      <c r="H986" t="inlineStr">
        <is>
          <t>08:00</t>
        </is>
      </c>
      <c r="I986" t="inlineStr">
        <is>
          <t>AREAS_MULTIPLES</t>
        </is>
      </c>
      <c r="J986" t="inlineStr">
        <is>
          <t>0401</t>
        </is>
      </c>
      <c r="K986" t="inlineStr">
        <is>
          <t>ÁREAS MÚLTIPLES</t>
        </is>
      </c>
      <c r="L986" t="inlineStr"/>
      <c r="M986" t="inlineStr"/>
      <c r="N986" t="inlineStr"/>
      <c r="O986" t="inlineStr">
        <is>
          <t>Maestro de aula: todas las áreas con su grupo</t>
        </is>
      </c>
      <c r="P986" t="inlineStr"/>
      <c r="Q986">
        <f>IF(I986="ENFASIS","ÉNFASIS "&amp;M986,IFERROR(VLOOKUP(J986,Grupos!$A$2:$D$100,4,FALSE),J986))</f>
        <v/>
      </c>
      <c r="R986">
        <f>O986&amp;IF(N986&lt;&gt;"",IF(O986&lt;&gt;""," · ","")&amp;"Con: "&amp;N986,"")</f>
        <v/>
      </c>
      <c r="S986">
        <f>C986&amp;"|"&amp;D986</f>
        <v/>
      </c>
      <c r="T986">
        <f>COUNTIF($S$2:S986,S986)</f>
        <v/>
      </c>
      <c r="U986">
        <f>S986&amp;"|"&amp;T986</f>
        <v/>
      </c>
      <c r="V986">
        <f>IFERROR(VLOOKUP(IF(I986="ENFASIS",LEFT(M986,FIND("+",M986&amp;"+")-1),J986),Direccion_Grupo!$A$2:$G$100,7,FALSE),"")</f>
        <v/>
      </c>
    </row>
    <row r="987">
      <c r="A987" t="n">
        <v>33</v>
      </c>
      <c r="B987" t="inlineStr">
        <is>
          <t>Núñez Perlaza Elcy</t>
        </is>
      </c>
      <c r="C987" t="inlineStr">
        <is>
          <t>JUEVES</t>
        </is>
      </c>
      <c r="D987" t="n">
        <v>2</v>
      </c>
      <c r="E987" t="n">
        <v>1</v>
      </c>
      <c r="F987" t="n">
        <v>2</v>
      </c>
      <c r="G987" t="inlineStr">
        <is>
          <t>07:15</t>
        </is>
      </c>
      <c r="H987" t="inlineStr">
        <is>
          <t>08:00</t>
        </is>
      </c>
      <c r="I987" t="inlineStr">
        <is>
          <t>AREAS_MULTIPLES</t>
        </is>
      </c>
      <c r="J987" t="inlineStr">
        <is>
          <t>0402</t>
        </is>
      </c>
      <c r="K987" t="inlineStr">
        <is>
          <t>ÁREAS MÚLTIPLES</t>
        </is>
      </c>
      <c r="L987" t="inlineStr"/>
      <c r="M987" t="inlineStr"/>
      <c r="N987" t="inlineStr"/>
      <c r="O987" t="inlineStr">
        <is>
          <t>Maestro de aula: todas las áreas con su grupo</t>
        </is>
      </c>
      <c r="P987" t="inlineStr"/>
      <c r="Q987">
        <f>IF(I987="ENFASIS","ÉNFASIS "&amp;M987,IFERROR(VLOOKUP(J987,Grupos!$A$2:$D$100,4,FALSE),J987))</f>
        <v/>
      </c>
      <c r="R987">
        <f>O987&amp;IF(N987&lt;&gt;"",IF(O987&lt;&gt;""," · ","")&amp;"Con: "&amp;N987,"")</f>
        <v/>
      </c>
      <c r="S987">
        <f>C987&amp;"|"&amp;D987</f>
        <v/>
      </c>
      <c r="T987">
        <f>COUNTIF($S$2:S987,S987)</f>
        <v/>
      </c>
      <c r="U987">
        <f>S987&amp;"|"&amp;T987</f>
        <v/>
      </c>
      <c r="V987">
        <f>IFERROR(VLOOKUP(IF(I987="ENFASIS",LEFT(M987,FIND("+",M987&amp;"+")-1),J987),Direccion_Grupo!$A$2:$G$100,7,FALSE),"")</f>
        <v/>
      </c>
    </row>
    <row r="988">
      <c r="A988" t="n">
        <v>14</v>
      </c>
      <c r="B988" t="inlineStr">
        <is>
          <t>Cuéllar Gallo Nemesia</t>
        </is>
      </c>
      <c r="C988" t="inlineStr">
        <is>
          <t>JUEVES</t>
        </is>
      </c>
      <c r="D988" t="n">
        <v>2</v>
      </c>
      <c r="E988" t="n">
        <v>1</v>
      </c>
      <c r="F988" t="n">
        <v>2</v>
      </c>
      <c r="G988" t="inlineStr">
        <is>
          <t>07:15</t>
        </is>
      </c>
      <c r="H988" t="inlineStr">
        <is>
          <t>08:00</t>
        </is>
      </c>
      <c r="I988" t="inlineStr">
        <is>
          <t>AREAS_MULTIPLES</t>
        </is>
      </c>
      <c r="J988" t="inlineStr">
        <is>
          <t>0501</t>
        </is>
      </c>
      <c r="K988" t="inlineStr">
        <is>
          <t>ÁREAS MÚLTIPLES</t>
        </is>
      </c>
      <c r="L988" t="inlineStr"/>
      <c r="M988" t="inlineStr"/>
      <c r="N988" t="inlineStr"/>
      <c r="O988" t="inlineStr">
        <is>
          <t>Maestro de aula: todas las áreas con su grupo</t>
        </is>
      </c>
      <c r="P988" t="inlineStr"/>
      <c r="Q988">
        <f>IF(I988="ENFASIS","ÉNFASIS "&amp;M988,IFERROR(VLOOKUP(J988,Grupos!$A$2:$D$100,4,FALSE),J988))</f>
        <v/>
      </c>
      <c r="R988">
        <f>O988&amp;IF(N988&lt;&gt;"",IF(O988&lt;&gt;""," · ","")&amp;"Con: "&amp;N988,"")</f>
        <v/>
      </c>
      <c r="S988">
        <f>C988&amp;"|"&amp;D988</f>
        <v/>
      </c>
      <c r="T988">
        <f>COUNTIF($S$2:S988,S988)</f>
        <v/>
      </c>
      <c r="U988">
        <f>S988&amp;"|"&amp;T988</f>
        <v/>
      </c>
      <c r="V988">
        <f>IFERROR(VLOOKUP(IF(I988="ENFASIS",LEFT(M988,FIND("+",M988&amp;"+")-1),J988),Direccion_Grupo!$A$2:$G$100,7,FALSE),"")</f>
        <v/>
      </c>
    </row>
    <row r="989">
      <c r="A989" t="n">
        <v>11</v>
      </c>
      <c r="B989" t="inlineStr">
        <is>
          <t>Centeno Zúñiga Claudia Patricia</t>
        </is>
      </c>
      <c r="C989" t="inlineStr">
        <is>
          <t>JUEVES</t>
        </is>
      </c>
      <c r="D989" t="n">
        <v>2</v>
      </c>
      <c r="E989" t="n">
        <v>1</v>
      </c>
      <c r="F989" t="n">
        <v>2</v>
      </c>
      <c r="G989" t="inlineStr">
        <is>
          <t>07:15</t>
        </is>
      </c>
      <c r="H989" t="inlineStr">
        <is>
          <t>08:00</t>
        </is>
      </c>
      <c r="I989" t="inlineStr">
        <is>
          <t>AREAS_MULTIPLES</t>
        </is>
      </c>
      <c r="J989" t="inlineStr">
        <is>
          <t>0502</t>
        </is>
      </c>
      <c r="K989" t="inlineStr">
        <is>
          <t>ÁREAS MÚLTIPLES</t>
        </is>
      </c>
      <c r="L989" t="inlineStr"/>
      <c r="M989" t="inlineStr"/>
      <c r="N989" t="inlineStr"/>
      <c r="O989" t="inlineStr">
        <is>
          <t>Maestro de aula: todas las áreas con su grupo</t>
        </is>
      </c>
      <c r="P989" t="inlineStr"/>
      <c r="Q989">
        <f>IF(I989="ENFASIS","ÉNFASIS "&amp;M989,IFERROR(VLOOKUP(J989,Grupos!$A$2:$D$100,4,FALSE),J989))</f>
        <v/>
      </c>
      <c r="R989">
        <f>O989&amp;IF(N989&lt;&gt;"",IF(O989&lt;&gt;""," · ","")&amp;"Con: "&amp;N989,"")</f>
        <v/>
      </c>
      <c r="S989">
        <f>C989&amp;"|"&amp;D989</f>
        <v/>
      </c>
      <c r="T989">
        <f>COUNTIF($S$2:S989,S989)</f>
        <v/>
      </c>
      <c r="U989">
        <f>S989&amp;"|"&amp;T989</f>
        <v/>
      </c>
      <c r="V989">
        <f>IFERROR(VLOOKUP(IF(I989="ENFASIS",LEFT(M989,FIND("+",M989&amp;"+")-1),J989),Direccion_Grupo!$A$2:$G$100,7,FALSE),"")</f>
        <v/>
      </c>
    </row>
    <row r="990">
      <c r="A990" t="n">
        <v>32</v>
      </c>
      <c r="B990" t="inlineStr">
        <is>
          <t>Narváez Sánchez Dora Alejandra</t>
        </is>
      </c>
      <c r="C990" t="inlineStr">
        <is>
          <t>JUEVES</t>
        </is>
      </c>
      <c r="D990" t="n">
        <v>2</v>
      </c>
      <c r="E990" t="n">
        <v>1</v>
      </c>
      <c r="F990" t="n">
        <v>2</v>
      </c>
      <c r="G990" t="inlineStr">
        <is>
          <t>07:15</t>
        </is>
      </c>
      <c r="H990" t="inlineStr">
        <is>
          <t>08:00</t>
        </is>
      </c>
      <c r="I990" t="inlineStr">
        <is>
          <t>AREAS_MULTIPLES</t>
        </is>
      </c>
      <c r="J990" t="inlineStr">
        <is>
          <t>0503</t>
        </is>
      </c>
      <c r="K990" t="inlineStr">
        <is>
          <t>ÁREAS MÚLTIPLES</t>
        </is>
      </c>
      <c r="L990" t="inlineStr"/>
      <c r="M990" t="inlineStr"/>
      <c r="N990" t="inlineStr"/>
      <c r="O990" t="inlineStr">
        <is>
          <t>Maestro de aula: todas las áreas con su grupo</t>
        </is>
      </c>
      <c r="P990" t="inlineStr"/>
      <c r="Q990">
        <f>IF(I990="ENFASIS","ÉNFASIS "&amp;M990,IFERROR(VLOOKUP(J990,Grupos!$A$2:$D$100,4,FALSE),J990))</f>
        <v/>
      </c>
      <c r="R990">
        <f>O990&amp;IF(N990&lt;&gt;"",IF(O990&lt;&gt;""," · ","")&amp;"Con: "&amp;N990,"")</f>
        <v/>
      </c>
      <c r="S990">
        <f>C990&amp;"|"&amp;D990</f>
        <v/>
      </c>
      <c r="T990">
        <f>COUNTIF($S$2:S990,S990)</f>
        <v/>
      </c>
      <c r="U990">
        <f>S990&amp;"|"&amp;T990</f>
        <v/>
      </c>
      <c r="V990">
        <f>IFERROR(VLOOKUP(IF(I990="ENFASIS",LEFT(M990,FIND("+",M990&amp;"+")-1),J990),Direccion_Grupo!$A$2:$G$100,7,FALSE),"")</f>
        <v/>
      </c>
    </row>
    <row r="991">
      <c r="A991" t="n">
        <v>17</v>
      </c>
      <c r="B991" t="inlineStr">
        <is>
          <t>Escobar Cortés Liliana</t>
        </is>
      </c>
      <c r="C991" t="inlineStr">
        <is>
          <t>JUEVES</t>
        </is>
      </c>
      <c r="D991" t="n">
        <v>2</v>
      </c>
      <c r="E991" t="n">
        <v>1</v>
      </c>
      <c r="F991" t="n">
        <v>2</v>
      </c>
      <c r="G991" t="inlineStr">
        <is>
          <t>07:15</t>
        </is>
      </c>
      <c r="H991" t="inlineStr">
        <is>
          <t>08:00</t>
        </is>
      </c>
      <c r="I991" t="inlineStr">
        <is>
          <t>AREAS_MULTIPLES</t>
        </is>
      </c>
      <c r="J991" t="inlineStr">
        <is>
          <t>0504</t>
        </is>
      </c>
      <c r="K991" t="inlineStr">
        <is>
          <t>ÁREAS MÚLTIPLES</t>
        </is>
      </c>
      <c r="L991" t="inlineStr"/>
      <c r="M991" t="inlineStr"/>
      <c r="N991" t="inlineStr"/>
      <c r="O991" t="inlineStr">
        <is>
          <t>Maestro de aula: todas las áreas con su grupo</t>
        </is>
      </c>
      <c r="P991" t="inlineStr"/>
      <c r="Q991">
        <f>IF(I991="ENFASIS","ÉNFASIS "&amp;M991,IFERROR(VLOOKUP(J991,Grupos!$A$2:$D$100,4,FALSE),J991))</f>
        <v/>
      </c>
      <c r="R991">
        <f>O991&amp;IF(N991&lt;&gt;"",IF(O991&lt;&gt;""," · ","")&amp;"Con: "&amp;N991,"")</f>
        <v/>
      </c>
      <c r="S991">
        <f>C991&amp;"|"&amp;D991</f>
        <v/>
      </c>
      <c r="T991">
        <f>COUNTIF($S$2:S991,S991)</f>
        <v/>
      </c>
      <c r="U991">
        <f>S991&amp;"|"&amp;T991</f>
        <v/>
      </c>
      <c r="V991">
        <f>IFERROR(VLOOKUP(IF(I991="ENFASIS",LEFT(M991,FIND("+",M991&amp;"+")-1),J991),Direccion_Grupo!$A$2:$G$100,7,FALSE),"")</f>
        <v/>
      </c>
    </row>
    <row r="992">
      <c r="A992" t="n">
        <v>42</v>
      </c>
      <c r="B992" t="inlineStr">
        <is>
          <t>Quiñones Cabezas Marcos Vidal</t>
        </is>
      </c>
      <c r="C992" t="inlineStr">
        <is>
          <t>JUEVES</t>
        </is>
      </c>
      <c r="D992" t="n">
        <v>2</v>
      </c>
      <c r="E992" t="n">
        <v>1</v>
      </c>
      <c r="F992" t="n">
        <v>2</v>
      </c>
      <c r="G992" t="inlineStr">
        <is>
          <t>07:15</t>
        </is>
      </c>
      <c r="H992" t="inlineStr">
        <is>
          <t>08:00</t>
        </is>
      </c>
      <c r="I992" t="inlineStr">
        <is>
          <t>CLASE</t>
        </is>
      </c>
      <c r="J992" t="inlineStr">
        <is>
          <t>0601</t>
        </is>
      </c>
      <c r="K992" t="inlineStr">
        <is>
          <t>MAT</t>
        </is>
      </c>
      <c r="L992" t="inlineStr"/>
      <c r="M992" t="inlineStr"/>
      <c r="N992" t="inlineStr"/>
      <c r="O992" t="inlineStr"/>
      <c r="P992" t="inlineStr">
        <is>
          <t>0601-MAT</t>
        </is>
      </c>
      <c r="Q992">
        <f>IF(I992="ENFASIS","ÉNFASIS "&amp;M992,IFERROR(VLOOKUP(J992,Grupos!$A$2:$D$100,4,FALSE),J992))</f>
        <v/>
      </c>
      <c r="R992">
        <f>O992&amp;IF(N992&lt;&gt;"",IF(O992&lt;&gt;""," · ","")&amp;"Con: "&amp;N992,"")</f>
        <v/>
      </c>
      <c r="S992">
        <f>C992&amp;"|"&amp;D992</f>
        <v/>
      </c>
      <c r="T992">
        <f>COUNTIF($S$2:S992,S992)</f>
        <v/>
      </c>
      <c r="U992">
        <f>S992&amp;"|"&amp;T992</f>
        <v/>
      </c>
      <c r="V992">
        <f>IFERROR(VLOOKUP(IF(I992="ENFASIS",LEFT(M992,FIND("+",M992&amp;"+")-1),J992),Direccion_Grupo!$A$2:$G$100,7,FALSE),"")</f>
        <v/>
      </c>
    </row>
    <row r="993">
      <c r="A993" t="n">
        <v>16</v>
      </c>
      <c r="B993" t="inlineStr">
        <is>
          <t>Cuero Rincón Hernando Jesús</t>
        </is>
      </c>
      <c r="C993" t="inlineStr">
        <is>
          <t>JUEVES</t>
        </is>
      </c>
      <c r="D993" t="n">
        <v>2</v>
      </c>
      <c r="E993" t="n">
        <v>1</v>
      </c>
      <c r="F993" t="n">
        <v>2</v>
      </c>
      <c r="G993" t="inlineStr">
        <is>
          <t>07:15</t>
        </is>
      </c>
      <c r="H993" t="inlineStr">
        <is>
          <t>08:00</t>
        </is>
      </c>
      <c r="I993" t="inlineStr">
        <is>
          <t>CLASE</t>
        </is>
      </c>
      <c r="J993" t="inlineStr">
        <is>
          <t>0602</t>
        </is>
      </c>
      <c r="K993" t="inlineStr">
        <is>
          <t>TEI</t>
        </is>
      </c>
      <c r="L993" t="inlineStr"/>
      <c r="M993" t="inlineStr"/>
      <c r="N993" t="inlineStr"/>
      <c r="O993" t="inlineStr"/>
      <c r="P993" t="inlineStr">
        <is>
          <t>0602-TEI</t>
        </is>
      </c>
      <c r="Q993">
        <f>IF(I993="ENFASIS","ÉNFASIS "&amp;M993,IFERROR(VLOOKUP(J993,Grupos!$A$2:$D$100,4,FALSE),J993))</f>
        <v/>
      </c>
      <c r="R993">
        <f>O993&amp;IF(N993&lt;&gt;"",IF(O993&lt;&gt;""," · ","")&amp;"Con: "&amp;N993,"")</f>
        <v/>
      </c>
      <c r="S993">
        <f>C993&amp;"|"&amp;D993</f>
        <v/>
      </c>
      <c r="T993">
        <f>COUNTIF($S$2:S993,S993)</f>
        <v/>
      </c>
      <c r="U993">
        <f>S993&amp;"|"&amp;T993</f>
        <v/>
      </c>
      <c r="V993">
        <f>IFERROR(VLOOKUP(IF(I993="ENFASIS",LEFT(M993,FIND("+",M993&amp;"+")-1),J993),Direccion_Grupo!$A$2:$G$100,7,FALSE),"")</f>
        <v/>
      </c>
    </row>
    <row r="994">
      <c r="A994" t="n">
        <v>10</v>
      </c>
      <c r="B994" t="inlineStr">
        <is>
          <t>Castillo Cuero Daira Eneida</t>
        </is>
      </c>
      <c r="C994" t="inlineStr">
        <is>
          <t>JUEVES</t>
        </is>
      </c>
      <c r="D994" t="n">
        <v>2</v>
      </c>
      <c r="E994" t="n">
        <v>1</v>
      </c>
      <c r="F994" t="n">
        <v>2</v>
      </c>
      <c r="G994" t="inlineStr">
        <is>
          <t>07:15</t>
        </is>
      </c>
      <c r="H994" t="inlineStr">
        <is>
          <t>08:00</t>
        </is>
      </c>
      <c r="I994" t="inlineStr">
        <is>
          <t>CLASE</t>
        </is>
      </c>
      <c r="J994" t="inlineStr">
        <is>
          <t>0704</t>
        </is>
      </c>
      <c r="K994" t="inlineStr">
        <is>
          <t>CAS</t>
        </is>
      </c>
      <c r="L994" t="inlineStr"/>
      <c r="M994" t="inlineStr"/>
      <c r="N994" t="inlineStr"/>
      <c r="O994" t="inlineStr"/>
      <c r="P994" t="inlineStr">
        <is>
          <t>0704-CAS</t>
        </is>
      </c>
      <c r="Q994">
        <f>IF(I994="ENFASIS","ÉNFASIS "&amp;M994,IFERROR(VLOOKUP(J994,Grupos!$A$2:$D$100,4,FALSE),J994))</f>
        <v/>
      </c>
      <c r="R994">
        <f>O994&amp;IF(N994&lt;&gt;"",IF(O994&lt;&gt;""," · ","")&amp;"Con: "&amp;N994,"")</f>
        <v/>
      </c>
      <c r="S994">
        <f>C994&amp;"|"&amp;D994</f>
        <v/>
      </c>
      <c r="T994">
        <f>COUNTIF($S$2:S994,S994)</f>
        <v/>
      </c>
      <c r="U994">
        <f>S994&amp;"|"&amp;T994</f>
        <v/>
      </c>
      <c r="V994">
        <f>IFERROR(VLOOKUP(IF(I994="ENFASIS",LEFT(M994,FIND("+",M994&amp;"+")-1),J994),Direccion_Grupo!$A$2:$G$100,7,FALSE),"")</f>
        <v/>
      </c>
    </row>
    <row r="995">
      <c r="A995" t="n">
        <v>19</v>
      </c>
      <c r="B995" t="inlineStr">
        <is>
          <t>Fernández Vélez Alfredo Enrique</t>
        </is>
      </c>
      <c r="C995" t="inlineStr">
        <is>
          <t>JUEVES</t>
        </is>
      </c>
      <c r="D995" t="n">
        <v>2</v>
      </c>
      <c r="E995" t="n">
        <v>1</v>
      </c>
      <c r="F995" t="n">
        <v>2</v>
      </c>
      <c r="G995" t="inlineStr">
        <is>
          <t>07:15</t>
        </is>
      </c>
      <c r="H995" t="inlineStr">
        <is>
          <t>08:00</t>
        </is>
      </c>
      <c r="I995" t="inlineStr">
        <is>
          <t>CLASE</t>
        </is>
      </c>
      <c r="J995" t="inlineStr">
        <is>
          <t>0801</t>
        </is>
      </c>
      <c r="K995" t="inlineStr">
        <is>
          <t>TEI</t>
        </is>
      </c>
      <c r="L995" t="inlineStr"/>
      <c r="M995" t="inlineStr"/>
      <c r="N995" t="inlineStr"/>
      <c r="O995" t="inlineStr"/>
      <c r="P995" t="inlineStr">
        <is>
          <t>0801-TEI</t>
        </is>
      </c>
      <c r="Q995">
        <f>IF(I995="ENFASIS","ÉNFASIS "&amp;M995,IFERROR(VLOOKUP(J995,Grupos!$A$2:$D$100,4,FALSE),J995))</f>
        <v/>
      </c>
      <c r="R995">
        <f>O995&amp;IF(N995&lt;&gt;"",IF(O995&lt;&gt;""," · ","")&amp;"Con: "&amp;N995,"")</f>
        <v/>
      </c>
      <c r="S995">
        <f>C995&amp;"|"&amp;D995</f>
        <v/>
      </c>
      <c r="T995">
        <f>COUNTIF($S$2:S995,S995)</f>
        <v/>
      </c>
      <c r="U995">
        <f>S995&amp;"|"&amp;T995</f>
        <v/>
      </c>
      <c r="V995">
        <f>IFERROR(VLOOKUP(IF(I995="ENFASIS",LEFT(M995,FIND("+",M995&amp;"+")-1),J995),Direccion_Grupo!$A$2:$G$100,7,FALSE),"")</f>
        <v/>
      </c>
    </row>
    <row r="996">
      <c r="A996" t="n">
        <v>35</v>
      </c>
      <c r="B996" t="inlineStr">
        <is>
          <t>Ortiz Araujo Adiela Carlota</t>
        </is>
      </c>
      <c r="C996" t="inlineStr">
        <is>
          <t>JUEVES</t>
        </is>
      </c>
      <c r="D996" t="n">
        <v>2</v>
      </c>
      <c r="E996" t="n">
        <v>1</v>
      </c>
      <c r="F996" t="n">
        <v>2</v>
      </c>
      <c r="G996" t="inlineStr">
        <is>
          <t>07:15</t>
        </is>
      </c>
      <c r="H996" t="inlineStr">
        <is>
          <t>08:00</t>
        </is>
      </c>
      <c r="I996" t="inlineStr">
        <is>
          <t>CLASE</t>
        </is>
      </c>
      <c r="J996" t="inlineStr">
        <is>
          <t>0802</t>
        </is>
      </c>
      <c r="K996" t="inlineStr">
        <is>
          <t>CSI</t>
        </is>
      </c>
      <c r="L996" t="inlineStr"/>
      <c r="M996" t="inlineStr"/>
      <c r="N996" t="inlineStr"/>
      <c r="O996" t="inlineStr">
        <is>
          <t>Sociales / Inglés (alternan cada semana)</t>
        </is>
      </c>
      <c r="P996" t="inlineStr">
        <is>
          <t>0802-CSI</t>
        </is>
      </c>
      <c r="Q996">
        <f>IF(I996="ENFASIS","ÉNFASIS "&amp;M996,IFERROR(VLOOKUP(J996,Grupos!$A$2:$D$100,4,FALSE),J996))</f>
        <v/>
      </c>
      <c r="R996">
        <f>O996&amp;IF(N996&lt;&gt;"",IF(O996&lt;&gt;""," · ","")&amp;"Con: "&amp;N996,"")</f>
        <v/>
      </c>
      <c r="S996">
        <f>C996&amp;"|"&amp;D996</f>
        <v/>
      </c>
      <c r="T996">
        <f>COUNTIF($S$2:S996,S996)</f>
        <v/>
      </c>
      <c r="U996">
        <f>S996&amp;"|"&amp;T996</f>
        <v/>
      </c>
      <c r="V996">
        <f>IFERROR(VLOOKUP(IF(I996="ENFASIS",LEFT(M996,FIND("+",M996&amp;"+")-1),J996),Direccion_Grupo!$A$2:$G$100,7,FALSE),"")</f>
        <v/>
      </c>
    </row>
    <row r="997">
      <c r="A997" t="n">
        <v>22</v>
      </c>
      <c r="B997" t="inlineStr">
        <is>
          <t>González Castillo Jólmer Jimy</t>
        </is>
      </c>
      <c r="C997" t="inlineStr">
        <is>
          <t>JUEVES</t>
        </is>
      </c>
      <c r="D997" t="n">
        <v>2</v>
      </c>
      <c r="E997" t="n">
        <v>1</v>
      </c>
      <c r="F997" t="n">
        <v>2</v>
      </c>
      <c r="G997" t="inlineStr">
        <is>
          <t>07:15</t>
        </is>
      </c>
      <c r="H997" t="inlineStr">
        <is>
          <t>08:00</t>
        </is>
      </c>
      <c r="I997" t="inlineStr">
        <is>
          <t>CLASE</t>
        </is>
      </c>
      <c r="J997" t="inlineStr">
        <is>
          <t>0901</t>
        </is>
      </c>
      <c r="K997" t="inlineStr">
        <is>
          <t>ERD</t>
        </is>
      </c>
      <c r="L997" t="inlineStr"/>
      <c r="M997" t="inlineStr"/>
      <c r="N997" t="inlineStr"/>
      <c r="O997" t="inlineStr"/>
      <c r="P997" t="inlineStr">
        <is>
          <t>0901-ERD</t>
        </is>
      </c>
      <c r="Q997">
        <f>IF(I997="ENFASIS","ÉNFASIS "&amp;M997,IFERROR(VLOOKUP(J997,Grupos!$A$2:$D$100,4,FALSE),J997))</f>
        <v/>
      </c>
      <c r="R997">
        <f>O997&amp;IF(N997&lt;&gt;"",IF(O997&lt;&gt;""," · ","")&amp;"Con: "&amp;N997,"")</f>
        <v/>
      </c>
      <c r="S997">
        <f>C997&amp;"|"&amp;D997</f>
        <v/>
      </c>
      <c r="T997">
        <f>COUNTIF($S$2:S997,S997)</f>
        <v/>
      </c>
      <c r="U997">
        <f>S997&amp;"|"&amp;T997</f>
        <v/>
      </c>
      <c r="V997">
        <f>IFERROR(VLOOKUP(IF(I997="ENFASIS",LEFT(M997,FIND("+",M997&amp;"+")-1),J997),Direccion_Grupo!$A$2:$G$100,7,FALSE),"")</f>
        <v/>
      </c>
    </row>
    <row r="998">
      <c r="A998" t="n">
        <v>28</v>
      </c>
      <c r="B998" t="inlineStr">
        <is>
          <t>Meza Banguera Gladys Alicia</t>
        </is>
      </c>
      <c r="C998" t="inlineStr">
        <is>
          <t>JUEVES</t>
        </is>
      </c>
      <c r="D998" t="n">
        <v>2</v>
      </c>
      <c r="E998" t="n">
        <v>1</v>
      </c>
      <c r="F998" t="n">
        <v>2</v>
      </c>
      <c r="G998" t="inlineStr">
        <is>
          <t>07:15</t>
        </is>
      </c>
      <c r="H998" t="inlineStr">
        <is>
          <t>08:00</t>
        </is>
      </c>
      <c r="I998" t="inlineStr">
        <is>
          <t>CLASE</t>
        </is>
      </c>
      <c r="J998" t="inlineStr">
        <is>
          <t>1001</t>
        </is>
      </c>
      <c r="K998" t="inlineStr">
        <is>
          <t>CAS</t>
        </is>
      </c>
      <c r="L998" t="inlineStr"/>
      <c r="M998" t="inlineStr"/>
      <c r="N998" t="inlineStr"/>
      <c r="O998" t="inlineStr"/>
      <c r="P998" t="inlineStr">
        <is>
          <t>1001-CAS</t>
        </is>
      </c>
      <c r="Q998">
        <f>IF(I998="ENFASIS","ÉNFASIS "&amp;M998,IFERROR(VLOOKUP(J998,Grupos!$A$2:$D$100,4,FALSE),J998))</f>
        <v/>
      </c>
      <c r="R998">
        <f>O998&amp;IF(N998&lt;&gt;"",IF(O998&lt;&gt;""," · ","")&amp;"Con: "&amp;N998,"")</f>
        <v/>
      </c>
      <c r="S998">
        <f>C998&amp;"|"&amp;D998</f>
        <v/>
      </c>
      <c r="T998">
        <f>COUNTIF($S$2:S998,S998)</f>
        <v/>
      </c>
      <c r="U998">
        <f>S998&amp;"|"&amp;T998</f>
        <v/>
      </c>
      <c r="V998">
        <f>IFERROR(VLOOKUP(IF(I998="ENFASIS",LEFT(M998,FIND("+",M998&amp;"+")-1),J998),Direccion_Grupo!$A$2:$G$100,7,FALSE),"")</f>
        <v/>
      </c>
    </row>
    <row r="999">
      <c r="A999" t="n">
        <v>43</v>
      </c>
      <c r="B999" t="inlineStr">
        <is>
          <t>Ramírez Guerra Jimmy Eduardo</t>
        </is>
      </c>
      <c r="C999" t="inlineStr">
        <is>
          <t>JUEVES</t>
        </is>
      </c>
      <c r="D999" t="n">
        <v>2</v>
      </c>
      <c r="E999" t="n">
        <v>1</v>
      </c>
      <c r="F999" t="n">
        <v>2</v>
      </c>
      <c r="G999" t="inlineStr">
        <is>
          <t>07:15</t>
        </is>
      </c>
      <c r="H999" t="inlineStr">
        <is>
          <t>08:00</t>
        </is>
      </c>
      <c r="I999" t="inlineStr">
        <is>
          <t>CLASE</t>
        </is>
      </c>
      <c r="J999" t="inlineStr">
        <is>
          <t>1002</t>
        </is>
      </c>
      <c r="K999" t="inlineStr">
        <is>
          <t>ERD</t>
        </is>
      </c>
      <c r="L999" t="inlineStr"/>
      <c r="M999" t="inlineStr"/>
      <c r="N999" t="inlineStr"/>
      <c r="O999" t="inlineStr"/>
      <c r="P999" t="inlineStr">
        <is>
          <t>1002-ERD</t>
        </is>
      </c>
      <c r="Q999">
        <f>IF(I999="ENFASIS","ÉNFASIS "&amp;M999,IFERROR(VLOOKUP(J999,Grupos!$A$2:$D$100,4,FALSE),J999))</f>
        <v/>
      </c>
      <c r="R999">
        <f>O999&amp;IF(N999&lt;&gt;"",IF(O999&lt;&gt;""," · ","")&amp;"Con: "&amp;N999,"")</f>
        <v/>
      </c>
      <c r="S999">
        <f>C999&amp;"|"&amp;D999</f>
        <v/>
      </c>
      <c r="T999">
        <f>COUNTIF($S$2:S999,S999)</f>
        <v/>
      </c>
      <c r="U999">
        <f>S999&amp;"|"&amp;T999</f>
        <v/>
      </c>
      <c r="V999">
        <f>IFERROR(VLOOKUP(IF(I999="ENFASIS",LEFT(M999,FIND("+",M999&amp;"+")-1),J999),Direccion_Grupo!$A$2:$G$100,7,FALSE),"")</f>
        <v/>
      </c>
    </row>
    <row r="1000">
      <c r="A1000" t="n">
        <v>2</v>
      </c>
      <c r="B1000" t="inlineStr">
        <is>
          <t>Angulo Lucero Andrés Mauricio</t>
        </is>
      </c>
      <c r="C1000" t="inlineStr">
        <is>
          <t>JUEVES</t>
        </is>
      </c>
      <c r="D1000" t="n">
        <v>2</v>
      </c>
      <c r="E1000" t="n">
        <v>1</v>
      </c>
      <c r="F1000" t="n">
        <v>2</v>
      </c>
      <c r="G1000" t="inlineStr">
        <is>
          <t>07:15</t>
        </is>
      </c>
      <c r="H1000" t="inlineStr">
        <is>
          <t>08:00</t>
        </is>
      </c>
      <c r="I1000" t="inlineStr">
        <is>
          <t>CLASE</t>
        </is>
      </c>
      <c r="J1000" t="inlineStr">
        <is>
          <t>1101</t>
        </is>
      </c>
      <c r="K1000" t="inlineStr">
        <is>
          <t>TEI</t>
        </is>
      </c>
      <c r="L1000" t="inlineStr"/>
      <c r="M1000" t="inlineStr"/>
      <c r="N1000" t="inlineStr"/>
      <c r="O1000" t="inlineStr"/>
      <c r="P1000" t="inlineStr">
        <is>
          <t>1101-TEI</t>
        </is>
      </c>
      <c r="Q1000">
        <f>IF(I1000="ENFASIS","ÉNFASIS "&amp;M1000,IFERROR(VLOOKUP(J1000,Grupos!$A$2:$D$100,4,FALSE),J1000))</f>
        <v/>
      </c>
      <c r="R1000">
        <f>O1000&amp;IF(N1000&lt;&gt;"",IF(O1000&lt;&gt;""," · ","")&amp;"Con: "&amp;N1000,"")</f>
        <v/>
      </c>
      <c r="S1000">
        <f>C1000&amp;"|"&amp;D1000</f>
        <v/>
      </c>
      <c r="T1000">
        <f>COUNTIF($S$2:S1000,S1000)</f>
        <v/>
      </c>
      <c r="U1000">
        <f>S1000&amp;"|"&amp;T1000</f>
        <v/>
      </c>
      <c r="V1000">
        <f>IFERROR(VLOOKUP(IF(I1000="ENFASIS",LEFT(M1000,FIND("+",M1000&amp;"+")-1),J1000),Direccion_Grupo!$A$2:$G$100,7,FALSE),"")</f>
        <v/>
      </c>
    </row>
    <row r="1001">
      <c r="A1001" t="n">
        <v>53</v>
      </c>
      <c r="B1001" t="inlineStr">
        <is>
          <t>Villota Rubio Héctor Hugo</t>
        </is>
      </c>
      <c r="C1001" t="inlineStr">
        <is>
          <t>JUEVES</t>
        </is>
      </c>
      <c r="D1001" t="n">
        <v>2</v>
      </c>
      <c r="E1001" t="n">
        <v>1</v>
      </c>
      <c r="F1001" t="n">
        <v>2</v>
      </c>
      <c r="G1001" t="inlineStr">
        <is>
          <t>07:15</t>
        </is>
      </c>
      <c r="H1001" t="inlineStr">
        <is>
          <t>08:00</t>
        </is>
      </c>
      <c r="I1001" t="inlineStr">
        <is>
          <t>CLASE</t>
        </is>
      </c>
      <c r="J1001" t="inlineStr">
        <is>
          <t>1102</t>
        </is>
      </c>
      <c r="K1001" t="inlineStr">
        <is>
          <t>CNA</t>
        </is>
      </c>
      <c r="L1001" t="inlineStr"/>
      <c r="M1001" t="inlineStr"/>
      <c r="N1001" t="inlineStr"/>
      <c r="O1001" t="inlineStr"/>
      <c r="P1001" t="inlineStr">
        <is>
          <t>1102-CNA</t>
        </is>
      </c>
      <c r="Q1001">
        <f>IF(I1001="ENFASIS","ÉNFASIS "&amp;M1001,IFERROR(VLOOKUP(J1001,Grupos!$A$2:$D$100,4,FALSE),J1001))</f>
        <v/>
      </c>
      <c r="R1001">
        <f>O1001&amp;IF(N1001&lt;&gt;"",IF(O1001&lt;&gt;""," · ","")&amp;"Con: "&amp;N1001,"")</f>
        <v/>
      </c>
      <c r="S1001">
        <f>C1001&amp;"|"&amp;D1001</f>
        <v/>
      </c>
      <c r="T1001">
        <f>COUNTIF($S$2:S1001,S1001)</f>
        <v/>
      </c>
      <c r="U1001">
        <f>S1001&amp;"|"&amp;T1001</f>
        <v/>
      </c>
      <c r="V1001">
        <f>IFERROR(VLOOKUP(IF(I1001="ENFASIS",LEFT(M1001,FIND("+",M1001&amp;"+")-1),J1001),Direccion_Grupo!$A$2:$G$100,7,FALSE),"")</f>
        <v/>
      </c>
    </row>
    <row r="1002">
      <c r="A1002" t="n">
        <v>38</v>
      </c>
      <c r="B1002" t="inlineStr">
        <is>
          <t>Preciado Torres Oleisa</t>
        </is>
      </c>
      <c r="C1002" t="inlineStr">
        <is>
          <t>JUEVES</t>
        </is>
      </c>
      <c r="D1002" t="n">
        <v>2</v>
      </c>
      <c r="E1002" t="n">
        <v>1</v>
      </c>
      <c r="F1002" t="n">
        <v>2</v>
      </c>
      <c r="G1002" t="inlineStr">
        <is>
          <t>07:15</t>
        </is>
      </c>
      <c r="H1002" t="inlineStr">
        <is>
          <t>08:00</t>
        </is>
      </c>
      <c r="I1002" t="inlineStr">
        <is>
          <t>CLASE</t>
        </is>
      </c>
      <c r="J1002" t="inlineStr">
        <is>
          <t>CS201</t>
        </is>
      </c>
      <c r="K1002" t="inlineStr">
        <is>
          <t>MAT</t>
        </is>
      </c>
      <c r="L1002" t="inlineStr"/>
      <c r="M1002" t="inlineStr"/>
      <c r="N1002" t="inlineStr"/>
      <c r="O1002" t="inlineStr"/>
      <c r="P1002" t="inlineStr">
        <is>
          <t>CS201-MAT</t>
        </is>
      </c>
      <c r="Q1002">
        <f>IF(I1002="ENFASIS","ÉNFASIS "&amp;M1002,IFERROR(VLOOKUP(J1002,Grupos!$A$2:$D$100,4,FALSE),J1002))</f>
        <v/>
      </c>
      <c r="R1002">
        <f>O1002&amp;IF(N1002&lt;&gt;"",IF(O1002&lt;&gt;""," · ","")&amp;"Con: "&amp;N1002,"")</f>
        <v/>
      </c>
      <c r="S1002">
        <f>C1002&amp;"|"&amp;D1002</f>
        <v/>
      </c>
      <c r="T1002">
        <f>COUNTIF($S$2:S1002,S1002)</f>
        <v/>
      </c>
      <c r="U1002">
        <f>S1002&amp;"|"&amp;T1002</f>
        <v/>
      </c>
      <c r="V1002">
        <f>IFERROR(VLOOKUP(IF(I1002="ENFASIS",LEFT(M1002,FIND("+",M1002&amp;"+")-1),J1002),Direccion_Grupo!$A$2:$G$100,7,FALSE),"")</f>
        <v/>
      </c>
    </row>
    <row r="1003">
      <c r="A1003" t="n">
        <v>9</v>
      </c>
      <c r="B1003" t="inlineStr">
        <is>
          <t>Castillo Angulo Martha Cecilia</t>
        </is>
      </c>
      <c r="C1003" t="inlineStr">
        <is>
          <t>JUEVES</t>
        </is>
      </c>
      <c r="D1003" t="n">
        <v>2</v>
      </c>
      <c r="E1003" t="n">
        <v>1</v>
      </c>
      <c r="F1003" t="n">
        <v>2</v>
      </c>
      <c r="G1003" t="inlineStr">
        <is>
          <t>07:15</t>
        </is>
      </c>
      <c r="H1003" t="inlineStr">
        <is>
          <t>08:00</t>
        </is>
      </c>
      <c r="I1003" t="inlineStr">
        <is>
          <t>CLASE</t>
        </is>
      </c>
      <c r="J1003" t="inlineStr">
        <is>
          <t>CS202</t>
        </is>
      </c>
      <c r="K1003" t="inlineStr">
        <is>
          <t>ETR</t>
        </is>
      </c>
      <c r="L1003" t="inlineStr"/>
      <c r="M1003" t="inlineStr"/>
      <c r="N1003" t="inlineStr"/>
      <c r="O1003" t="inlineStr">
        <is>
          <t>Ética / Religión (alternan cada semana)</t>
        </is>
      </c>
      <c r="P1003" t="inlineStr">
        <is>
          <t>CS202-ETR</t>
        </is>
      </c>
      <c r="Q1003">
        <f>IF(I1003="ENFASIS","ÉNFASIS "&amp;M1003,IFERROR(VLOOKUP(J1003,Grupos!$A$2:$D$100,4,FALSE),J1003))</f>
        <v/>
      </c>
      <c r="R1003">
        <f>O1003&amp;IF(N1003&lt;&gt;"",IF(O1003&lt;&gt;""," · ","")&amp;"Con: "&amp;N1003,"")</f>
        <v/>
      </c>
      <c r="S1003">
        <f>C1003&amp;"|"&amp;D1003</f>
        <v/>
      </c>
      <c r="T1003">
        <f>COUNTIF($S$2:S1003,S1003)</f>
        <v/>
      </c>
      <c r="U1003">
        <f>S1003&amp;"|"&amp;T1003</f>
        <v/>
      </c>
      <c r="V1003">
        <f>IFERROR(VLOOKUP(IF(I1003="ENFASIS",LEFT(M1003,FIND("+",M1003&amp;"+")-1),J1003),Direccion_Grupo!$A$2:$G$100,7,FALSE),"")</f>
        <v/>
      </c>
    </row>
    <row r="1004">
      <c r="A1004" t="n">
        <v>7</v>
      </c>
      <c r="B1004" t="inlineStr">
        <is>
          <t>Casanova Casanova Johana Andrea</t>
        </is>
      </c>
      <c r="C1004" t="inlineStr">
        <is>
          <t>JUEVES</t>
        </is>
      </c>
      <c r="D1004" t="n">
        <v>2</v>
      </c>
      <c r="E1004" t="n">
        <v>1</v>
      </c>
      <c r="F1004" t="n">
        <v>2</v>
      </c>
      <c r="G1004" t="inlineStr">
        <is>
          <t>07:15</t>
        </is>
      </c>
      <c r="H1004" t="inlineStr">
        <is>
          <t>08:00</t>
        </is>
      </c>
      <c r="I1004" t="inlineStr">
        <is>
          <t>ORIENTACION</t>
        </is>
      </c>
      <c r="J1004" t="inlineStr">
        <is>
          <t>ORIENT</t>
        </is>
      </c>
      <c r="K1004" t="inlineStr">
        <is>
          <t>ORIENTACIÓN ESCOLAR</t>
        </is>
      </c>
      <c r="L1004" t="inlineStr"/>
      <c r="M1004" t="inlineStr"/>
      <c r="N1004" t="inlineStr"/>
      <c r="O1004" t="inlineStr">
        <is>
          <t>Jornada 07:30 a 14:30</t>
        </is>
      </c>
      <c r="P1004" t="inlineStr"/>
      <c r="Q1004">
        <f>IF(I1004="ENFASIS","ÉNFASIS "&amp;M1004,IFERROR(VLOOKUP(J1004,Grupos!$A$2:$D$100,4,FALSE),J1004))</f>
        <v/>
      </c>
      <c r="R1004">
        <f>O1004&amp;IF(N1004&lt;&gt;"",IF(O1004&lt;&gt;""," · ","")&amp;"Con: "&amp;N1004,"")</f>
        <v/>
      </c>
      <c r="S1004">
        <f>C1004&amp;"|"&amp;D1004</f>
        <v/>
      </c>
      <c r="T1004">
        <f>COUNTIF($S$2:S1004,S1004)</f>
        <v/>
      </c>
      <c r="U1004">
        <f>S1004&amp;"|"&amp;T1004</f>
        <v/>
      </c>
      <c r="V1004">
        <f>IFERROR(VLOOKUP(IF(I1004="ENFASIS",LEFT(M1004,FIND("+",M1004&amp;"+")-1),J1004),Direccion_Grupo!$A$2:$G$100,7,FALSE),"")</f>
        <v/>
      </c>
    </row>
    <row r="1005">
      <c r="A1005" t="n">
        <v>56</v>
      </c>
      <c r="B1005" t="inlineStr">
        <is>
          <t>Ortiz Estacio Martha Cecilia</t>
        </is>
      </c>
      <c r="C1005" t="inlineStr">
        <is>
          <t>JUEVES</t>
        </is>
      </c>
      <c r="D1005" t="n">
        <v>2</v>
      </c>
      <c r="E1005" t="n">
        <v>1</v>
      </c>
      <c r="F1005" t="n">
        <v>2</v>
      </c>
      <c r="G1005" t="inlineStr">
        <is>
          <t>07:15</t>
        </is>
      </c>
      <c r="H1005" t="inlineStr">
        <is>
          <t>08:00</t>
        </is>
      </c>
      <c r="I1005" t="inlineStr">
        <is>
          <t>TUTORIA</t>
        </is>
      </c>
      <c r="J1005" t="inlineStr">
        <is>
          <t>PTAFI</t>
        </is>
      </c>
      <c r="K1005" t="inlineStr">
        <is>
          <t>TUTORÍA PTAFI</t>
        </is>
      </c>
      <c r="L1005" t="inlineStr"/>
      <c r="M1005" t="inlineStr"/>
      <c r="N1005" t="inlineStr"/>
      <c r="O1005" t="inlineStr">
        <is>
          <t>Jornada 06:30 a 12:00</t>
        </is>
      </c>
      <c r="P1005" t="inlineStr"/>
      <c r="Q1005">
        <f>IF(I1005="ENFASIS","ÉNFASIS "&amp;M1005,IFERROR(VLOOKUP(J1005,Grupos!$A$2:$D$100,4,FALSE),J1005))</f>
        <v/>
      </c>
      <c r="R1005">
        <f>O1005&amp;IF(N1005&lt;&gt;"",IF(O1005&lt;&gt;""," · ","")&amp;"Con: "&amp;N1005,"")</f>
        <v/>
      </c>
      <c r="S1005">
        <f>C1005&amp;"|"&amp;D1005</f>
        <v/>
      </c>
      <c r="T1005">
        <f>COUNTIF($S$2:S1005,S1005)</f>
        <v/>
      </c>
      <c r="U1005">
        <f>S1005&amp;"|"&amp;T1005</f>
        <v/>
      </c>
      <c r="V1005">
        <f>IFERROR(VLOOKUP(IF(I1005="ENFASIS",LEFT(M1005,FIND("+",M1005&amp;"+")-1),J1005),Direccion_Grupo!$A$2:$G$100,7,FALSE),"")</f>
        <v/>
      </c>
    </row>
    <row r="1006">
      <c r="A1006" t="n">
        <v>44</v>
      </c>
      <c r="B1006" t="inlineStr">
        <is>
          <t>Samaniego Angulo Flor Mireya</t>
        </is>
      </c>
      <c r="C1006" t="inlineStr">
        <is>
          <t>JUEVES</t>
        </is>
      </c>
      <c r="D1006" t="n">
        <v>2</v>
      </c>
      <c r="E1006" t="n">
        <v>1</v>
      </c>
      <c r="F1006" t="n">
        <v>2</v>
      </c>
      <c r="G1006" t="inlineStr">
        <is>
          <t>07:15</t>
        </is>
      </c>
      <c r="H1006" t="inlineStr">
        <is>
          <t>08:00</t>
        </is>
      </c>
      <c r="I1006" t="inlineStr">
        <is>
          <t>ENFASIS</t>
        </is>
      </c>
      <c r="J1006" t="inlineStr"/>
      <c r="K1006" t="inlineStr">
        <is>
          <t>ART</t>
        </is>
      </c>
      <c r="L1006" t="inlineStr">
        <is>
          <t>0701</t>
        </is>
      </c>
      <c r="M1006" t="inlineStr">
        <is>
          <t>0701</t>
        </is>
      </c>
      <c r="N1006" t="inlineStr">
        <is>
          <t>Valverde Montaño María Teresa (CAS)</t>
        </is>
      </c>
      <c r="O1006" t="inlineStr">
        <is>
          <t>PAREJA: comparten el énfasis y alternan por semana</t>
        </is>
      </c>
      <c r="P1006" t="inlineStr">
        <is>
          <t>ENFASIS-0701</t>
        </is>
      </c>
      <c r="Q1006">
        <f>IF(I1006="ENFASIS","ÉNFASIS "&amp;M1006,IFERROR(VLOOKUP(J1006,Grupos!$A$2:$D$100,4,FALSE),J1006))</f>
        <v/>
      </c>
      <c r="R1006">
        <f>O1006&amp;IF(N1006&lt;&gt;"",IF(O1006&lt;&gt;""," · ","")&amp;"Con: "&amp;N1006,"")</f>
        <v/>
      </c>
      <c r="S1006">
        <f>C1006&amp;"|"&amp;D1006</f>
        <v/>
      </c>
      <c r="T1006">
        <f>COUNTIF($S$2:S1006,S1006)</f>
        <v/>
      </c>
      <c r="U1006">
        <f>S1006&amp;"|"&amp;T1006</f>
        <v/>
      </c>
      <c r="V1006">
        <f>IFERROR(VLOOKUP(IF(I1006="ENFASIS",LEFT(M1006,FIND("+",M1006&amp;"+")-1),J1006),Direccion_Grupo!$A$2:$G$100,7,FALSE),"")</f>
        <v/>
      </c>
    </row>
    <row r="1007">
      <c r="A1007" t="n">
        <v>51</v>
      </c>
      <c r="B1007" t="inlineStr">
        <is>
          <t>Valverde Montaño María Teresa</t>
        </is>
      </c>
      <c r="C1007" t="inlineStr">
        <is>
          <t>JUEVES</t>
        </is>
      </c>
      <c r="D1007" t="n">
        <v>2</v>
      </c>
      <c r="E1007" t="n">
        <v>1</v>
      </c>
      <c r="F1007" t="n">
        <v>2</v>
      </c>
      <c r="G1007" t="inlineStr">
        <is>
          <t>07:15</t>
        </is>
      </c>
      <c r="H1007" t="inlineStr">
        <is>
          <t>08:00</t>
        </is>
      </c>
      <c r="I1007" t="inlineStr">
        <is>
          <t>ENFASIS</t>
        </is>
      </c>
      <c r="J1007" t="inlineStr"/>
      <c r="K1007" t="inlineStr">
        <is>
          <t>CAS</t>
        </is>
      </c>
      <c r="L1007" t="inlineStr">
        <is>
          <t>0701</t>
        </is>
      </c>
      <c r="M1007" t="inlineStr">
        <is>
          <t>0701</t>
        </is>
      </c>
      <c r="N1007" t="inlineStr">
        <is>
          <t>Samaniego Angulo Flor Mireya (ART)</t>
        </is>
      </c>
      <c r="O1007" t="inlineStr">
        <is>
          <t>PAREJA: comparten el énfasis y alternan por semana</t>
        </is>
      </c>
      <c r="P1007" t="inlineStr">
        <is>
          <t>ENFASIS-0701</t>
        </is>
      </c>
      <c r="Q1007">
        <f>IF(I1007="ENFASIS","ÉNFASIS "&amp;M1007,IFERROR(VLOOKUP(J1007,Grupos!$A$2:$D$100,4,FALSE),J1007))</f>
        <v/>
      </c>
      <c r="R1007">
        <f>O1007&amp;IF(N1007&lt;&gt;"",IF(O1007&lt;&gt;""," · ","")&amp;"Con: "&amp;N1007,"")</f>
        <v/>
      </c>
      <c r="S1007">
        <f>C1007&amp;"|"&amp;D1007</f>
        <v/>
      </c>
      <c r="T1007">
        <f>COUNTIF($S$2:S1007,S1007)</f>
        <v/>
      </c>
      <c r="U1007">
        <f>S1007&amp;"|"&amp;T1007</f>
        <v/>
      </c>
      <c r="V1007">
        <f>IFERROR(VLOOKUP(IF(I1007="ENFASIS",LEFT(M1007,FIND("+",M1007&amp;"+")-1),J1007),Direccion_Grupo!$A$2:$G$100,7,FALSE),"")</f>
        <v/>
      </c>
    </row>
    <row r="1008">
      <c r="A1008" t="n">
        <v>34</v>
      </c>
      <c r="B1008" t="inlineStr">
        <is>
          <t>Ordóñez Tenorio Jaime Marcial</t>
        </is>
      </c>
      <c r="C1008" t="inlineStr">
        <is>
          <t>JUEVES</t>
        </is>
      </c>
      <c r="D1008" t="n">
        <v>2</v>
      </c>
      <c r="E1008" t="n">
        <v>1</v>
      </c>
      <c r="F1008" t="n">
        <v>2</v>
      </c>
      <c r="G1008" t="inlineStr">
        <is>
          <t>07:15</t>
        </is>
      </c>
      <c r="H1008" t="inlineStr">
        <is>
          <t>08:00</t>
        </is>
      </c>
      <c r="I1008" t="inlineStr">
        <is>
          <t>ENFASIS</t>
        </is>
      </c>
      <c r="J1008" t="inlineStr"/>
      <c r="K1008" t="inlineStr">
        <is>
          <t>CNA</t>
        </is>
      </c>
      <c r="L1008" t="inlineStr">
        <is>
          <t>0702</t>
        </is>
      </c>
      <c r="M1008" t="inlineStr">
        <is>
          <t>0702</t>
        </is>
      </c>
      <c r="N1008" t="inlineStr">
        <is>
          <t>Armero Dájome Jesús (ERD)</t>
        </is>
      </c>
      <c r="O1008" t="inlineStr">
        <is>
          <t>PAREJA: comparten el énfasis y alternan por semana</t>
        </is>
      </c>
      <c r="P1008" t="inlineStr">
        <is>
          <t>ENFASIS-0702</t>
        </is>
      </c>
      <c r="Q1008">
        <f>IF(I1008="ENFASIS","ÉNFASIS "&amp;M1008,IFERROR(VLOOKUP(J1008,Grupos!$A$2:$D$100,4,FALSE),J1008))</f>
        <v/>
      </c>
      <c r="R1008">
        <f>O1008&amp;IF(N1008&lt;&gt;"",IF(O1008&lt;&gt;""," · ","")&amp;"Con: "&amp;N1008,"")</f>
        <v/>
      </c>
      <c r="S1008">
        <f>C1008&amp;"|"&amp;D1008</f>
        <v/>
      </c>
      <c r="T1008">
        <f>COUNTIF($S$2:S1008,S1008)</f>
        <v/>
      </c>
      <c r="U1008">
        <f>S1008&amp;"|"&amp;T1008</f>
        <v/>
      </c>
      <c r="V1008">
        <f>IFERROR(VLOOKUP(IF(I1008="ENFASIS",LEFT(M1008,FIND("+",M1008&amp;"+")-1),J1008),Direccion_Grupo!$A$2:$G$100,7,FALSE),"")</f>
        <v/>
      </c>
    </row>
    <row r="1009">
      <c r="A1009" t="n">
        <v>4</v>
      </c>
      <c r="B1009" t="inlineStr">
        <is>
          <t>Arizala Castro Roberto Carlos</t>
        </is>
      </c>
      <c r="C1009" t="inlineStr">
        <is>
          <t>JUEVES</t>
        </is>
      </c>
      <c r="D1009" t="n">
        <v>2</v>
      </c>
      <c r="E1009" t="n">
        <v>1</v>
      </c>
      <c r="F1009" t="n">
        <v>2</v>
      </c>
      <c r="G1009" t="inlineStr">
        <is>
          <t>07:15</t>
        </is>
      </c>
      <c r="H1009" t="inlineStr">
        <is>
          <t>08:00</t>
        </is>
      </c>
      <c r="I1009" t="inlineStr">
        <is>
          <t>ENFASIS</t>
        </is>
      </c>
      <c r="J1009" t="inlineStr"/>
      <c r="K1009" t="inlineStr">
        <is>
          <t>ERD</t>
        </is>
      </c>
      <c r="L1009" t="inlineStr">
        <is>
          <t>0702</t>
        </is>
      </c>
      <c r="M1009" t="inlineStr">
        <is>
          <t>0702</t>
        </is>
      </c>
      <c r="N1009" t="inlineStr">
        <is>
          <t>Ordóñez Tenorio Jaime Marcial (CNA)</t>
        </is>
      </c>
      <c r="O1009" t="inlineStr">
        <is>
          <t>PAREJA: comparten el énfasis y alternan por semana</t>
        </is>
      </c>
      <c r="P1009" t="inlineStr">
        <is>
          <t>ENFASIS-0702</t>
        </is>
      </c>
      <c r="Q1009">
        <f>IF(I1009="ENFASIS","ÉNFASIS "&amp;M1009,IFERROR(VLOOKUP(J1009,Grupos!$A$2:$D$100,4,FALSE),J1009))</f>
        <v/>
      </c>
      <c r="R1009">
        <f>O1009&amp;IF(N1009&lt;&gt;"",IF(O1009&lt;&gt;""," · ","")&amp;"Con: "&amp;N1009,"")</f>
        <v/>
      </c>
      <c r="S1009">
        <f>C1009&amp;"|"&amp;D1009</f>
        <v/>
      </c>
      <c r="T1009">
        <f>COUNTIF($S$2:S1009,S1009)</f>
        <v/>
      </c>
      <c r="U1009">
        <f>S1009&amp;"|"&amp;T1009</f>
        <v/>
      </c>
      <c r="V1009">
        <f>IFERROR(VLOOKUP(IF(I1009="ENFASIS",LEFT(M1009,FIND("+",M1009&amp;"+")-1),J1009),Direccion_Grupo!$A$2:$G$100,7,FALSE),"")</f>
        <v/>
      </c>
    </row>
    <row r="1010">
      <c r="A1010" t="n">
        <v>8</v>
      </c>
      <c r="B1010" t="inlineStr">
        <is>
          <t>Casanova Quiñones Yoli del Carmen</t>
        </is>
      </c>
      <c r="C1010" t="inlineStr">
        <is>
          <t>JUEVES</t>
        </is>
      </c>
      <c r="D1010" t="n">
        <v>2</v>
      </c>
      <c r="E1010" t="n">
        <v>1</v>
      </c>
      <c r="F1010" t="n">
        <v>2</v>
      </c>
      <c r="G1010" t="inlineStr">
        <is>
          <t>07:15</t>
        </is>
      </c>
      <c r="H1010" t="inlineStr">
        <is>
          <t>08:00</t>
        </is>
      </c>
      <c r="I1010" t="inlineStr">
        <is>
          <t>ENFASIS</t>
        </is>
      </c>
      <c r="J1010" t="inlineStr"/>
      <c r="K1010" t="inlineStr">
        <is>
          <t>ETR</t>
        </is>
      </c>
      <c r="L1010" t="inlineStr">
        <is>
          <t>0703</t>
        </is>
      </c>
      <c r="M1010" t="inlineStr">
        <is>
          <t>0703</t>
        </is>
      </c>
      <c r="N1010" t="inlineStr">
        <is>
          <t>Quintero Ramírez María del Carmen (CSI)</t>
        </is>
      </c>
      <c r="O1010" t="inlineStr">
        <is>
          <t>PAREJA: comparten el énfasis y alternan por semana</t>
        </is>
      </c>
      <c r="P1010" t="inlineStr">
        <is>
          <t>ENFASIS-0703</t>
        </is>
      </c>
      <c r="Q1010">
        <f>IF(I1010="ENFASIS","ÉNFASIS "&amp;M1010,IFERROR(VLOOKUP(J1010,Grupos!$A$2:$D$100,4,FALSE),J1010))</f>
        <v/>
      </c>
      <c r="R1010">
        <f>O1010&amp;IF(N1010&lt;&gt;"",IF(O1010&lt;&gt;""," · ","")&amp;"Con: "&amp;N1010,"")</f>
        <v/>
      </c>
      <c r="S1010">
        <f>C1010&amp;"|"&amp;D1010</f>
        <v/>
      </c>
      <c r="T1010">
        <f>COUNTIF($S$2:S1010,S1010)</f>
        <v/>
      </c>
      <c r="U1010">
        <f>S1010&amp;"|"&amp;T1010</f>
        <v/>
      </c>
      <c r="V1010">
        <f>IFERROR(VLOOKUP(IF(I1010="ENFASIS",LEFT(M1010,FIND("+",M1010&amp;"+")-1),J1010),Direccion_Grupo!$A$2:$G$100,7,FALSE),"")</f>
        <v/>
      </c>
    </row>
    <row r="1011">
      <c r="A1011" t="n">
        <v>41</v>
      </c>
      <c r="B1011" t="inlineStr">
        <is>
          <t>Quintero Ramírez María del Carmen</t>
        </is>
      </c>
      <c r="C1011" t="inlineStr">
        <is>
          <t>JUEVES</t>
        </is>
      </c>
      <c r="D1011" t="n">
        <v>2</v>
      </c>
      <c r="E1011" t="n">
        <v>1</v>
      </c>
      <c r="F1011" t="n">
        <v>2</v>
      </c>
      <c r="G1011" t="inlineStr">
        <is>
          <t>07:15</t>
        </is>
      </c>
      <c r="H1011" t="inlineStr">
        <is>
          <t>08:00</t>
        </is>
      </c>
      <c r="I1011" t="inlineStr">
        <is>
          <t>ENFASIS</t>
        </is>
      </c>
      <c r="J1011" t="inlineStr"/>
      <c r="K1011" t="inlineStr">
        <is>
          <t>CSI</t>
        </is>
      </c>
      <c r="L1011" t="inlineStr">
        <is>
          <t>0703</t>
        </is>
      </c>
      <c r="M1011" t="inlineStr">
        <is>
          <t>0703</t>
        </is>
      </c>
      <c r="N1011" t="inlineStr">
        <is>
          <t>Casanova Quiñones Yoli del Carmen (ETR)</t>
        </is>
      </c>
      <c r="O1011" t="inlineStr">
        <is>
          <t>PAREJA: comparten el énfasis y alternan por semana</t>
        </is>
      </c>
      <c r="P1011" t="inlineStr">
        <is>
          <t>ENFASIS-0703</t>
        </is>
      </c>
      <c r="Q1011">
        <f>IF(I1011="ENFASIS","ÉNFASIS "&amp;M1011,IFERROR(VLOOKUP(J1011,Grupos!$A$2:$D$100,4,FALSE),J1011))</f>
        <v/>
      </c>
      <c r="R1011">
        <f>O1011&amp;IF(N1011&lt;&gt;"",IF(O1011&lt;&gt;""," · ","")&amp;"Con: "&amp;N1011,"")</f>
        <v/>
      </c>
      <c r="S1011">
        <f>C1011&amp;"|"&amp;D1011</f>
        <v/>
      </c>
      <c r="T1011">
        <f>COUNTIF($S$2:S1011,S1011)</f>
        <v/>
      </c>
      <c r="U1011">
        <f>S1011&amp;"|"&amp;T1011</f>
        <v/>
      </c>
      <c r="V1011">
        <f>IFERROR(VLOOKUP(IF(I1011="ENFASIS",LEFT(M1011,FIND("+",M1011&amp;"+")-1),J1011),Direccion_Grupo!$A$2:$G$100,7,FALSE),"")</f>
        <v/>
      </c>
    </row>
    <row r="1012">
      <c r="A1012" t="n">
        <v>5</v>
      </c>
      <c r="B1012" t="inlineStr">
        <is>
          <t>Bastidas Valencia Zeneida Judith</t>
        </is>
      </c>
      <c r="C1012" t="inlineStr">
        <is>
          <t>JUEVES</t>
        </is>
      </c>
      <c r="D1012" t="n">
        <v>2</v>
      </c>
      <c r="E1012" t="n">
        <v>1</v>
      </c>
      <c r="F1012" t="n">
        <v>2</v>
      </c>
      <c r="G1012" t="inlineStr">
        <is>
          <t>07:15</t>
        </is>
      </c>
      <c r="H1012" t="inlineStr">
        <is>
          <t>08:00</t>
        </is>
      </c>
      <c r="I1012" t="inlineStr">
        <is>
          <t>ENFASIS</t>
        </is>
      </c>
      <c r="J1012" t="inlineStr"/>
      <c r="K1012" t="inlineStr">
        <is>
          <t>MAT</t>
        </is>
      </c>
      <c r="L1012" t="inlineStr">
        <is>
          <t>0902</t>
        </is>
      </c>
      <c r="M1012" t="inlineStr">
        <is>
          <t>0902</t>
        </is>
      </c>
      <c r="N1012" t="inlineStr">
        <is>
          <t>Betancourth Ocampo Yohana Patricia (CSI); Estacio Estupiñán Rosario (ETR); Mindineros Satizábal John Jáver (TEI)</t>
        </is>
      </c>
      <c r="O1012" t="inlineStr">
        <is>
          <t>EQUIPO DE 4: cada docente atiende un grupo de estudiantes en su área</t>
        </is>
      </c>
      <c r="P1012" t="inlineStr">
        <is>
          <t>ENFASIS-0902</t>
        </is>
      </c>
      <c r="Q1012">
        <f>IF(I1012="ENFASIS","ÉNFASIS "&amp;M1012,IFERROR(VLOOKUP(J1012,Grupos!$A$2:$D$100,4,FALSE),J1012))</f>
        <v/>
      </c>
      <c r="R1012">
        <f>O1012&amp;IF(N1012&lt;&gt;"",IF(O1012&lt;&gt;""," · ","")&amp;"Con: "&amp;N1012,"")</f>
        <v/>
      </c>
      <c r="S1012">
        <f>C1012&amp;"|"&amp;D1012</f>
        <v/>
      </c>
      <c r="T1012">
        <f>COUNTIF($S$2:S1012,S1012)</f>
        <v/>
      </c>
      <c r="U1012">
        <f>S1012&amp;"|"&amp;T1012</f>
        <v/>
      </c>
      <c r="V1012">
        <f>IFERROR(VLOOKUP(IF(I1012="ENFASIS",LEFT(M1012,FIND("+",M1012&amp;"+")-1),J1012),Direccion_Grupo!$A$2:$G$100,7,FALSE),"")</f>
        <v/>
      </c>
    </row>
    <row r="1013">
      <c r="A1013" t="n">
        <v>6</v>
      </c>
      <c r="B1013" t="inlineStr">
        <is>
          <t>Betancourth Ocampo Yohana Patricia</t>
        </is>
      </c>
      <c r="C1013" t="inlineStr">
        <is>
          <t>JUEVES</t>
        </is>
      </c>
      <c r="D1013" t="n">
        <v>2</v>
      </c>
      <c r="E1013" t="n">
        <v>1</v>
      </c>
      <c r="F1013" t="n">
        <v>2</v>
      </c>
      <c r="G1013" t="inlineStr">
        <is>
          <t>07:15</t>
        </is>
      </c>
      <c r="H1013" t="inlineStr">
        <is>
          <t>08:00</t>
        </is>
      </c>
      <c r="I1013" t="inlineStr">
        <is>
          <t>ENFASIS</t>
        </is>
      </c>
      <c r="J1013" t="inlineStr"/>
      <c r="K1013" t="inlineStr">
        <is>
          <t>CSI</t>
        </is>
      </c>
      <c r="L1013" t="inlineStr">
        <is>
          <t>0902</t>
        </is>
      </c>
      <c r="M1013" t="inlineStr">
        <is>
          <t>0902</t>
        </is>
      </c>
      <c r="N1013" t="inlineStr">
        <is>
          <t>Estacio Estupiñán Rosario (ETR); Bastidas Valencia Zeneida Judith (MAT); Mindineros Satizábal John Jáver (TEI)</t>
        </is>
      </c>
      <c r="O1013" t="inlineStr">
        <is>
          <t>EQUIPO DE 4: cada docente atiende un grupo de estudiantes en su área</t>
        </is>
      </c>
      <c r="P1013" t="inlineStr">
        <is>
          <t>ENFASIS-0902</t>
        </is>
      </c>
      <c r="Q1013">
        <f>IF(I1013="ENFASIS","ÉNFASIS "&amp;M1013,IFERROR(VLOOKUP(J1013,Grupos!$A$2:$D$100,4,FALSE),J1013))</f>
        <v/>
      </c>
      <c r="R1013">
        <f>O1013&amp;IF(N1013&lt;&gt;"",IF(O1013&lt;&gt;""," · ","")&amp;"Con: "&amp;N1013,"")</f>
        <v/>
      </c>
      <c r="S1013">
        <f>C1013&amp;"|"&amp;D1013</f>
        <v/>
      </c>
      <c r="T1013">
        <f>COUNTIF($S$2:S1013,S1013)</f>
        <v/>
      </c>
      <c r="U1013">
        <f>S1013&amp;"|"&amp;T1013</f>
        <v/>
      </c>
      <c r="V1013">
        <f>IFERROR(VLOOKUP(IF(I1013="ENFASIS",LEFT(M1013,FIND("+",M1013&amp;"+")-1),J1013),Direccion_Grupo!$A$2:$G$100,7,FALSE),"")</f>
        <v/>
      </c>
    </row>
    <row r="1014">
      <c r="A1014" t="n">
        <v>18</v>
      </c>
      <c r="B1014" t="inlineStr">
        <is>
          <t>Estacio Estupiñán Rosario</t>
        </is>
      </c>
      <c r="C1014" t="inlineStr">
        <is>
          <t>JUEVES</t>
        </is>
      </c>
      <c r="D1014" t="n">
        <v>2</v>
      </c>
      <c r="E1014" t="n">
        <v>1</v>
      </c>
      <c r="F1014" t="n">
        <v>2</v>
      </c>
      <c r="G1014" t="inlineStr">
        <is>
          <t>07:15</t>
        </is>
      </c>
      <c r="H1014" t="inlineStr">
        <is>
          <t>08:00</t>
        </is>
      </c>
      <c r="I1014" t="inlineStr">
        <is>
          <t>ENFASIS</t>
        </is>
      </c>
      <c r="J1014" t="inlineStr"/>
      <c r="K1014" t="inlineStr">
        <is>
          <t>ETR</t>
        </is>
      </c>
      <c r="L1014" t="inlineStr">
        <is>
          <t>0902</t>
        </is>
      </c>
      <c r="M1014" t="inlineStr">
        <is>
          <t>0902</t>
        </is>
      </c>
      <c r="N1014" t="inlineStr">
        <is>
          <t>Betancourth Ocampo Yohana Patricia (CSI); Bastidas Valencia Zeneida Judith (MAT); Mindineros Satizábal John Jáver (TEI)</t>
        </is>
      </c>
      <c r="O1014" t="inlineStr">
        <is>
          <t>EQUIPO DE 4: cada docente atiende un grupo de estudiantes en su área</t>
        </is>
      </c>
      <c r="P1014" t="inlineStr">
        <is>
          <t>ENFASIS-0902</t>
        </is>
      </c>
      <c r="Q1014">
        <f>IF(I1014="ENFASIS","ÉNFASIS "&amp;M1014,IFERROR(VLOOKUP(J1014,Grupos!$A$2:$D$100,4,FALSE),J1014))</f>
        <v/>
      </c>
      <c r="R1014">
        <f>O1014&amp;IF(N1014&lt;&gt;"",IF(O1014&lt;&gt;""," · ","")&amp;"Con: "&amp;N1014,"")</f>
        <v/>
      </c>
      <c r="S1014">
        <f>C1014&amp;"|"&amp;D1014</f>
        <v/>
      </c>
      <c r="T1014">
        <f>COUNTIF($S$2:S1014,S1014)</f>
        <v/>
      </c>
      <c r="U1014">
        <f>S1014&amp;"|"&amp;T1014</f>
        <v/>
      </c>
      <c r="V1014">
        <f>IFERROR(VLOOKUP(IF(I1014="ENFASIS",LEFT(M1014,FIND("+",M1014&amp;"+")-1),J1014),Direccion_Grupo!$A$2:$G$100,7,FALSE),"")</f>
        <v/>
      </c>
    </row>
    <row r="1015">
      <c r="A1015" t="n">
        <v>29</v>
      </c>
      <c r="B1015" t="inlineStr">
        <is>
          <t>Mindineros Satizábal John Jáver</t>
        </is>
      </c>
      <c r="C1015" t="inlineStr">
        <is>
          <t>JUEVES</t>
        </is>
      </c>
      <c r="D1015" t="n">
        <v>2</v>
      </c>
      <c r="E1015" t="n">
        <v>1</v>
      </c>
      <c r="F1015" t="n">
        <v>2</v>
      </c>
      <c r="G1015" t="inlineStr">
        <is>
          <t>07:15</t>
        </is>
      </c>
      <c r="H1015" t="inlineStr">
        <is>
          <t>08:00</t>
        </is>
      </c>
      <c r="I1015" t="inlineStr">
        <is>
          <t>ENFASIS</t>
        </is>
      </c>
      <c r="J1015" t="inlineStr"/>
      <c r="K1015" t="inlineStr">
        <is>
          <t>TEI</t>
        </is>
      </c>
      <c r="L1015" t="inlineStr">
        <is>
          <t>0902</t>
        </is>
      </c>
      <c r="M1015" t="inlineStr">
        <is>
          <t>0902</t>
        </is>
      </c>
      <c r="N1015" t="inlineStr">
        <is>
          <t>Betancourth Ocampo Yohana Patricia (CSI); Estacio Estupiñán Rosario (ETR); Bastidas Valencia Zeneida Judith (MAT)</t>
        </is>
      </c>
      <c r="O1015" t="inlineStr">
        <is>
          <t>EQUIPO DE 4: cada docente atiende un grupo de estudiantes en su área</t>
        </is>
      </c>
      <c r="P1015" t="inlineStr">
        <is>
          <t>ENFASIS-0902</t>
        </is>
      </c>
      <c r="Q1015">
        <f>IF(I1015="ENFASIS","ÉNFASIS "&amp;M1015,IFERROR(VLOOKUP(J1015,Grupos!$A$2:$D$100,4,FALSE),J1015))</f>
        <v/>
      </c>
      <c r="R1015">
        <f>O1015&amp;IF(N1015&lt;&gt;"",IF(O1015&lt;&gt;""," · ","")&amp;"Con: "&amp;N1015,"")</f>
        <v/>
      </c>
      <c r="S1015">
        <f>C1015&amp;"|"&amp;D1015</f>
        <v/>
      </c>
      <c r="T1015">
        <f>COUNTIF($S$2:S1015,S1015)</f>
        <v/>
      </c>
      <c r="U1015">
        <f>S1015&amp;"|"&amp;T1015</f>
        <v/>
      </c>
      <c r="V1015">
        <f>IFERROR(VLOOKUP(IF(I1015="ENFASIS",LEFT(M1015,FIND("+",M1015&amp;"+")-1),J1015),Direccion_Grupo!$A$2:$G$100,7,FALSE),"")</f>
        <v/>
      </c>
    </row>
    <row r="1016">
      <c r="A1016" t="n">
        <v>20</v>
      </c>
      <c r="B1016" t="inlineStr">
        <is>
          <t>García Gobea Saydi Magali</t>
        </is>
      </c>
      <c r="C1016" t="inlineStr">
        <is>
          <t>JUEVES</t>
        </is>
      </c>
      <c r="D1016" t="n">
        <v>2</v>
      </c>
      <c r="E1016" t="n">
        <v>1</v>
      </c>
      <c r="F1016" t="n">
        <v>2</v>
      </c>
      <c r="G1016" t="inlineStr">
        <is>
          <t>07:15</t>
        </is>
      </c>
      <c r="H1016" t="inlineStr">
        <is>
          <t>08:00</t>
        </is>
      </c>
      <c r="I1016" t="inlineStr">
        <is>
          <t>ENFASIS</t>
        </is>
      </c>
      <c r="J1016" t="inlineStr"/>
      <c r="K1016" t="inlineStr">
        <is>
          <t>CSI</t>
        </is>
      </c>
      <c r="L1016" t="inlineStr">
        <is>
          <t>CS101</t>
        </is>
      </c>
      <c r="M1016" t="inlineStr">
        <is>
          <t>CS101</t>
        </is>
      </c>
      <c r="N1016" t="inlineStr">
        <is>
          <t>Lozano Torres Amanda Inés (ETR)</t>
        </is>
      </c>
      <c r="O1016" t="inlineStr">
        <is>
          <t>PAREJA: comparten el énfasis y alternan por semana</t>
        </is>
      </c>
      <c r="P1016" t="inlineStr">
        <is>
          <t>ENFASIS-CS101</t>
        </is>
      </c>
      <c r="Q1016">
        <f>IF(I1016="ENFASIS","ÉNFASIS "&amp;M1016,IFERROR(VLOOKUP(J1016,Grupos!$A$2:$D$100,4,FALSE),J1016))</f>
        <v/>
      </c>
      <c r="R1016">
        <f>O1016&amp;IF(N1016&lt;&gt;"",IF(O1016&lt;&gt;""," · ","")&amp;"Con: "&amp;N1016,"")</f>
        <v/>
      </c>
      <c r="S1016">
        <f>C1016&amp;"|"&amp;D1016</f>
        <v/>
      </c>
      <c r="T1016">
        <f>COUNTIF($S$2:S1016,S1016)</f>
        <v/>
      </c>
      <c r="U1016">
        <f>S1016&amp;"|"&amp;T1016</f>
        <v/>
      </c>
      <c r="V1016">
        <f>IFERROR(VLOOKUP(IF(I1016="ENFASIS",LEFT(M1016,FIND("+",M1016&amp;"+")-1),J1016),Direccion_Grupo!$A$2:$G$100,7,FALSE),"")</f>
        <v/>
      </c>
    </row>
    <row r="1017">
      <c r="A1017" t="n">
        <v>26</v>
      </c>
      <c r="B1017" t="inlineStr">
        <is>
          <t>Lozano Torres Amanda Inés</t>
        </is>
      </c>
      <c r="C1017" t="inlineStr">
        <is>
          <t>JUEVES</t>
        </is>
      </c>
      <c r="D1017" t="n">
        <v>2</v>
      </c>
      <c r="E1017" t="n">
        <v>1</v>
      </c>
      <c r="F1017" t="n">
        <v>2</v>
      </c>
      <c r="G1017" t="inlineStr">
        <is>
          <t>07:15</t>
        </is>
      </c>
      <c r="H1017" t="inlineStr">
        <is>
          <t>08:00</t>
        </is>
      </c>
      <c r="I1017" t="inlineStr">
        <is>
          <t>ENFASIS</t>
        </is>
      </c>
      <c r="J1017" t="inlineStr"/>
      <c r="K1017" t="inlineStr">
        <is>
          <t>ETR</t>
        </is>
      </c>
      <c r="L1017" t="inlineStr">
        <is>
          <t>CS101</t>
        </is>
      </c>
      <c r="M1017" t="inlineStr">
        <is>
          <t>CS101</t>
        </is>
      </c>
      <c r="N1017" t="inlineStr">
        <is>
          <t>García Gobea Saydi Magali (CSI)</t>
        </is>
      </c>
      <c r="O1017" t="inlineStr">
        <is>
          <t>PAREJA: comparten el énfasis y alternan por semana</t>
        </is>
      </c>
      <c r="P1017" t="inlineStr">
        <is>
          <t>ENFASIS-CS101</t>
        </is>
      </c>
      <c r="Q1017">
        <f>IF(I1017="ENFASIS","ÉNFASIS "&amp;M1017,IFERROR(VLOOKUP(J1017,Grupos!$A$2:$D$100,4,FALSE),J1017))</f>
        <v/>
      </c>
      <c r="R1017">
        <f>O1017&amp;IF(N1017&lt;&gt;"",IF(O1017&lt;&gt;""," · ","")&amp;"Con: "&amp;N1017,"")</f>
        <v/>
      </c>
      <c r="S1017">
        <f>C1017&amp;"|"&amp;D1017</f>
        <v/>
      </c>
      <c r="T1017">
        <f>COUNTIF($S$2:S1017,S1017)</f>
        <v/>
      </c>
      <c r="U1017">
        <f>S1017&amp;"|"&amp;T1017</f>
        <v/>
      </c>
      <c r="V1017">
        <f>IFERROR(VLOOKUP(IF(I1017="ENFASIS",LEFT(M1017,FIND("+",M1017&amp;"+")-1),J1017),Direccion_Grupo!$A$2:$G$100,7,FALSE),"")</f>
        <v/>
      </c>
    </row>
    <row r="1018">
      <c r="A1018" t="n">
        <v>1</v>
      </c>
      <c r="B1018" t="inlineStr">
        <is>
          <t>Aguirre Riascos Jorge Andrés</t>
        </is>
      </c>
      <c r="C1018" t="inlineStr">
        <is>
          <t>JUEVES</t>
        </is>
      </c>
      <c r="D1018" t="n">
        <v>2</v>
      </c>
      <c r="E1018" t="n">
        <v>1</v>
      </c>
      <c r="F1018" t="n">
        <v>2</v>
      </c>
      <c r="G1018" t="inlineStr">
        <is>
          <t>07:15</t>
        </is>
      </c>
      <c r="H1018" t="inlineStr">
        <is>
          <t>08:00</t>
        </is>
      </c>
      <c r="I1018" t="inlineStr">
        <is>
          <t>ENFASIS</t>
        </is>
      </c>
      <c r="J1018" t="inlineStr"/>
      <c r="K1018" t="inlineStr">
        <is>
          <t>TEI</t>
        </is>
      </c>
      <c r="L1018" t="inlineStr">
        <is>
          <t>CS102</t>
        </is>
      </c>
      <c r="M1018" t="inlineStr">
        <is>
          <t>CS102</t>
        </is>
      </c>
      <c r="N1018" t="inlineStr">
        <is>
          <t>Vásquez Valencia Segundo Leoncio (MAT)</t>
        </is>
      </c>
      <c r="O1018" t="inlineStr">
        <is>
          <t>PAREJA: comparten el énfasis y alternan por semana</t>
        </is>
      </c>
      <c r="P1018" t="inlineStr">
        <is>
          <t>ENFASIS-CS102</t>
        </is>
      </c>
      <c r="Q1018">
        <f>IF(I1018="ENFASIS","ÉNFASIS "&amp;M1018,IFERROR(VLOOKUP(J1018,Grupos!$A$2:$D$100,4,FALSE),J1018))</f>
        <v/>
      </c>
      <c r="R1018">
        <f>O1018&amp;IF(N1018&lt;&gt;"",IF(O1018&lt;&gt;""," · ","")&amp;"Con: "&amp;N1018,"")</f>
        <v/>
      </c>
      <c r="S1018">
        <f>C1018&amp;"|"&amp;D1018</f>
        <v/>
      </c>
      <c r="T1018">
        <f>COUNTIF($S$2:S1018,S1018)</f>
        <v/>
      </c>
      <c r="U1018">
        <f>S1018&amp;"|"&amp;T1018</f>
        <v/>
      </c>
      <c r="V1018">
        <f>IFERROR(VLOOKUP(IF(I1018="ENFASIS",LEFT(M1018,FIND("+",M1018&amp;"+")-1),J1018),Direccion_Grupo!$A$2:$G$100,7,FALSE),"")</f>
        <v/>
      </c>
    </row>
    <row r="1019">
      <c r="A1019" t="n">
        <v>52</v>
      </c>
      <c r="B1019" t="inlineStr">
        <is>
          <t>Vásquez Valencia Segundo Leoncio</t>
        </is>
      </c>
      <c r="C1019" t="inlineStr">
        <is>
          <t>JUEVES</t>
        </is>
      </c>
      <c r="D1019" t="n">
        <v>2</v>
      </c>
      <c r="E1019" t="n">
        <v>1</v>
      </c>
      <c r="F1019" t="n">
        <v>2</v>
      </c>
      <c r="G1019" t="inlineStr">
        <is>
          <t>07:15</t>
        </is>
      </c>
      <c r="H1019" t="inlineStr">
        <is>
          <t>08:00</t>
        </is>
      </c>
      <c r="I1019" t="inlineStr">
        <is>
          <t>ENFASIS</t>
        </is>
      </c>
      <c r="J1019" t="inlineStr"/>
      <c r="K1019" t="inlineStr">
        <is>
          <t>MAT</t>
        </is>
      </c>
      <c r="L1019" t="inlineStr">
        <is>
          <t>CS102</t>
        </is>
      </c>
      <c r="M1019" t="inlineStr">
        <is>
          <t>CS102</t>
        </is>
      </c>
      <c r="N1019" t="inlineStr">
        <is>
          <t>Aguirre Riascos Jorge Andrés (TEI)</t>
        </is>
      </c>
      <c r="O1019" t="inlineStr">
        <is>
          <t>PAREJA: comparten el énfasis y alternan por semana</t>
        </is>
      </c>
      <c r="P1019" t="inlineStr">
        <is>
          <t>ENFASIS-CS102</t>
        </is>
      </c>
      <c r="Q1019">
        <f>IF(I1019="ENFASIS","ÉNFASIS "&amp;M1019,IFERROR(VLOOKUP(J1019,Grupos!$A$2:$D$100,4,FALSE),J1019))</f>
        <v/>
      </c>
      <c r="R1019">
        <f>O1019&amp;IF(N1019&lt;&gt;"",IF(O1019&lt;&gt;""," · ","")&amp;"Con: "&amp;N1019,"")</f>
        <v/>
      </c>
      <c r="S1019">
        <f>C1019&amp;"|"&amp;D1019</f>
        <v/>
      </c>
      <c r="T1019">
        <f>COUNTIF($S$2:S1019,S1019)</f>
        <v/>
      </c>
      <c r="U1019">
        <f>S1019&amp;"|"&amp;T1019</f>
        <v/>
      </c>
      <c r="V1019">
        <f>IFERROR(VLOOKUP(IF(I1019="ENFASIS",LEFT(M1019,FIND("+",M1019&amp;"+")-1),J1019),Direccion_Grupo!$A$2:$G$100,7,FALSE),"")</f>
        <v/>
      </c>
    </row>
    <row r="1020">
      <c r="A1020" t="n">
        <v>50</v>
      </c>
      <c r="B1020" t="inlineStr">
        <is>
          <t>Valencia Solís Gloria Alexa</t>
        </is>
      </c>
      <c r="C1020" t="inlineStr">
        <is>
          <t>JUEVES</t>
        </is>
      </c>
      <c r="D1020" t="n">
        <v>3</v>
      </c>
      <c r="E1020" t="n">
        <v>2</v>
      </c>
      <c r="F1020" t="n">
        <v>1</v>
      </c>
      <c r="G1020" t="inlineStr">
        <is>
          <t>07:30</t>
        </is>
      </c>
      <c r="H1020" t="inlineStr">
        <is>
          <t>08:30</t>
        </is>
      </c>
      <c r="I1020" t="inlineStr">
        <is>
          <t>AREAS_MULTIPLES</t>
        </is>
      </c>
      <c r="J1020" t="inlineStr">
        <is>
          <t>0001</t>
        </is>
      </c>
      <c r="K1020" t="inlineStr">
        <is>
          <t>ÁREAS MÚLTIPLES</t>
        </is>
      </c>
      <c r="L1020" t="inlineStr"/>
      <c r="M1020" t="inlineStr"/>
      <c r="N1020" t="inlineStr"/>
      <c r="O1020" t="inlineStr">
        <is>
          <t>Maestro de aula: todas las áreas con su grupo</t>
        </is>
      </c>
      <c r="P1020" t="inlineStr"/>
      <c r="Q1020">
        <f>IF(I1020="ENFASIS","ÉNFASIS "&amp;M1020,IFERROR(VLOOKUP(J1020,Grupos!$A$2:$D$100,4,FALSE),J1020))</f>
        <v/>
      </c>
      <c r="R1020">
        <f>O1020&amp;IF(N1020&lt;&gt;"",IF(O1020&lt;&gt;""," · ","")&amp;"Con: "&amp;N1020,"")</f>
        <v/>
      </c>
      <c r="S1020">
        <f>C1020&amp;"|"&amp;D1020</f>
        <v/>
      </c>
      <c r="T1020">
        <f>COUNTIF($S$2:S1020,S1020)</f>
        <v/>
      </c>
      <c r="U1020">
        <f>S1020&amp;"|"&amp;T1020</f>
        <v/>
      </c>
      <c r="V1020">
        <f>IFERROR(VLOOKUP(IF(I1020="ENFASIS",LEFT(M1020,FIND("+",M1020&amp;"+")-1),J1020),Direccion_Grupo!$A$2:$G$100,7,FALSE),"")</f>
        <v/>
      </c>
    </row>
    <row r="1021">
      <c r="A1021" t="n">
        <v>27</v>
      </c>
      <c r="B1021" t="inlineStr">
        <is>
          <t>Martínez Álvarez Andrea Ascención</t>
        </is>
      </c>
      <c r="C1021" t="inlineStr">
        <is>
          <t>JUEVES</t>
        </is>
      </c>
      <c r="D1021" t="n">
        <v>3</v>
      </c>
      <c r="E1021" t="n">
        <v>2</v>
      </c>
      <c r="F1021" t="n">
        <v>1</v>
      </c>
      <c r="G1021" t="inlineStr">
        <is>
          <t>07:30</t>
        </is>
      </c>
      <c r="H1021" t="inlineStr">
        <is>
          <t>08:30</t>
        </is>
      </c>
      <c r="I1021" t="inlineStr">
        <is>
          <t>AREAS_MULTIPLES</t>
        </is>
      </c>
      <c r="J1021" t="inlineStr">
        <is>
          <t>0002</t>
        </is>
      </c>
      <c r="K1021" t="inlineStr">
        <is>
          <t>ÁREAS MÚLTIPLES</t>
        </is>
      </c>
      <c r="L1021" t="inlineStr"/>
      <c r="M1021" t="inlineStr"/>
      <c r="N1021" t="inlineStr"/>
      <c r="O1021" t="inlineStr">
        <is>
          <t>Maestro de aula: todas las áreas con su grupo</t>
        </is>
      </c>
      <c r="P1021" t="inlineStr"/>
      <c r="Q1021">
        <f>IF(I1021="ENFASIS","ÉNFASIS "&amp;M1021,IFERROR(VLOOKUP(J1021,Grupos!$A$2:$D$100,4,FALSE),J1021))</f>
        <v/>
      </c>
      <c r="R1021">
        <f>O1021&amp;IF(N1021&lt;&gt;"",IF(O1021&lt;&gt;""," · ","")&amp;"Con: "&amp;N1021,"")</f>
        <v/>
      </c>
      <c r="S1021">
        <f>C1021&amp;"|"&amp;D1021</f>
        <v/>
      </c>
      <c r="T1021">
        <f>COUNTIF($S$2:S1021,S1021)</f>
        <v/>
      </c>
      <c r="U1021">
        <f>S1021&amp;"|"&amp;T1021</f>
        <v/>
      </c>
      <c r="V1021">
        <f>IFERROR(VLOOKUP(IF(I1021="ENFASIS",LEFT(M1021,FIND("+",M1021&amp;"+")-1),J1021),Direccion_Grupo!$A$2:$G$100,7,FALSE),"")</f>
        <v/>
      </c>
    </row>
    <row r="1022">
      <c r="A1022" t="n">
        <v>23</v>
      </c>
      <c r="B1022" t="inlineStr">
        <is>
          <t>Landázuri Quiñones María Elia</t>
        </is>
      </c>
      <c r="C1022" t="inlineStr">
        <is>
          <t>JUEVES</t>
        </is>
      </c>
      <c r="D1022" t="n">
        <v>3</v>
      </c>
      <c r="E1022" t="n">
        <v>2</v>
      </c>
      <c r="F1022" t="n">
        <v>1</v>
      </c>
      <c r="G1022" t="inlineStr">
        <is>
          <t>08:20</t>
        </is>
      </c>
      <c r="H1022" t="inlineStr">
        <is>
          <t>09:05</t>
        </is>
      </c>
      <c r="I1022" t="inlineStr">
        <is>
          <t>AREAS_MULTIPLES</t>
        </is>
      </c>
      <c r="J1022" t="inlineStr">
        <is>
          <t>0101</t>
        </is>
      </c>
      <c r="K1022" t="inlineStr">
        <is>
          <t>ÁREAS MÚLTIPLES</t>
        </is>
      </c>
      <c r="L1022" t="inlineStr"/>
      <c r="M1022" t="inlineStr"/>
      <c r="N1022" t="inlineStr"/>
      <c r="O1022" t="inlineStr">
        <is>
          <t>Maestro de aula: todas las áreas con su grupo</t>
        </is>
      </c>
      <c r="P1022" t="inlineStr"/>
      <c r="Q1022">
        <f>IF(I1022="ENFASIS","ÉNFASIS "&amp;M1022,IFERROR(VLOOKUP(J1022,Grupos!$A$2:$D$100,4,FALSE),J1022))</f>
        <v/>
      </c>
      <c r="R1022">
        <f>O1022&amp;IF(N1022&lt;&gt;"",IF(O1022&lt;&gt;""," · ","")&amp;"Con: "&amp;N1022,"")</f>
        <v/>
      </c>
      <c r="S1022">
        <f>C1022&amp;"|"&amp;D1022</f>
        <v/>
      </c>
      <c r="T1022">
        <f>COUNTIF($S$2:S1022,S1022)</f>
        <v/>
      </c>
      <c r="U1022">
        <f>S1022&amp;"|"&amp;T1022</f>
        <v/>
      </c>
      <c r="V1022">
        <f>IFERROR(VLOOKUP(IF(I1022="ENFASIS",LEFT(M1022,FIND("+",M1022&amp;"+")-1),J1022),Direccion_Grupo!$A$2:$G$100,7,FALSE),"")</f>
        <v/>
      </c>
    </row>
    <row r="1023">
      <c r="A1023" t="n">
        <v>45</v>
      </c>
      <c r="B1023" t="inlineStr">
        <is>
          <t>Sinisterra Ana Lucía</t>
        </is>
      </c>
      <c r="C1023" t="inlineStr">
        <is>
          <t>JUEVES</t>
        </is>
      </c>
      <c r="D1023" t="n">
        <v>3</v>
      </c>
      <c r="E1023" t="n">
        <v>2</v>
      </c>
      <c r="F1023" t="n">
        <v>1</v>
      </c>
      <c r="G1023" t="inlineStr">
        <is>
          <t>08:20</t>
        </is>
      </c>
      <c r="H1023" t="inlineStr">
        <is>
          <t>09:05</t>
        </is>
      </c>
      <c r="I1023" t="inlineStr">
        <is>
          <t>AREAS_MULTIPLES</t>
        </is>
      </c>
      <c r="J1023" t="inlineStr">
        <is>
          <t>0102</t>
        </is>
      </c>
      <c r="K1023" t="inlineStr">
        <is>
          <t>ÁREAS MÚLTIPLES</t>
        </is>
      </c>
      <c r="L1023" t="inlineStr"/>
      <c r="M1023" t="inlineStr"/>
      <c r="N1023" t="inlineStr"/>
      <c r="O1023" t="inlineStr">
        <is>
          <t>Maestro de aula: todas las áreas con su grupo</t>
        </is>
      </c>
      <c r="P1023" t="inlineStr"/>
      <c r="Q1023">
        <f>IF(I1023="ENFASIS","ÉNFASIS "&amp;M1023,IFERROR(VLOOKUP(J1023,Grupos!$A$2:$D$100,4,FALSE),J1023))</f>
        <v/>
      </c>
      <c r="R1023">
        <f>O1023&amp;IF(N1023&lt;&gt;"",IF(O1023&lt;&gt;""," · ","")&amp;"Con: "&amp;N1023,"")</f>
        <v/>
      </c>
      <c r="S1023">
        <f>C1023&amp;"|"&amp;D1023</f>
        <v/>
      </c>
      <c r="T1023">
        <f>COUNTIF($S$2:S1023,S1023)</f>
        <v/>
      </c>
      <c r="U1023">
        <f>S1023&amp;"|"&amp;T1023</f>
        <v/>
      </c>
      <c r="V1023">
        <f>IFERROR(VLOOKUP(IF(I1023="ENFASIS",LEFT(M1023,FIND("+",M1023&amp;"+")-1),J1023),Direccion_Grupo!$A$2:$G$100,7,FALSE),"")</f>
        <v/>
      </c>
    </row>
    <row r="1024">
      <c r="A1024" t="n">
        <v>13</v>
      </c>
      <c r="B1024" t="inlineStr">
        <is>
          <t>Cortés Salazar María Ebelice</t>
        </is>
      </c>
      <c r="C1024" t="inlineStr">
        <is>
          <t>JUEVES</t>
        </is>
      </c>
      <c r="D1024" t="n">
        <v>3</v>
      </c>
      <c r="E1024" t="n">
        <v>2</v>
      </c>
      <c r="F1024" t="n">
        <v>1</v>
      </c>
      <c r="G1024" t="inlineStr">
        <is>
          <t>08:20</t>
        </is>
      </c>
      <c r="H1024" t="inlineStr">
        <is>
          <t>09:05</t>
        </is>
      </c>
      <c r="I1024" t="inlineStr">
        <is>
          <t>AREAS_MULTIPLES</t>
        </is>
      </c>
      <c r="J1024" t="inlineStr">
        <is>
          <t>0201</t>
        </is>
      </c>
      <c r="K1024" t="inlineStr">
        <is>
          <t>ÁREAS MÚLTIPLES</t>
        </is>
      </c>
      <c r="L1024" t="inlineStr"/>
      <c r="M1024" t="inlineStr"/>
      <c r="N1024" t="inlineStr"/>
      <c r="O1024" t="inlineStr">
        <is>
          <t>Maestro de aula: todas las áreas con su grupo</t>
        </is>
      </c>
      <c r="P1024" t="inlineStr"/>
      <c r="Q1024">
        <f>IF(I1024="ENFASIS","ÉNFASIS "&amp;M1024,IFERROR(VLOOKUP(J1024,Grupos!$A$2:$D$100,4,FALSE),J1024))</f>
        <v/>
      </c>
      <c r="R1024">
        <f>O1024&amp;IF(N1024&lt;&gt;"",IF(O1024&lt;&gt;""," · ","")&amp;"Con: "&amp;N1024,"")</f>
        <v/>
      </c>
      <c r="S1024">
        <f>C1024&amp;"|"&amp;D1024</f>
        <v/>
      </c>
      <c r="T1024">
        <f>COUNTIF($S$2:S1024,S1024)</f>
        <v/>
      </c>
      <c r="U1024">
        <f>S1024&amp;"|"&amp;T1024</f>
        <v/>
      </c>
      <c r="V1024">
        <f>IFERROR(VLOOKUP(IF(I1024="ENFASIS",LEFT(M1024,FIND("+",M1024&amp;"+")-1),J1024),Direccion_Grupo!$A$2:$G$100,7,FALSE),"")</f>
        <v/>
      </c>
    </row>
    <row r="1025">
      <c r="A1025" t="n">
        <v>21</v>
      </c>
      <c r="B1025" t="inlineStr">
        <is>
          <t>Garzón Quiñones Sixta Janina</t>
        </is>
      </c>
      <c r="C1025" t="inlineStr">
        <is>
          <t>JUEVES</t>
        </is>
      </c>
      <c r="D1025" t="n">
        <v>3</v>
      </c>
      <c r="E1025" t="n">
        <v>2</v>
      </c>
      <c r="F1025" t="n">
        <v>1</v>
      </c>
      <c r="G1025" t="inlineStr">
        <is>
          <t>08:20</t>
        </is>
      </c>
      <c r="H1025" t="inlineStr">
        <is>
          <t>09:05</t>
        </is>
      </c>
      <c r="I1025" t="inlineStr">
        <is>
          <t>AREAS_MULTIPLES</t>
        </is>
      </c>
      <c r="J1025" t="inlineStr">
        <is>
          <t>0202</t>
        </is>
      </c>
      <c r="K1025" t="inlineStr">
        <is>
          <t>ÁREAS MÚLTIPLES</t>
        </is>
      </c>
      <c r="L1025" t="inlineStr"/>
      <c r="M1025" t="inlineStr"/>
      <c r="N1025" t="inlineStr"/>
      <c r="O1025" t="inlineStr">
        <is>
          <t>Maestro de aula: todas las áreas con su grupo</t>
        </is>
      </c>
      <c r="P1025" t="inlineStr"/>
      <c r="Q1025">
        <f>IF(I1025="ENFASIS","ÉNFASIS "&amp;M1025,IFERROR(VLOOKUP(J1025,Grupos!$A$2:$D$100,4,FALSE),J1025))</f>
        <v/>
      </c>
      <c r="R1025">
        <f>O1025&amp;IF(N1025&lt;&gt;"",IF(O1025&lt;&gt;""," · ","")&amp;"Con: "&amp;N1025,"")</f>
        <v/>
      </c>
      <c r="S1025">
        <f>C1025&amp;"|"&amp;D1025</f>
        <v/>
      </c>
      <c r="T1025">
        <f>COUNTIF($S$2:S1025,S1025)</f>
        <v/>
      </c>
      <c r="U1025">
        <f>S1025&amp;"|"&amp;T1025</f>
        <v/>
      </c>
      <c r="V1025">
        <f>IFERROR(VLOOKUP(IF(I1025="ENFASIS",LEFT(M1025,FIND("+",M1025&amp;"+")-1),J1025),Direccion_Grupo!$A$2:$G$100,7,FALSE),"")</f>
        <v/>
      </c>
    </row>
    <row r="1026">
      <c r="A1026" t="n">
        <v>46</v>
      </c>
      <c r="B1026" t="inlineStr">
        <is>
          <t>Tenorio Cuero Lucy Bivian</t>
        </is>
      </c>
      <c r="C1026" t="inlineStr">
        <is>
          <t>JUEVES</t>
        </is>
      </c>
      <c r="D1026" t="n">
        <v>3</v>
      </c>
      <c r="E1026" t="n">
        <v>2</v>
      </c>
      <c r="F1026" t="n">
        <v>1</v>
      </c>
      <c r="G1026" t="inlineStr">
        <is>
          <t>08:20</t>
        </is>
      </c>
      <c r="H1026" t="inlineStr">
        <is>
          <t>09:05</t>
        </is>
      </c>
      <c r="I1026" t="inlineStr">
        <is>
          <t>AREAS_MULTIPLES</t>
        </is>
      </c>
      <c r="J1026" t="inlineStr">
        <is>
          <t>0203</t>
        </is>
      </c>
      <c r="K1026" t="inlineStr">
        <is>
          <t>ÁREAS MÚLTIPLES</t>
        </is>
      </c>
      <c r="L1026" t="inlineStr"/>
      <c r="M1026" t="inlineStr"/>
      <c r="N1026" t="inlineStr"/>
      <c r="O1026" t="inlineStr">
        <is>
          <t>Maestro de aula: todas las áreas con su grupo</t>
        </is>
      </c>
      <c r="P1026" t="inlineStr"/>
      <c r="Q1026">
        <f>IF(I1026="ENFASIS","ÉNFASIS "&amp;M1026,IFERROR(VLOOKUP(J1026,Grupos!$A$2:$D$100,4,FALSE),J1026))</f>
        <v/>
      </c>
      <c r="R1026">
        <f>O1026&amp;IF(N1026&lt;&gt;"",IF(O1026&lt;&gt;""," · ","")&amp;"Con: "&amp;N1026,"")</f>
        <v/>
      </c>
      <c r="S1026">
        <f>C1026&amp;"|"&amp;D1026</f>
        <v/>
      </c>
      <c r="T1026">
        <f>COUNTIF($S$2:S1026,S1026)</f>
        <v/>
      </c>
      <c r="U1026">
        <f>S1026&amp;"|"&amp;T1026</f>
        <v/>
      </c>
      <c r="V1026">
        <f>IFERROR(VLOOKUP(IF(I1026="ENFASIS",LEFT(M1026,FIND("+",M1026&amp;"+")-1),J1026),Direccion_Grupo!$A$2:$G$100,7,FALSE),"")</f>
        <v/>
      </c>
    </row>
    <row r="1027">
      <c r="A1027" t="n">
        <v>48</v>
      </c>
      <c r="B1027" t="inlineStr">
        <is>
          <t>Torres Segura Encarnación</t>
        </is>
      </c>
      <c r="C1027" t="inlineStr">
        <is>
          <t>JUEVES</t>
        </is>
      </c>
      <c r="D1027" t="n">
        <v>3</v>
      </c>
      <c r="E1027" t="n">
        <v>2</v>
      </c>
      <c r="F1027" t="n">
        <v>1</v>
      </c>
      <c r="G1027" t="inlineStr">
        <is>
          <t>08:20</t>
        </is>
      </c>
      <c r="H1027" t="inlineStr">
        <is>
          <t>09:05</t>
        </is>
      </c>
      <c r="I1027" t="inlineStr">
        <is>
          <t>AREAS_MULTIPLES</t>
        </is>
      </c>
      <c r="J1027" t="inlineStr">
        <is>
          <t>0301</t>
        </is>
      </c>
      <c r="K1027" t="inlineStr">
        <is>
          <t>ÁREAS MÚLTIPLES</t>
        </is>
      </c>
      <c r="L1027" t="inlineStr"/>
      <c r="M1027" t="inlineStr"/>
      <c r="N1027" t="inlineStr"/>
      <c r="O1027" t="inlineStr">
        <is>
          <t>Maestro de aula: todas las áreas con su grupo</t>
        </is>
      </c>
      <c r="P1027" t="inlineStr"/>
      <c r="Q1027">
        <f>IF(I1027="ENFASIS","ÉNFASIS "&amp;M1027,IFERROR(VLOOKUP(J1027,Grupos!$A$2:$D$100,4,FALSE),J1027))</f>
        <v/>
      </c>
      <c r="R1027">
        <f>O1027&amp;IF(N1027&lt;&gt;"",IF(O1027&lt;&gt;""," · ","")&amp;"Con: "&amp;N1027,"")</f>
        <v/>
      </c>
      <c r="S1027">
        <f>C1027&amp;"|"&amp;D1027</f>
        <v/>
      </c>
      <c r="T1027">
        <f>COUNTIF($S$2:S1027,S1027)</f>
        <v/>
      </c>
      <c r="U1027">
        <f>S1027&amp;"|"&amp;T1027</f>
        <v/>
      </c>
      <c r="V1027">
        <f>IFERROR(VLOOKUP(IF(I1027="ENFASIS",LEFT(M1027,FIND("+",M1027&amp;"+")-1),J1027),Direccion_Grupo!$A$2:$G$100,7,FALSE),"")</f>
        <v/>
      </c>
    </row>
    <row r="1028">
      <c r="A1028" t="n">
        <v>24</v>
      </c>
      <c r="B1028" t="inlineStr">
        <is>
          <t>Landázuri Gallón Teresa</t>
        </is>
      </c>
      <c r="C1028" t="inlineStr">
        <is>
          <t>JUEVES</t>
        </is>
      </c>
      <c r="D1028" t="n">
        <v>3</v>
      </c>
      <c r="E1028" t="n">
        <v>2</v>
      </c>
      <c r="F1028" t="n">
        <v>1</v>
      </c>
      <c r="G1028" t="inlineStr">
        <is>
          <t>08:20</t>
        </is>
      </c>
      <c r="H1028" t="inlineStr">
        <is>
          <t>09:05</t>
        </is>
      </c>
      <c r="I1028" t="inlineStr">
        <is>
          <t>AREAS_MULTIPLES</t>
        </is>
      </c>
      <c r="J1028" t="inlineStr">
        <is>
          <t>0302</t>
        </is>
      </c>
      <c r="K1028" t="inlineStr">
        <is>
          <t>ÁREAS MÚLTIPLES</t>
        </is>
      </c>
      <c r="L1028" t="inlineStr"/>
      <c r="M1028" t="inlineStr"/>
      <c r="N1028" t="inlineStr"/>
      <c r="O1028" t="inlineStr">
        <is>
          <t>Maestro de aula: todas las áreas con su grupo</t>
        </is>
      </c>
      <c r="P1028" t="inlineStr"/>
      <c r="Q1028">
        <f>IF(I1028="ENFASIS","ÉNFASIS "&amp;M1028,IFERROR(VLOOKUP(J1028,Grupos!$A$2:$D$100,4,FALSE),J1028))</f>
        <v/>
      </c>
      <c r="R1028">
        <f>O1028&amp;IF(N1028&lt;&gt;"",IF(O1028&lt;&gt;""," · ","")&amp;"Con: "&amp;N1028,"")</f>
        <v/>
      </c>
      <c r="S1028">
        <f>C1028&amp;"|"&amp;D1028</f>
        <v/>
      </c>
      <c r="T1028">
        <f>COUNTIF($S$2:S1028,S1028)</f>
        <v/>
      </c>
      <c r="U1028">
        <f>S1028&amp;"|"&amp;T1028</f>
        <v/>
      </c>
      <c r="V1028">
        <f>IFERROR(VLOOKUP(IF(I1028="ENFASIS",LEFT(M1028,FIND("+",M1028&amp;"+")-1),J1028),Direccion_Grupo!$A$2:$G$100,7,FALSE),"")</f>
        <v/>
      </c>
    </row>
    <row r="1029">
      <c r="A1029" t="n">
        <v>55</v>
      </c>
      <c r="B1029" t="inlineStr">
        <is>
          <t>Zamora Ordóñez Celia Pastora</t>
        </is>
      </c>
      <c r="C1029" t="inlineStr">
        <is>
          <t>JUEVES</t>
        </is>
      </c>
      <c r="D1029" t="n">
        <v>3</v>
      </c>
      <c r="E1029" t="n">
        <v>2</v>
      </c>
      <c r="F1029" t="n">
        <v>1</v>
      </c>
      <c r="G1029" t="inlineStr">
        <is>
          <t>08:20</t>
        </is>
      </c>
      <c r="H1029" t="inlineStr">
        <is>
          <t>09:05</t>
        </is>
      </c>
      <c r="I1029" t="inlineStr">
        <is>
          <t>AREAS_MULTIPLES</t>
        </is>
      </c>
      <c r="J1029" t="inlineStr">
        <is>
          <t>0401</t>
        </is>
      </c>
      <c r="K1029" t="inlineStr">
        <is>
          <t>ÁREAS MÚLTIPLES</t>
        </is>
      </c>
      <c r="L1029" t="inlineStr"/>
      <c r="M1029" t="inlineStr"/>
      <c r="N1029" t="inlineStr"/>
      <c r="O1029" t="inlineStr">
        <is>
          <t>Maestro de aula: todas las áreas con su grupo</t>
        </is>
      </c>
      <c r="P1029" t="inlineStr"/>
      <c r="Q1029">
        <f>IF(I1029="ENFASIS","ÉNFASIS "&amp;M1029,IFERROR(VLOOKUP(J1029,Grupos!$A$2:$D$100,4,FALSE),J1029))</f>
        <v/>
      </c>
      <c r="R1029">
        <f>O1029&amp;IF(N1029&lt;&gt;"",IF(O1029&lt;&gt;""," · ","")&amp;"Con: "&amp;N1029,"")</f>
        <v/>
      </c>
      <c r="S1029">
        <f>C1029&amp;"|"&amp;D1029</f>
        <v/>
      </c>
      <c r="T1029">
        <f>COUNTIF($S$2:S1029,S1029)</f>
        <v/>
      </c>
      <c r="U1029">
        <f>S1029&amp;"|"&amp;T1029</f>
        <v/>
      </c>
      <c r="V1029">
        <f>IFERROR(VLOOKUP(IF(I1029="ENFASIS",LEFT(M1029,FIND("+",M1029&amp;"+")-1),J1029),Direccion_Grupo!$A$2:$G$100,7,FALSE),"")</f>
        <v/>
      </c>
    </row>
    <row r="1030">
      <c r="A1030" t="n">
        <v>33</v>
      </c>
      <c r="B1030" t="inlineStr">
        <is>
          <t>Núñez Perlaza Elcy</t>
        </is>
      </c>
      <c r="C1030" t="inlineStr">
        <is>
          <t>JUEVES</t>
        </is>
      </c>
      <c r="D1030" t="n">
        <v>3</v>
      </c>
      <c r="E1030" t="n">
        <v>2</v>
      </c>
      <c r="F1030" t="n">
        <v>1</v>
      </c>
      <c r="G1030" t="inlineStr">
        <is>
          <t>08:20</t>
        </is>
      </c>
      <c r="H1030" t="inlineStr">
        <is>
          <t>09:05</t>
        </is>
      </c>
      <c r="I1030" t="inlineStr">
        <is>
          <t>AREAS_MULTIPLES</t>
        </is>
      </c>
      <c r="J1030" t="inlineStr">
        <is>
          <t>0402</t>
        </is>
      </c>
      <c r="K1030" t="inlineStr">
        <is>
          <t>ÁREAS MÚLTIPLES</t>
        </is>
      </c>
      <c r="L1030" t="inlineStr"/>
      <c r="M1030" t="inlineStr"/>
      <c r="N1030" t="inlineStr"/>
      <c r="O1030" t="inlineStr">
        <is>
          <t>Maestro de aula: todas las áreas con su grupo</t>
        </is>
      </c>
      <c r="P1030" t="inlineStr"/>
      <c r="Q1030">
        <f>IF(I1030="ENFASIS","ÉNFASIS "&amp;M1030,IFERROR(VLOOKUP(J1030,Grupos!$A$2:$D$100,4,FALSE),J1030))</f>
        <v/>
      </c>
      <c r="R1030">
        <f>O1030&amp;IF(N1030&lt;&gt;"",IF(O1030&lt;&gt;""," · ","")&amp;"Con: "&amp;N1030,"")</f>
        <v/>
      </c>
      <c r="S1030">
        <f>C1030&amp;"|"&amp;D1030</f>
        <v/>
      </c>
      <c r="T1030">
        <f>COUNTIF($S$2:S1030,S1030)</f>
        <v/>
      </c>
      <c r="U1030">
        <f>S1030&amp;"|"&amp;T1030</f>
        <v/>
      </c>
      <c r="V1030">
        <f>IFERROR(VLOOKUP(IF(I1030="ENFASIS",LEFT(M1030,FIND("+",M1030&amp;"+")-1),J1030),Direccion_Grupo!$A$2:$G$100,7,FALSE),"")</f>
        <v/>
      </c>
    </row>
    <row r="1031">
      <c r="A1031" t="n">
        <v>14</v>
      </c>
      <c r="B1031" t="inlineStr">
        <is>
          <t>Cuéllar Gallo Nemesia</t>
        </is>
      </c>
      <c r="C1031" t="inlineStr">
        <is>
          <t>JUEVES</t>
        </is>
      </c>
      <c r="D1031" t="n">
        <v>3</v>
      </c>
      <c r="E1031" t="n">
        <v>2</v>
      </c>
      <c r="F1031" t="n">
        <v>1</v>
      </c>
      <c r="G1031" t="inlineStr">
        <is>
          <t>08:20</t>
        </is>
      </c>
      <c r="H1031" t="inlineStr">
        <is>
          <t>09:05</t>
        </is>
      </c>
      <c r="I1031" t="inlineStr">
        <is>
          <t>AREAS_MULTIPLES</t>
        </is>
      </c>
      <c r="J1031" t="inlineStr">
        <is>
          <t>0501</t>
        </is>
      </c>
      <c r="K1031" t="inlineStr">
        <is>
          <t>ÁREAS MÚLTIPLES</t>
        </is>
      </c>
      <c r="L1031" t="inlineStr"/>
      <c r="M1031" t="inlineStr"/>
      <c r="N1031" t="inlineStr"/>
      <c r="O1031" t="inlineStr">
        <is>
          <t>Maestro de aula: todas las áreas con su grupo</t>
        </is>
      </c>
      <c r="P1031" t="inlineStr"/>
      <c r="Q1031">
        <f>IF(I1031="ENFASIS","ÉNFASIS "&amp;M1031,IFERROR(VLOOKUP(J1031,Grupos!$A$2:$D$100,4,FALSE),J1031))</f>
        <v/>
      </c>
      <c r="R1031">
        <f>O1031&amp;IF(N1031&lt;&gt;"",IF(O1031&lt;&gt;""," · ","")&amp;"Con: "&amp;N1031,"")</f>
        <v/>
      </c>
      <c r="S1031">
        <f>C1031&amp;"|"&amp;D1031</f>
        <v/>
      </c>
      <c r="T1031">
        <f>COUNTIF($S$2:S1031,S1031)</f>
        <v/>
      </c>
      <c r="U1031">
        <f>S1031&amp;"|"&amp;T1031</f>
        <v/>
      </c>
      <c r="V1031">
        <f>IFERROR(VLOOKUP(IF(I1031="ENFASIS",LEFT(M1031,FIND("+",M1031&amp;"+")-1),J1031),Direccion_Grupo!$A$2:$G$100,7,FALSE),"")</f>
        <v/>
      </c>
    </row>
    <row r="1032">
      <c r="A1032" t="n">
        <v>11</v>
      </c>
      <c r="B1032" t="inlineStr">
        <is>
          <t>Centeno Zúñiga Claudia Patricia</t>
        </is>
      </c>
      <c r="C1032" t="inlineStr">
        <is>
          <t>JUEVES</t>
        </is>
      </c>
      <c r="D1032" t="n">
        <v>3</v>
      </c>
      <c r="E1032" t="n">
        <v>2</v>
      </c>
      <c r="F1032" t="n">
        <v>1</v>
      </c>
      <c r="G1032" t="inlineStr">
        <is>
          <t>08:20</t>
        </is>
      </c>
      <c r="H1032" t="inlineStr">
        <is>
          <t>09:05</t>
        </is>
      </c>
      <c r="I1032" t="inlineStr">
        <is>
          <t>AREAS_MULTIPLES</t>
        </is>
      </c>
      <c r="J1032" t="inlineStr">
        <is>
          <t>0502</t>
        </is>
      </c>
      <c r="K1032" t="inlineStr">
        <is>
          <t>ÁREAS MÚLTIPLES</t>
        </is>
      </c>
      <c r="L1032" t="inlineStr"/>
      <c r="M1032" t="inlineStr"/>
      <c r="N1032" t="inlineStr"/>
      <c r="O1032" t="inlineStr">
        <is>
          <t>Maestro de aula: todas las áreas con su grupo</t>
        </is>
      </c>
      <c r="P1032" t="inlineStr"/>
      <c r="Q1032">
        <f>IF(I1032="ENFASIS","ÉNFASIS "&amp;M1032,IFERROR(VLOOKUP(J1032,Grupos!$A$2:$D$100,4,FALSE),J1032))</f>
        <v/>
      </c>
      <c r="R1032">
        <f>O1032&amp;IF(N1032&lt;&gt;"",IF(O1032&lt;&gt;""," · ","")&amp;"Con: "&amp;N1032,"")</f>
        <v/>
      </c>
      <c r="S1032">
        <f>C1032&amp;"|"&amp;D1032</f>
        <v/>
      </c>
      <c r="T1032">
        <f>COUNTIF($S$2:S1032,S1032)</f>
        <v/>
      </c>
      <c r="U1032">
        <f>S1032&amp;"|"&amp;T1032</f>
        <v/>
      </c>
      <c r="V1032">
        <f>IFERROR(VLOOKUP(IF(I1032="ENFASIS",LEFT(M1032,FIND("+",M1032&amp;"+")-1),J1032),Direccion_Grupo!$A$2:$G$100,7,FALSE),"")</f>
        <v/>
      </c>
    </row>
    <row r="1033">
      <c r="A1033" t="n">
        <v>32</v>
      </c>
      <c r="B1033" t="inlineStr">
        <is>
          <t>Narváez Sánchez Dora Alejandra</t>
        </is>
      </c>
      <c r="C1033" t="inlineStr">
        <is>
          <t>JUEVES</t>
        </is>
      </c>
      <c r="D1033" t="n">
        <v>3</v>
      </c>
      <c r="E1033" t="n">
        <v>2</v>
      </c>
      <c r="F1033" t="n">
        <v>1</v>
      </c>
      <c r="G1033" t="inlineStr">
        <is>
          <t>08:20</t>
        </is>
      </c>
      <c r="H1033" t="inlineStr">
        <is>
          <t>09:05</t>
        </is>
      </c>
      <c r="I1033" t="inlineStr">
        <is>
          <t>AREAS_MULTIPLES</t>
        </is>
      </c>
      <c r="J1033" t="inlineStr">
        <is>
          <t>0503</t>
        </is>
      </c>
      <c r="K1033" t="inlineStr">
        <is>
          <t>ÁREAS MÚLTIPLES</t>
        </is>
      </c>
      <c r="L1033" t="inlineStr"/>
      <c r="M1033" t="inlineStr"/>
      <c r="N1033" t="inlineStr"/>
      <c r="O1033" t="inlineStr">
        <is>
          <t>Maestro de aula: todas las áreas con su grupo</t>
        </is>
      </c>
      <c r="P1033" t="inlineStr"/>
      <c r="Q1033">
        <f>IF(I1033="ENFASIS","ÉNFASIS "&amp;M1033,IFERROR(VLOOKUP(J1033,Grupos!$A$2:$D$100,4,FALSE),J1033))</f>
        <v/>
      </c>
      <c r="R1033">
        <f>O1033&amp;IF(N1033&lt;&gt;"",IF(O1033&lt;&gt;""," · ","")&amp;"Con: "&amp;N1033,"")</f>
        <v/>
      </c>
      <c r="S1033">
        <f>C1033&amp;"|"&amp;D1033</f>
        <v/>
      </c>
      <c r="T1033">
        <f>COUNTIF($S$2:S1033,S1033)</f>
        <v/>
      </c>
      <c r="U1033">
        <f>S1033&amp;"|"&amp;T1033</f>
        <v/>
      </c>
      <c r="V1033">
        <f>IFERROR(VLOOKUP(IF(I1033="ENFASIS",LEFT(M1033,FIND("+",M1033&amp;"+")-1),J1033),Direccion_Grupo!$A$2:$G$100,7,FALSE),"")</f>
        <v/>
      </c>
    </row>
    <row r="1034">
      <c r="A1034" t="n">
        <v>17</v>
      </c>
      <c r="B1034" t="inlineStr">
        <is>
          <t>Escobar Cortés Liliana</t>
        </is>
      </c>
      <c r="C1034" t="inlineStr">
        <is>
          <t>JUEVES</t>
        </is>
      </c>
      <c r="D1034" t="n">
        <v>3</v>
      </c>
      <c r="E1034" t="n">
        <v>2</v>
      </c>
      <c r="F1034" t="n">
        <v>1</v>
      </c>
      <c r="G1034" t="inlineStr">
        <is>
          <t>08:20</t>
        </is>
      </c>
      <c r="H1034" t="inlineStr">
        <is>
          <t>09:05</t>
        </is>
      </c>
      <c r="I1034" t="inlineStr">
        <is>
          <t>AREAS_MULTIPLES</t>
        </is>
      </c>
      <c r="J1034" t="inlineStr">
        <is>
          <t>0504</t>
        </is>
      </c>
      <c r="K1034" t="inlineStr">
        <is>
          <t>ÁREAS MÚLTIPLES</t>
        </is>
      </c>
      <c r="L1034" t="inlineStr"/>
      <c r="M1034" t="inlineStr"/>
      <c r="N1034" t="inlineStr"/>
      <c r="O1034" t="inlineStr">
        <is>
          <t>Maestro de aula: todas las áreas con su grupo</t>
        </is>
      </c>
      <c r="P1034" t="inlineStr"/>
      <c r="Q1034">
        <f>IF(I1034="ENFASIS","ÉNFASIS "&amp;M1034,IFERROR(VLOOKUP(J1034,Grupos!$A$2:$D$100,4,FALSE),J1034))</f>
        <v/>
      </c>
      <c r="R1034">
        <f>O1034&amp;IF(N1034&lt;&gt;"",IF(O1034&lt;&gt;""," · ","")&amp;"Con: "&amp;N1034,"")</f>
        <v/>
      </c>
      <c r="S1034">
        <f>C1034&amp;"|"&amp;D1034</f>
        <v/>
      </c>
      <c r="T1034">
        <f>COUNTIF($S$2:S1034,S1034)</f>
        <v/>
      </c>
      <c r="U1034">
        <f>S1034&amp;"|"&amp;T1034</f>
        <v/>
      </c>
      <c r="V1034">
        <f>IFERROR(VLOOKUP(IF(I1034="ENFASIS",LEFT(M1034,FIND("+",M1034&amp;"+")-1),J1034),Direccion_Grupo!$A$2:$G$100,7,FALSE),"")</f>
        <v/>
      </c>
    </row>
    <row r="1035">
      <c r="A1035" t="n">
        <v>57</v>
      </c>
      <c r="B1035" t="inlineStr">
        <is>
          <t>Armero Dájome Jesús</t>
        </is>
      </c>
      <c r="C1035" t="inlineStr">
        <is>
          <t>JUEVES</t>
        </is>
      </c>
      <c r="D1035" t="n">
        <v>3</v>
      </c>
      <c r="E1035" t="n">
        <v>2</v>
      </c>
      <c r="F1035" t="n">
        <v>1</v>
      </c>
      <c r="G1035" t="inlineStr">
        <is>
          <t>08:20</t>
        </is>
      </c>
      <c r="H1035" t="inlineStr">
        <is>
          <t>09:05</t>
        </is>
      </c>
      <c r="I1035" t="inlineStr">
        <is>
          <t>CLASE</t>
        </is>
      </c>
      <c r="J1035" t="inlineStr">
        <is>
          <t>0601</t>
        </is>
      </c>
      <c r="K1035" t="inlineStr">
        <is>
          <t>ERD</t>
        </is>
      </c>
      <c r="L1035" t="inlineStr"/>
      <c r="M1035" t="inlineStr"/>
      <c r="N1035" t="inlineStr"/>
      <c r="O1035" t="inlineStr"/>
      <c r="P1035" t="inlineStr">
        <is>
          <t>0601-ERD</t>
        </is>
      </c>
      <c r="Q1035">
        <f>IF(I1035="ENFASIS","ÉNFASIS "&amp;M1035,IFERROR(VLOOKUP(J1035,Grupos!$A$2:$D$100,4,FALSE),J1035))</f>
        <v/>
      </c>
      <c r="R1035">
        <f>O1035&amp;IF(N1035&lt;&gt;"",IF(O1035&lt;&gt;""," · ","")&amp;"Con: "&amp;N1035,"")</f>
        <v/>
      </c>
      <c r="S1035">
        <f>C1035&amp;"|"&amp;D1035</f>
        <v/>
      </c>
      <c r="T1035">
        <f>COUNTIF($S$2:S1035,S1035)</f>
        <v/>
      </c>
      <c r="U1035">
        <f>S1035&amp;"|"&amp;T1035</f>
        <v/>
      </c>
      <c r="V1035">
        <f>IFERROR(VLOOKUP(IF(I1035="ENFASIS",LEFT(M1035,FIND("+",M1035&amp;"+")-1),J1035),Direccion_Grupo!$A$2:$G$100,7,FALSE),"")</f>
        <v/>
      </c>
    </row>
    <row r="1036">
      <c r="A1036" t="n">
        <v>26</v>
      </c>
      <c r="B1036" t="inlineStr">
        <is>
          <t>Lozano Torres Amanda Inés</t>
        </is>
      </c>
      <c r="C1036" t="inlineStr">
        <is>
          <t>JUEVES</t>
        </is>
      </c>
      <c r="D1036" t="n">
        <v>3</v>
      </c>
      <c r="E1036" t="n">
        <v>2</v>
      </c>
      <c r="F1036" t="n">
        <v>1</v>
      </c>
      <c r="G1036" t="inlineStr">
        <is>
          <t>08:20</t>
        </is>
      </c>
      <c r="H1036" t="inlineStr">
        <is>
          <t>09:05</t>
        </is>
      </c>
      <c r="I1036" t="inlineStr">
        <is>
          <t>CLASE</t>
        </is>
      </c>
      <c r="J1036" t="inlineStr">
        <is>
          <t>0602</t>
        </is>
      </c>
      <c r="K1036" t="inlineStr">
        <is>
          <t>ETR</t>
        </is>
      </c>
      <c r="L1036" t="inlineStr"/>
      <c r="M1036" t="inlineStr"/>
      <c r="N1036" t="inlineStr"/>
      <c r="O1036" t="inlineStr">
        <is>
          <t>Ética / Religión (alternan cada semana)</t>
        </is>
      </c>
      <c r="P1036" t="inlineStr">
        <is>
          <t>0602-ETR</t>
        </is>
      </c>
      <c r="Q1036">
        <f>IF(I1036="ENFASIS","ÉNFASIS "&amp;M1036,IFERROR(VLOOKUP(J1036,Grupos!$A$2:$D$100,4,FALSE),J1036))</f>
        <v/>
      </c>
      <c r="R1036">
        <f>O1036&amp;IF(N1036&lt;&gt;"",IF(O1036&lt;&gt;""," · ","")&amp;"Con: "&amp;N1036,"")</f>
        <v/>
      </c>
      <c r="S1036">
        <f>C1036&amp;"|"&amp;D1036</f>
        <v/>
      </c>
      <c r="T1036">
        <f>COUNTIF($S$2:S1036,S1036)</f>
        <v/>
      </c>
      <c r="U1036">
        <f>S1036&amp;"|"&amp;T1036</f>
        <v/>
      </c>
      <c r="V1036">
        <f>IFERROR(VLOOKUP(IF(I1036="ENFASIS",LEFT(M1036,FIND("+",M1036&amp;"+")-1),J1036),Direccion_Grupo!$A$2:$G$100,7,FALSE),"")</f>
        <v/>
      </c>
    </row>
    <row r="1037">
      <c r="A1037" t="n">
        <v>4</v>
      </c>
      <c r="B1037" t="inlineStr">
        <is>
          <t>Arizala Castro Roberto Carlos</t>
        </is>
      </c>
      <c r="C1037" t="inlineStr">
        <is>
          <t>JUEVES</t>
        </is>
      </c>
      <c r="D1037" t="n">
        <v>3</v>
      </c>
      <c r="E1037" t="n">
        <v>2</v>
      </c>
      <c r="F1037" t="n">
        <v>1</v>
      </c>
      <c r="G1037" t="inlineStr">
        <is>
          <t>08:20</t>
        </is>
      </c>
      <c r="H1037" t="inlineStr">
        <is>
          <t>09:05</t>
        </is>
      </c>
      <c r="I1037" t="inlineStr">
        <is>
          <t>CLASE</t>
        </is>
      </c>
      <c r="J1037" t="inlineStr">
        <is>
          <t>0701</t>
        </is>
      </c>
      <c r="K1037" t="inlineStr">
        <is>
          <t>ERD</t>
        </is>
      </c>
      <c r="L1037" t="inlineStr"/>
      <c r="M1037" t="inlineStr"/>
      <c r="N1037" t="inlineStr"/>
      <c r="O1037" t="inlineStr"/>
      <c r="P1037" t="inlineStr">
        <is>
          <t>0701-ERD</t>
        </is>
      </c>
      <c r="Q1037">
        <f>IF(I1037="ENFASIS","ÉNFASIS "&amp;M1037,IFERROR(VLOOKUP(J1037,Grupos!$A$2:$D$100,4,FALSE),J1037))</f>
        <v/>
      </c>
      <c r="R1037">
        <f>O1037&amp;IF(N1037&lt;&gt;"",IF(O1037&lt;&gt;""," · ","")&amp;"Con: "&amp;N1037,"")</f>
        <v/>
      </c>
      <c r="S1037">
        <f>C1037&amp;"|"&amp;D1037</f>
        <v/>
      </c>
      <c r="T1037">
        <f>COUNTIF($S$2:S1037,S1037)</f>
        <v/>
      </c>
      <c r="U1037">
        <f>S1037&amp;"|"&amp;T1037</f>
        <v/>
      </c>
      <c r="V1037">
        <f>IFERROR(VLOOKUP(IF(I1037="ENFASIS",LEFT(M1037,FIND("+",M1037&amp;"+")-1),J1037),Direccion_Grupo!$A$2:$G$100,7,FALSE),"")</f>
        <v/>
      </c>
    </row>
    <row r="1038">
      <c r="A1038" t="n">
        <v>52</v>
      </c>
      <c r="B1038" t="inlineStr">
        <is>
          <t>Vásquez Valencia Segundo Leoncio</t>
        </is>
      </c>
      <c r="C1038" t="inlineStr">
        <is>
          <t>JUEVES</t>
        </is>
      </c>
      <c r="D1038" t="n">
        <v>3</v>
      </c>
      <c r="E1038" t="n">
        <v>2</v>
      </c>
      <c r="F1038" t="n">
        <v>1</v>
      </c>
      <c r="G1038" t="inlineStr">
        <is>
          <t>08:20</t>
        </is>
      </c>
      <c r="H1038" t="inlineStr">
        <is>
          <t>09:05</t>
        </is>
      </c>
      <c r="I1038" t="inlineStr">
        <is>
          <t>CLASE</t>
        </is>
      </c>
      <c r="J1038" t="inlineStr">
        <is>
          <t>0702</t>
        </is>
      </c>
      <c r="K1038" t="inlineStr">
        <is>
          <t>MAT</t>
        </is>
      </c>
      <c r="L1038" t="inlineStr"/>
      <c r="M1038" t="inlineStr"/>
      <c r="N1038" t="inlineStr"/>
      <c r="O1038" t="inlineStr"/>
      <c r="P1038" t="inlineStr">
        <is>
          <t>0702-MAT</t>
        </is>
      </c>
      <c r="Q1038">
        <f>IF(I1038="ENFASIS","ÉNFASIS "&amp;M1038,IFERROR(VLOOKUP(J1038,Grupos!$A$2:$D$100,4,FALSE),J1038))</f>
        <v/>
      </c>
      <c r="R1038">
        <f>O1038&amp;IF(N1038&lt;&gt;"",IF(O1038&lt;&gt;""," · ","")&amp;"Con: "&amp;N1038,"")</f>
        <v/>
      </c>
      <c r="S1038">
        <f>C1038&amp;"|"&amp;D1038</f>
        <v/>
      </c>
      <c r="T1038">
        <f>COUNTIF($S$2:S1038,S1038)</f>
        <v/>
      </c>
      <c r="U1038">
        <f>S1038&amp;"|"&amp;T1038</f>
        <v/>
      </c>
      <c r="V1038">
        <f>IFERROR(VLOOKUP(IF(I1038="ENFASIS",LEFT(M1038,FIND("+",M1038&amp;"+")-1),J1038),Direccion_Grupo!$A$2:$G$100,7,FALSE),"")</f>
        <v/>
      </c>
    </row>
    <row r="1039">
      <c r="A1039" t="n">
        <v>41</v>
      </c>
      <c r="B1039" t="inlineStr">
        <is>
          <t>Quintero Ramírez María del Carmen</t>
        </is>
      </c>
      <c r="C1039" t="inlineStr">
        <is>
          <t>JUEVES</t>
        </is>
      </c>
      <c r="D1039" t="n">
        <v>3</v>
      </c>
      <c r="E1039" t="n">
        <v>2</v>
      </c>
      <c r="F1039" t="n">
        <v>1</v>
      </c>
      <c r="G1039" t="inlineStr">
        <is>
          <t>08:20</t>
        </is>
      </c>
      <c r="H1039" t="inlineStr">
        <is>
          <t>09:05</t>
        </is>
      </c>
      <c r="I1039" t="inlineStr">
        <is>
          <t>CLASE</t>
        </is>
      </c>
      <c r="J1039" t="inlineStr">
        <is>
          <t>0703</t>
        </is>
      </c>
      <c r="K1039" t="inlineStr">
        <is>
          <t>CSI</t>
        </is>
      </c>
      <c r="L1039" t="inlineStr"/>
      <c r="M1039" t="inlineStr"/>
      <c r="N1039" t="inlineStr"/>
      <c r="O1039" t="inlineStr">
        <is>
          <t>Sociales / Inglés (alternan cada semana)</t>
        </is>
      </c>
      <c r="P1039" t="inlineStr">
        <is>
          <t>0703-CSI</t>
        </is>
      </c>
      <c r="Q1039">
        <f>IF(I1039="ENFASIS","ÉNFASIS "&amp;M1039,IFERROR(VLOOKUP(J1039,Grupos!$A$2:$D$100,4,FALSE),J1039))</f>
        <v/>
      </c>
      <c r="R1039">
        <f>O1039&amp;IF(N1039&lt;&gt;"",IF(O1039&lt;&gt;""," · ","")&amp;"Con: "&amp;N1039,"")</f>
        <v/>
      </c>
      <c r="S1039">
        <f>C1039&amp;"|"&amp;D1039</f>
        <v/>
      </c>
      <c r="T1039">
        <f>COUNTIF($S$2:S1039,S1039)</f>
        <v/>
      </c>
      <c r="U1039">
        <f>S1039&amp;"|"&amp;T1039</f>
        <v/>
      </c>
      <c r="V1039">
        <f>IFERROR(VLOOKUP(IF(I1039="ENFASIS",LEFT(M1039,FIND("+",M1039&amp;"+")-1),J1039),Direccion_Grupo!$A$2:$G$100,7,FALSE),"")</f>
        <v/>
      </c>
    </row>
    <row r="1040">
      <c r="A1040" t="n">
        <v>8</v>
      </c>
      <c r="B1040" t="inlineStr">
        <is>
          <t>Casanova Quiñones Yoli del Carmen</t>
        </is>
      </c>
      <c r="C1040" t="inlineStr">
        <is>
          <t>JUEVES</t>
        </is>
      </c>
      <c r="D1040" t="n">
        <v>3</v>
      </c>
      <c r="E1040" t="n">
        <v>2</v>
      </c>
      <c r="F1040" t="n">
        <v>1</v>
      </c>
      <c r="G1040" t="inlineStr">
        <is>
          <t>08:20</t>
        </is>
      </c>
      <c r="H1040" t="inlineStr">
        <is>
          <t>09:05</t>
        </is>
      </c>
      <c r="I1040" t="inlineStr">
        <is>
          <t>CLASE</t>
        </is>
      </c>
      <c r="J1040" t="inlineStr">
        <is>
          <t>0704</t>
        </is>
      </c>
      <c r="K1040" t="inlineStr">
        <is>
          <t>ETR</t>
        </is>
      </c>
      <c r="L1040" t="inlineStr"/>
      <c r="M1040" t="inlineStr"/>
      <c r="N1040" t="inlineStr"/>
      <c r="O1040" t="inlineStr">
        <is>
          <t>Ética / Religión (alternan cada semana)</t>
        </is>
      </c>
      <c r="P1040" t="inlineStr">
        <is>
          <t>0704-ETR</t>
        </is>
      </c>
      <c r="Q1040">
        <f>IF(I1040="ENFASIS","ÉNFASIS "&amp;M1040,IFERROR(VLOOKUP(J1040,Grupos!$A$2:$D$100,4,FALSE),J1040))</f>
        <v/>
      </c>
      <c r="R1040">
        <f>O1040&amp;IF(N1040&lt;&gt;"",IF(O1040&lt;&gt;""," · ","")&amp;"Con: "&amp;N1040,"")</f>
        <v/>
      </c>
      <c r="S1040">
        <f>C1040&amp;"|"&amp;D1040</f>
        <v/>
      </c>
      <c r="T1040">
        <f>COUNTIF($S$2:S1040,S1040)</f>
        <v/>
      </c>
      <c r="U1040">
        <f>S1040&amp;"|"&amp;T1040</f>
        <v/>
      </c>
      <c r="V1040">
        <f>IFERROR(VLOOKUP(IF(I1040="ENFASIS",LEFT(M1040,FIND("+",M1040&amp;"+")-1),J1040),Direccion_Grupo!$A$2:$G$100,7,FALSE),"")</f>
        <v/>
      </c>
    </row>
    <row r="1041">
      <c r="A1041" t="n">
        <v>44</v>
      </c>
      <c r="B1041" t="inlineStr">
        <is>
          <t>Samaniego Angulo Flor Mireya</t>
        </is>
      </c>
      <c r="C1041" t="inlineStr">
        <is>
          <t>JUEVES</t>
        </is>
      </c>
      <c r="D1041" t="n">
        <v>3</v>
      </c>
      <c r="E1041" t="n">
        <v>2</v>
      </c>
      <c r="F1041" t="n">
        <v>1</v>
      </c>
      <c r="G1041" t="inlineStr">
        <is>
          <t>08:20</t>
        </is>
      </c>
      <c r="H1041" t="inlineStr">
        <is>
          <t>09:05</t>
        </is>
      </c>
      <c r="I1041" t="inlineStr">
        <is>
          <t>CLASE</t>
        </is>
      </c>
      <c r="J1041" t="inlineStr">
        <is>
          <t>0801</t>
        </is>
      </c>
      <c r="K1041" t="inlineStr">
        <is>
          <t>ART</t>
        </is>
      </c>
      <c r="L1041" t="inlineStr"/>
      <c r="M1041" t="inlineStr"/>
      <c r="N1041" t="inlineStr"/>
      <c r="O1041" t="inlineStr"/>
      <c r="P1041" t="inlineStr">
        <is>
          <t>0801-ART</t>
        </is>
      </c>
      <c r="Q1041">
        <f>IF(I1041="ENFASIS","ÉNFASIS "&amp;M1041,IFERROR(VLOOKUP(J1041,Grupos!$A$2:$D$100,4,FALSE),J1041))</f>
        <v/>
      </c>
      <c r="R1041">
        <f>O1041&amp;IF(N1041&lt;&gt;"",IF(O1041&lt;&gt;""," · ","")&amp;"Con: "&amp;N1041,"")</f>
        <v/>
      </c>
      <c r="S1041">
        <f>C1041&amp;"|"&amp;D1041</f>
        <v/>
      </c>
      <c r="T1041">
        <f>COUNTIF($S$2:S1041,S1041)</f>
        <v/>
      </c>
      <c r="U1041">
        <f>S1041&amp;"|"&amp;T1041</f>
        <v/>
      </c>
      <c r="V1041">
        <f>IFERROR(VLOOKUP(IF(I1041="ENFASIS",LEFT(M1041,FIND("+",M1041&amp;"+")-1),J1041),Direccion_Grupo!$A$2:$G$100,7,FALSE),"")</f>
        <v/>
      </c>
    </row>
    <row r="1042">
      <c r="A1042" t="n">
        <v>15</v>
      </c>
      <c r="B1042" t="inlineStr">
        <is>
          <t>Cuero Bamba Berte Levi</t>
        </is>
      </c>
      <c r="C1042" t="inlineStr">
        <is>
          <t>JUEVES</t>
        </is>
      </c>
      <c r="D1042" t="n">
        <v>3</v>
      </c>
      <c r="E1042" t="n">
        <v>2</v>
      </c>
      <c r="F1042" t="n">
        <v>1</v>
      </c>
      <c r="G1042" t="inlineStr">
        <is>
          <t>08:20</t>
        </is>
      </c>
      <c r="H1042" t="inlineStr">
        <is>
          <t>09:05</t>
        </is>
      </c>
      <c r="I1042" t="inlineStr">
        <is>
          <t>CLASE</t>
        </is>
      </c>
      <c r="J1042" t="inlineStr">
        <is>
          <t>0802</t>
        </is>
      </c>
      <c r="K1042" t="inlineStr">
        <is>
          <t>ERD</t>
        </is>
      </c>
      <c r="L1042" t="inlineStr"/>
      <c r="M1042" t="inlineStr"/>
      <c r="N1042" t="inlineStr"/>
      <c r="O1042" t="inlineStr"/>
      <c r="P1042" t="inlineStr">
        <is>
          <t>0802-ERD</t>
        </is>
      </c>
      <c r="Q1042">
        <f>IF(I1042="ENFASIS","ÉNFASIS "&amp;M1042,IFERROR(VLOOKUP(J1042,Grupos!$A$2:$D$100,4,FALSE),J1042))</f>
        <v/>
      </c>
      <c r="R1042">
        <f>O1042&amp;IF(N1042&lt;&gt;"",IF(O1042&lt;&gt;""," · ","")&amp;"Con: "&amp;N1042,"")</f>
        <v/>
      </c>
      <c r="S1042">
        <f>C1042&amp;"|"&amp;D1042</f>
        <v/>
      </c>
      <c r="T1042">
        <f>COUNTIF($S$2:S1042,S1042)</f>
        <v/>
      </c>
      <c r="U1042">
        <f>S1042&amp;"|"&amp;T1042</f>
        <v/>
      </c>
      <c r="V1042">
        <f>IFERROR(VLOOKUP(IF(I1042="ENFASIS",LEFT(M1042,FIND("+",M1042&amp;"+")-1),J1042),Direccion_Grupo!$A$2:$G$100,7,FALSE),"")</f>
        <v/>
      </c>
    </row>
    <row r="1043">
      <c r="A1043" t="n">
        <v>5</v>
      </c>
      <c r="B1043" t="inlineStr">
        <is>
          <t>Bastidas Valencia Zeneida Judith</t>
        </is>
      </c>
      <c r="C1043" t="inlineStr">
        <is>
          <t>JUEVES</t>
        </is>
      </c>
      <c r="D1043" t="n">
        <v>3</v>
      </c>
      <c r="E1043" t="n">
        <v>2</v>
      </c>
      <c r="F1043" t="n">
        <v>1</v>
      </c>
      <c r="G1043" t="inlineStr">
        <is>
          <t>08:20</t>
        </is>
      </c>
      <c r="H1043" t="inlineStr">
        <is>
          <t>09:05</t>
        </is>
      </c>
      <c r="I1043" t="inlineStr">
        <is>
          <t>CLASE</t>
        </is>
      </c>
      <c r="J1043" t="inlineStr">
        <is>
          <t>0901</t>
        </is>
      </c>
      <c r="K1043" t="inlineStr">
        <is>
          <t>MAT</t>
        </is>
      </c>
      <c r="L1043" t="inlineStr"/>
      <c r="M1043" t="inlineStr"/>
      <c r="N1043" t="inlineStr"/>
      <c r="O1043" t="inlineStr"/>
      <c r="P1043" t="inlineStr">
        <is>
          <t>0901-MAT</t>
        </is>
      </c>
      <c r="Q1043">
        <f>IF(I1043="ENFASIS","ÉNFASIS "&amp;M1043,IFERROR(VLOOKUP(J1043,Grupos!$A$2:$D$100,4,FALSE),J1043))</f>
        <v/>
      </c>
      <c r="R1043">
        <f>O1043&amp;IF(N1043&lt;&gt;"",IF(O1043&lt;&gt;""," · ","")&amp;"Con: "&amp;N1043,"")</f>
        <v/>
      </c>
      <c r="S1043">
        <f>C1043&amp;"|"&amp;D1043</f>
        <v/>
      </c>
      <c r="T1043">
        <f>COUNTIF($S$2:S1043,S1043)</f>
        <v/>
      </c>
      <c r="U1043">
        <f>S1043&amp;"|"&amp;T1043</f>
        <v/>
      </c>
      <c r="V1043">
        <f>IFERROR(VLOOKUP(IF(I1043="ENFASIS",LEFT(M1043,FIND("+",M1043&amp;"+")-1),J1043),Direccion_Grupo!$A$2:$G$100,7,FALSE),"")</f>
        <v/>
      </c>
    </row>
    <row r="1044">
      <c r="A1044" t="n">
        <v>28</v>
      </c>
      <c r="B1044" t="inlineStr">
        <is>
          <t>Meza Banguera Gladys Alicia</t>
        </is>
      </c>
      <c r="C1044" t="inlineStr">
        <is>
          <t>JUEVES</t>
        </is>
      </c>
      <c r="D1044" t="n">
        <v>3</v>
      </c>
      <c r="E1044" t="n">
        <v>2</v>
      </c>
      <c r="F1044" t="n">
        <v>1</v>
      </c>
      <c r="G1044" t="inlineStr">
        <is>
          <t>08:20</t>
        </is>
      </c>
      <c r="H1044" t="inlineStr">
        <is>
          <t>09:05</t>
        </is>
      </c>
      <c r="I1044" t="inlineStr">
        <is>
          <t>CLASE</t>
        </is>
      </c>
      <c r="J1044" t="inlineStr">
        <is>
          <t>0902</t>
        </is>
      </c>
      <c r="K1044" t="inlineStr">
        <is>
          <t>CAS</t>
        </is>
      </c>
      <c r="L1044" t="inlineStr"/>
      <c r="M1044" t="inlineStr"/>
      <c r="N1044" t="inlineStr"/>
      <c r="O1044" t="inlineStr"/>
      <c r="P1044" t="inlineStr">
        <is>
          <t>0902-CAS</t>
        </is>
      </c>
      <c r="Q1044">
        <f>IF(I1044="ENFASIS","ÉNFASIS "&amp;M1044,IFERROR(VLOOKUP(J1044,Grupos!$A$2:$D$100,4,FALSE),J1044))</f>
        <v/>
      </c>
      <c r="R1044">
        <f>O1044&amp;IF(N1044&lt;&gt;"",IF(O1044&lt;&gt;""," · ","")&amp;"Con: "&amp;N1044,"")</f>
        <v/>
      </c>
      <c r="S1044">
        <f>C1044&amp;"|"&amp;D1044</f>
        <v/>
      </c>
      <c r="T1044">
        <f>COUNTIF($S$2:S1044,S1044)</f>
        <v/>
      </c>
      <c r="U1044">
        <f>S1044&amp;"|"&amp;T1044</f>
        <v/>
      </c>
      <c r="V1044">
        <f>IFERROR(VLOOKUP(IF(I1044="ENFASIS",LEFT(M1044,FIND("+",M1044&amp;"+")-1),J1044),Direccion_Grupo!$A$2:$G$100,7,FALSE),"")</f>
        <v/>
      </c>
    </row>
    <row r="1045">
      <c r="A1045" t="n">
        <v>18</v>
      </c>
      <c r="B1045" t="inlineStr">
        <is>
          <t>Estacio Estupiñán Rosario</t>
        </is>
      </c>
      <c r="C1045" t="inlineStr">
        <is>
          <t>JUEVES</t>
        </is>
      </c>
      <c r="D1045" t="n">
        <v>3</v>
      </c>
      <c r="E1045" t="n">
        <v>2</v>
      </c>
      <c r="F1045" t="n">
        <v>1</v>
      </c>
      <c r="G1045" t="inlineStr">
        <is>
          <t>08:20</t>
        </is>
      </c>
      <c r="H1045" t="inlineStr">
        <is>
          <t>09:05</t>
        </is>
      </c>
      <c r="I1045" t="inlineStr">
        <is>
          <t>CLASE</t>
        </is>
      </c>
      <c r="J1045" t="inlineStr">
        <is>
          <t>1001</t>
        </is>
      </c>
      <c r="K1045" t="inlineStr">
        <is>
          <t>ETR</t>
        </is>
      </c>
      <c r="L1045" t="inlineStr"/>
      <c r="M1045" t="inlineStr"/>
      <c r="N1045" t="inlineStr"/>
      <c r="O1045" t="inlineStr">
        <is>
          <t>Ética / Religión (alternan cada semana)</t>
        </is>
      </c>
      <c r="P1045" t="inlineStr">
        <is>
          <t>1001-ETR</t>
        </is>
      </c>
      <c r="Q1045">
        <f>IF(I1045="ENFASIS","ÉNFASIS "&amp;M1045,IFERROR(VLOOKUP(J1045,Grupos!$A$2:$D$100,4,FALSE),J1045))</f>
        <v/>
      </c>
      <c r="R1045">
        <f>O1045&amp;IF(N1045&lt;&gt;"",IF(O1045&lt;&gt;""," · ","")&amp;"Con: "&amp;N1045,"")</f>
        <v/>
      </c>
      <c r="S1045">
        <f>C1045&amp;"|"&amp;D1045</f>
        <v/>
      </c>
      <c r="T1045">
        <f>COUNTIF($S$2:S1045,S1045)</f>
        <v/>
      </c>
      <c r="U1045">
        <f>S1045&amp;"|"&amp;T1045</f>
        <v/>
      </c>
      <c r="V1045">
        <f>IFERROR(VLOOKUP(IF(I1045="ENFASIS",LEFT(M1045,FIND("+",M1045&amp;"+")-1),J1045),Direccion_Grupo!$A$2:$G$100,7,FALSE),"")</f>
        <v/>
      </c>
    </row>
    <row r="1046">
      <c r="A1046" t="n">
        <v>40</v>
      </c>
      <c r="B1046" t="inlineStr">
        <is>
          <t>Pulgarín Ortiz César Marino</t>
        </is>
      </c>
      <c r="C1046" t="inlineStr">
        <is>
          <t>JUEVES</t>
        </is>
      </c>
      <c r="D1046" t="n">
        <v>3</v>
      </c>
      <c r="E1046" t="n">
        <v>2</v>
      </c>
      <c r="F1046" t="n">
        <v>1</v>
      </c>
      <c r="G1046" t="inlineStr">
        <is>
          <t>08:20</t>
        </is>
      </c>
      <c r="H1046" t="inlineStr">
        <is>
          <t>09:05</t>
        </is>
      </c>
      <c r="I1046" t="inlineStr">
        <is>
          <t>CLASE</t>
        </is>
      </c>
      <c r="J1046" t="inlineStr">
        <is>
          <t>1002</t>
        </is>
      </c>
      <c r="K1046" t="inlineStr">
        <is>
          <t>CSI</t>
        </is>
      </c>
      <c r="L1046" t="inlineStr"/>
      <c r="M1046" t="inlineStr"/>
      <c r="N1046" t="inlineStr"/>
      <c r="O1046" t="inlineStr">
        <is>
          <t>Sociales / Inglés (alternan cada semana)</t>
        </is>
      </c>
      <c r="P1046" t="inlineStr">
        <is>
          <t>1002-CSI</t>
        </is>
      </c>
      <c r="Q1046">
        <f>IF(I1046="ENFASIS","ÉNFASIS "&amp;M1046,IFERROR(VLOOKUP(J1046,Grupos!$A$2:$D$100,4,FALSE),J1046))</f>
        <v/>
      </c>
      <c r="R1046">
        <f>O1046&amp;IF(N1046&lt;&gt;"",IF(O1046&lt;&gt;""," · ","")&amp;"Con: "&amp;N1046,"")</f>
        <v/>
      </c>
      <c r="S1046">
        <f>C1046&amp;"|"&amp;D1046</f>
        <v/>
      </c>
      <c r="T1046">
        <f>COUNTIF($S$2:S1046,S1046)</f>
        <v/>
      </c>
      <c r="U1046">
        <f>S1046&amp;"|"&amp;T1046</f>
        <v/>
      </c>
      <c r="V1046">
        <f>IFERROR(VLOOKUP(IF(I1046="ENFASIS",LEFT(M1046,FIND("+",M1046&amp;"+")-1),J1046),Direccion_Grupo!$A$2:$G$100,7,FALSE),"")</f>
        <v/>
      </c>
    </row>
    <row r="1047">
      <c r="A1047" t="n">
        <v>54</v>
      </c>
      <c r="B1047" t="inlineStr">
        <is>
          <t>Villota Rubio Janeth del Carmen</t>
        </is>
      </c>
      <c r="C1047" t="inlineStr">
        <is>
          <t>JUEVES</t>
        </is>
      </c>
      <c r="D1047" t="n">
        <v>3</v>
      </c>
      <c r="E1047" t="n">
        <v>2</v>
      </c>
      <c r="F1047" t="n">
        <v>1</v>
      </c>
      <c r="G1047" t="inlineStr">
        <is>
          <t>08:20</t>
        </is>
      </c>
      <c r="H1047" t="inlineStr">
        <is>
          <t>09:05</t>
        </is>
      </c>
      <c r="I1047" t="inlineStr">
        <is>
          <t>CLASE</t>
        </is>
      </c>
      <c r="J1047" t="inlineStr">
        <is>
          <t>1102</t>
        </is>
      </c>
      <c r="K1047" t="inlineStr">
        <is>
          <t>MAT</t>
        </is>
      </c>
      <c r="L1047" t="inlineStr"/>
      <c r="M1047" t="inlineStr"/>
      <c r="N1047" t="inlineStr"/>
      <c r="O1047" t="inlineStr"/>
      <c r="P1047" t="inlineStr">
        <is>
          <t>1102-MAT</t>
        </is>
      </c>
      <c r="Q1047">
        <f>IF(I1047="ENFASIS","ÉNFASIS "&amp;M1047,IFERROR(VLOOKUP(J1047,Grupos!$A$2:$D$100,4,FALSE),J1047))</f>
        <v/>
      </c>
      <c r="R1047">
        <f>O1047&amp;IF(N1047&lt;&gt;"",IF(O1047&lt;&gt;""," · ","")&amp;"Con: "&amp;N1047,"")</f>
        <v/>
      </c>
      <c r="S1047">
        <f>C1047&amp;"|"&amp;D1047</f>
        <v/>
      </c>
      <c r="T1047">
        <f>COUNTIF($S$2:S1047,S1047)</f>
        <v/>
      </c>
      <c r="U1047">
        <f>S1047&amp;"|"&amp;T1047</f>
        <v/>
      </c>
      <c r="V1047">
        <f>IFERROR(VLOOKUP(IF(I1047="ENFASIS",LEFT(M1047,FIND("+",M1047&amp;"+")-1),J1047),Direccion_Grupo!$A$2:$G$100,7,FALSE),"")</f>
        <v/>
      </c>
    </row>
    <row r="1048">
      <c r="A1048" t="n">
        <v>37</v>
      </c>
      <c r="B1048" t="inlineStr">
        <is>
          <t>Prado Quiñones Genís Maribel</t>
        </is>
      </c>
      <c r="C1048" t="inlineStr">
        <is>
          <t>JUEVES</t>
        </is>
      </c>
      <c r="D1048" t="n">
        <v>3</v>
      </c>
      <c r="E1048" t="n">
        <v>2</v>
      </c>
      <c r="F1048" t="n">
        <v>1</v>
      </c>
      <c r="G1048" t="inlineStr">
        <is>
          <t>08:20</t>
        </is>
      </c>
      <c r="H1048" t="inlineStr">
        <is>
          <t>09:05</t>
        </is>
      </c>
      <c r="I1048" t="inlineStr">
        <is>
          <t>CLASE</t>
        </is>
      </c>
      <c r="J1048" t="inlineStr">
        <is>
          <t>CS101</t>
        </is>
      </c>
      <c r="K1048" t="inlineStr">
        <is>
          <t>ART</t>
        </is>
      </c>
      <c r="L1048" t="inlineStr"/>
      <c r="M1048" t="inlineStr"/>
      <c r="N1048" t="inlineStr"/>
      <c r="O1048" t="inlineStr"/>
      <c r="P1048" t="inlineStr">
        <is>
          <t>CS101-ART</t>
        </is>
      </c>
      <c r="Q1048">
        <f>IF(I1048="ENFASIS","ÉNFASIS "&amp;M1048,IFERROR(VLOOKUP(J1048,Grupos!$A$2:$D$100,4,FALSE),J1048))</f>
        <v/>
      </c>
      <c r="R1048">
        <f>O1048&amp;IF(N1048&lt;&gt;"",IF(O1048&lt;&gt;""," · ","")&amp;"Con: "&amp;N1048,"")</f>
        <v/>
      </c>
      <c r="S1048">
        <f>C1048&amp;"|"&amp;D1048</f>
        <v/>
      </c>
      <c r="T1048">
        <f>COUNTIF($S$2:S1048,S1048)</f>
        <v/>
      </c>
      <c r="U1048">
        <f>S1048&amp;"|"&amp;T1048</f>
        <v/>
      </c>
      <c r="V1048">
        <f>IFERROR(VLOOKUP(IF(I1048="ENFASIS",LEFT(M1048,FIND("+",M1048&amp;"+")-1),J1048),Direccion_Grupo!$A$2:$G$100,7,FALSE),"")</f>
        <v/>
      </c>
    </row>
    <row r="1049">
      <c r="A1049" t="n">
        <v>42</v>
      </c>
      <c r="B1049" t="inlineStr">
        <is>
          <t>Quiñones Cabezas Marcos Vidal</t>
        </is>
      </c>
      <c r="C1049" t="inlineStr">
        <is>
          <t>JUEVES</t>
        </is>
      </c>
      <c r="D1049" t="n">
        <v>3</v>
      </c>
      <c r="E1049" t="n">
        <v>2</v>
      </c>
      <c r="F1049" t="n">
        <v>1</v>
      </c>
      <c r="G1049" t="inlineStr">
        <is>
          <t>08:20</t>
        </is>
      </c>
      <c r="H1049" t="inlineStr">
        <is>
          <t>09:05</t>
        </is>
      </c>
      <c r="I1049" t="inlineStr">
        <is>
          <t>CLASE</t>
        </is>
      </c>
      <c r="J1049" t="inlineStr">
        <is>
          <t>CS102</t>
        </is>
      </c>
      <c r="K1049" t="inlineStr">
        <is>
          <t>TEI</t>
        </is>
      </c>
      <c r="L1049" t="inlineStr"/>
      <c r="M1049" t="inlineStr"/>
      <c r="N1049" t="inlineStr"/>
      <c r="O1049" t="inlineStr"/>
      <c r="P1049" t="inlineStr">
        <is>
          <t>CS102-TEI</t>
        </is>
      </c>
      <c r="Q1049">
        <f>IF(I1049="ENFASIS","ÉNFASIS "&amp;M1049,IFERROR(VLOOKUP(J1049,Grupos!$A$2:$D$100,4,FALSE),J1049))</f>
        <v/>
      </c>
      <c r="R1049">
        <f>O1049&amp;IF(N1049&lt;&gt;"",IF(O1049&lt;&gt;""," · ","")&amp;"Con: "&amp;N1049,"")</f>
        <v/>
      </c>
      <c r="S1049">
        <f>C1049&amp;"|"&amp;D1049</f>
        <v/>
      </c>
      <c r="T1049">
        <f>COUNTIF($S$2:S1049,S1049)</f>
        <v/>
      </c>
      <c r="U1049">
        <f>S1049&amp;"|"&amp;T1049</f>
        <v/>
      </c>
      <c r="V1049">
        <f>IFERROR(VLOOKUP(IF(I1049="ENFASIS",LEFT(M1049,FIND("+",M1049&amp;"+")-1),J1049),Direccion_Grupo!$A$2:$G$100,7,FALSE),"")</f>
        <v/>
      </c>
    </row>
    <row r="1050">
      <c r="A1050" t="n">
        <v>9</v>
      </c>
      <c r="B1050" t="inlineStr">
        <is>
          <t>Castillo Angulo Martha Cecilia</t>
        </is>
      </c>
      <c r="C1050" t="inlineStr">
        <is>
          <t>JUEVES</t>
        </is>
      </c>
      <c r="D1050" t="n">
        <v>3</v>
      </c>
      <c r="E1050" t="n">
        <v>2</v>
      </c>
      <c r="F1050" t="n">
        <v>1</v>
      </c>
      <c r="G1050" t="inlineStr">
        <is>
          <t>08:20</t>
        </is>
      </c>
      <c r="H1050" t="inlineStr">
        <is>
          <t>09:05</t>
        </is>
      </c>
      <c r="I1050" t="inlineStr">
        <is>
          <t>CLASE</t>
        </is>
      </c>
      <c r="J1050" t="inlineStr">
        <is>
          <t>CS201</t>
        </is>
      </c>
      <c r="K1050" t="inlineStr">
        <is>
          <t>ETR</t>
        </is>
      </c>
      <c r="L1050" t="inlineStr"/>
      <c r="M1050" t="inlineStr"/>
      <c r="N1050" t="inlineStr"/>
      <c r="O1050" t="inlineStr">
        <is>
          <t>Ética / Religión (alternan cada semana)</t>
        </is>
      </c>
      <c r="P1050" t="inlineStr">
        <is>
          <t>CS201-ETR</t>
        </is>
      </c>
      <c r="Q1050">
        <f>IF(I1050="ENFASIS","ÉNFASIS "&amp;M1050,IFERROR(VLOOKUP(J1050,Grupos!$A$2:$D$100,4,FALSE),J1050))</f>
        <v/>
      </c>
      <c r="R1050">
        <f>O1050&amp;IF(N1050&lt;&gt;"",IF(O1050&lt;&gt;""," · ","")&amp;"Con: "&amp;N1050,"")</f>
        <v/>
      </c>
      <c r="S1050">
        <f>C1050&amp;"|"&amp;D1050</f>
        <v/>
      </c>
      <c r="T1050">
        <f>COUNTIF($S$2:S1050,S1050)</f>
        <v/>
      </c>
      <c r="U1050">
        <f>S1050&amp;"|"&amp;T1050</f>
        <v/>
      </c>
      <c r="V1050">
        <f>IFERROR(VLOOKUP(IF(I1050="ENFASIS",LEFT(M1050,FIND("+",M1050&amp;"+")-1),J1050),Direccion_Grupo!$A$2:$G$100,7,FALSE),"")</f>
        <v/>
      </c>
    </row>
    <row r="1051">
      <c r="A1051" t="n">
        <v>51</v>
      </c>
      <c r="B1051" t="inlineStr">
        <is>
          <t>Valverde Montaño María Teresa</t>
        </is>
      </c>
      <c r="C1051" t="inlineStr">
        <is>
          <t>JUEVES</t>
        </is>
      </c>
      <c r="D1051" t="n">
        <v>3</v>
      </c>
      <c r="E1051" t="n">
        <v>2</v>
      </c>
      <c r="F1051" t="n">
        <v>1</v>
      </c>
      <c r="G1051" t="inlineStr">
        <is>
          <t>08:20</t>
        </is>
      </c>
      <c r="H1051" t="inlineStr">
        <is>
          <t>09:05</t>
        </is>
      </c>
      <c r="I1051" t="inlineStr">
        <is>
          <t>CLASE</t>
        </is>
      </c>
      <c r="J1051" t="inlineStr">
        <is>
          <t>CS202</t>
        </is>
      </c>
      <c r="K1051" t="inlineStr">
        <is>
          <t>CAS</t>
        </is>
      </c>
      <c r="L1051" t="inlineStr"/>
      <c r="M1051" t="inlineStr"/>
      <c r="N1051" t="inlineStr"/>
      <c r="O1051" t="inlineStr"/>
      <c r="P1051" t="inlineStr">
        <is>
          <t>CS202-CAS</t>
        </is>
      </c>
      <c r="Q1051">
        <f>IF(I1051="ENFASIS","ÉNFASIS "&amp;M1051,IFERROR(VLOOKUP(J1051,Grupos!$A$2:$D$100,4,FALSE),J1051))</f>
        <v/>
      </c>
      <c r="R1051">
        <f>O1051&amp;IF(N1051&lt;&gt;"",IF(O1051&lt;&gt;""," · ","")&amp;"Con: "&amp;N1051,"")</f>
        <v/>
      </c>
      <c r="S1051">
        <f>C1051&amp;"|"&amp;D1051</f>
        <v/>
      </c>
      <c r="T1051">
        <f>COUNTIF($S$2:S1051,S1051)</f>
        <v/>
      </c>
      <c r="U1051">
        <f>S1051&amp;"|"&amp;T1051</f>
        <v/>
      </c>
      <c r="V1051">
        <f>IFERROR(VLOOKUP(IF(I1051="ENFASIS",LEFT(M1051,FIND("+",M1051&amp;"+")-1),J1051),Direccion_Grupo!$A$2:$G$100,7,FALSE),"")</f>
        <v/>
      </c>
    </row>
    <row r="1052">
      <c r="A1052" t="n">
        <v>7</v>
      </c>
      <c r="B1052" t="inlineStr">
        <is>
          <t>Casanova Casanova Johana Andrea</t>
        </is>
      </c>
      <c r="C1052" t="inlineStr">
        <is>
          <t>JUEVES</t>
        </is>
      </c>
      <c r="D1052" t="n">
        <v>3</v>
      </c>
      <c r="E1052" t="n">
        <v>2</v>
      </c>
      <c r="F1052" t="n">
        <v>1</v>
      </c>
      <c r="G1052" t="inlineStr">
        <is>
          <t>08:20</t>
        </is>
      </c>
      <c r="H1052" t="inlineStr">
        <is>
          <t>09:05</t>
        </is>
      </c>
      <c r="I1052" t="inlineStr">
        <is>
          <t>ORIENTACION</t>
        </is>
      </c>
      <c r="J1052" t="inlineStr">
        <is>
          <t>ORIENT</t>
        </is>
      </c>
      <c r="K1052" t="inlineStr">
        <is>
          <t>ORIENTACIÓN ESCOLAR</t>
        </is>
      </c>
      <c r="L1052" t="inlineStr"/>
      <c r="M1052" t="inlineStr"/>
      <c r="N1052" t="inlineStr"/>
      <c r="O1052" t="inlineStr">
        <is>
          <t>Jornada 07:30 a 14:30</t>
        </is>
      </c>
      <c r="P1052" t="inlineStr"/>
      <c r="Q1052">
        <f>IF(I1052="ENFASIS","ÉNFASIS "&amp;M1052,IFERROR(VLOOKUP(J1052,Grupos!$A$2:$D$100,4,FALSE),J1052))</f>
        <v/>
      </c>
      <c r="R1052">
        <f>O1052&amp;IF(N1052&lt;&gt;"",IF(O1052&lt;&gt;""," · ","")&amp;"Con: "&amp;N1052,"")</f>
        <v/>
      </c>
      <c r="S1052">
        <f>C1052&amp;"|"&amp;D1052</f>
        <v/>
      </c>
      <c r="T1052">
        <f>COUNTIF($S$2:S1052,S1052)</f>
        <v/>
      </c>
      <c r="U1052">
        <f>S1052&amp;"|"&amp;T1052</f>
        <v/>
      </c>
      <c r="V1052">
        <f>IFERROR(VLOOKUP(IF(I1052="ENFASIS",LEFT(M1052,FIND("+",M1052&amp;"+")-1),J1052),Direccion_Grupo!$A$2:$G$100,7,FALSE),"")</f>
        <v/>
      </c>
    </row>
    <row r="1053">
      <c r="A1053" t="n">
        <v>36</v>
      </c>
      <c r="B1053" t="inlineStr">
        <is>
          <t>Ponce Moncayo Ángela Paola</t>
        </is>
      </c>
      <c r="C1053" t="inlineStr">
        <is>
          <t>JUEVES</t>
        </is>
      </c>
      <c r="D1053" t="n">
        <v>3</v>
      </c>
      <c r="E1053" t="n">
        <v>2</v>
      </c>
      <c r="F1053" t="n">
        <v>1</v>
      </c>
      <c r="G1053" t="inlineStr">
        <is>
          <t>08:20</t>
        </is>
      </c>
      <c r="H1053" t="inlineStr">
        <is>
          <t>09:05</t>
        </is>
      </c>
      <c r="I1053" t="inlineStr">
        <is>
          <t>ORIENTACION</t>
        </is>
      </c>
      <c r="J1053" t="inlineStr">
        <is>
          <t>ORIENT</t>
        </is>
      </c>
      <c r="K1053" t="inlineStr">
        <is>
          <t>ORIENTACIÓN ESCOLAR</t>
        </is>
      </c>
      <c r="L1053" t="inlineStr"/>
      <c r="M1053" t="inlineStr"/>
      <c r="N1053" t="inlineStr"/>
      <c r="O1053" t="inlineStr">
        <is>
          <t>Jornada 08:30 a 13:30</t>
        </is>
      </c>
      <c r="P1053" t="inlineStr"/>
      <c r="Q1053">
        <f>IF(I1053="ENFASIS","ÉNFASIS "&amp;M1053,IFERROR(VLOOKUP(J1053,Grupos!$A$2:$D$100,4,FALSE),J1053))</f>
        <v/>
      </c>
      <c r="R1053">
        <f>O1053&amp;IF(N1053&lt;&gt;"",IF(O1053&lt;&gt;""," · ","")&amp;"Con: "&amp;N1053,"")</f>
        <v/>
      </c>
      <c r="S1053">
        <f>C1053&amp;"|"&amp;D1053</f>
        <v/>
      </c>
      <c r="T1053">
        <f>COUNTIF($S$2:S1053,S1053)</f>
        <v/>
      </c>
      <c r="U1053">
        <f>S1053&amp;"|"&amp;T1053</f>
        <v/>
      </c>
      <c r="V1053">
        <f>IFERROR(VLOOKUP(IF(I1053="ENFASIS",LEFT(M1053,FIND("+",M1053&amp;"+")-1),J1053),Direccion_Grupo!$A$2:$G$100,7,FALSE),"")</f>
        <v/>
      </c>
    </row>
    <row r="1054">
      <c r="A1054" t="n">
        <v>56</v>
      </c>
      <c r="B1054" t="inlineStr">
        <is>
          <t>Ortiz Estacio Martha Cecilia</t>
        </is>
      </c>
      <c r="C1054" t="inlineStr">
        <is>
          <t>JUEVES</t>
        </is>
      </c>
      <c r="D1054" t="n">
        <v>3</v>
      </c>
      <c r="E1054" t="n">
        <v>2</v>
      </c>
      <c r="F1054" t="n">
        <v>1</v>
      </c>
      <c r="G1054" t="inlineStr">
        <is>
          <t>08:20</t>
        </is>
      </c>
      <c r="H1054" t="inlineStr">
        <is>
          <t>09:05</t>
        </is>
      </c>
      <c r="I1054" t="inlineStr">
        <is>
          <t>TUTORIA</t>
        </is>
      </c>
      <c r="J1054" t="inlineStr">
        <is>
          <t>PTAFI</t>
        </is>
      </c>
      <c r="K1054" t="inlineStr">
        <is>
          <t>TUTORÍA PTAFI</t>
        </is>
      </c>
      <c r="L1054" t="inlineStr"/>
      <c r="M1054" t="inlineStr"/>
      <c r="N1054" t="inlineStr"/>
      <c r="O1054" t="inlineStr">
        <is>
          <t>Jornada 06:30 a 12:00</t>
        </is>
      </c>
      <c r="P1054" t="inlineStr"/>
      <c r="Q1054">
        <f>IF(I1054="ENFASIS","ÉNFASIS "&amp;M1054,IFERROR(VLOOKUP(J1054,Grupos!$A$2:$D$100,4,FALSE),J1054))</f>
        <v/>
      </c>
      <c r="R1054">
        <f>O1054&amp;IF(N1054&lt;&gt;"",IF(O1054&lt;&gt;""," · ","")&amp;"Con: "&amp;N1054,"")</f>
        <v/>
      </c>
      <c r="S1054">
        <f>C1054&amp;"|"&amp;D1054</f>
        <v/>
      </c>
      <c r="T1054">
        <f>COUNTIF($S$2:S1054,S1054)</f>
        <v/>
      </c>
      <c r="U1054">
        <f>S1054&amp;"|"&amp;T1054</f>
        <v/>
      </c>
      <c r="V1054">
        <f>IFERROR(VLOOKUP(IF(I1054="ENFASIS",LEFT(M1054,FIND("+",M1054&amp;"+")-1),J1054),Direccion_Grupo!$A$2:$G$100,7,FALSE),"")</f>
        <v/>
      </c>
    </row>
    <row r="1055">
      <c r="A1055" t="n">
        <v>3</v>
      </c>
      <c r="B1055" t="inlineStr">
        <is>
          <t>Arboleda Ortiz Luz América</t>
        </is>
      </c>
      <c r="C1055" t="inlineStr">
        <is>
          <t>JUEVES</t>
        </is>
      </c>
      <c r="D1055" t="n">
        <v>3</v>
      </c>
      <c r="E1055" t="n">
        <v>2</v>
      </c>
      <c r="F1055" t="n">
        <v>1</v>
      </c>
      <c r="G1055" t="inlineStr">
        <is>
          <t>08:20</t>
        </is>
      </c>
      <c r="H1055" t="inlineStr">
        <is>
          <t>09:05</t>
        </is>
      </c>
      <c r="I1055" t="inlineStr">
        <is>
          <t>ENFASIS</t>
        </is>
      </c>
      <c r="J1055" t="inlineStr"/>
      <c r="K1055" t="inlineStr">
        <is>
          <t>ART</t>
        </is>
      </c>
      <c r="L1055" t="inlineStr">
        <is>
          <t>D5-11°</t>
        </is>
      </c>
      <c r="M1055" t="inlineStr">
        <is>
          <t>1101</t>
        </is>
      </c>
      <c r="N1055" t="inlineStr">
        <is>
          <t>Montaño Anchico Favio Héctor (CAS); Ramírez Guerra Jimmy Eduardo (ERD); Villota Rubio Héctor Hugo (CNA)</t>
        </is>
      </c>
      <c r="O1055" t="inlineStr">
        <is>
          <t>EQUIPO DE 4: cada docente atiende un grupo de estudiantes en su área</t>
        </is>
      </c>
      <c r="P1055" t="inlineStr">
        <is>
          <t>ENFASIS-D5-11°</t>
        </is>
      </c>
      <c r="Q1055">
        <f>IF(I1055="ENFASIS","ÉNFASIS "&amp;M1055,IFERROR(VLOOKUP(J1055,Grupos!$A$2:$D$100,4,FALSE),J1055))</f>
        <v/>
      </c>
      <c r="R1055">
        <f>O1055&amp;IF(N1055&lt;&gt;"",IF(O1055&lt;&gt;""," · ","")&amp;"Con: "&amp;N1055,"")</f>
        <v/>
      </c>
      <c r="S1055">
        <f>C1055&amp;"|"&amp;D1055</f>
        <v/>
      </c>
      <c r="T1055">
        <f>COUNTIF($S$2:S1055,S1055)</f>
        <v/>
      </c>
      <c r="U1055">
        <f>S1055&amp;"|"&amp;T1055</f>
        <v/>
      </c>
      <c r="V1055">
        <f>IFERROR(VLOOKUP(IF(I1055="ENFASIS",LEFT(M1055,FIND("+",M1055&amp;"+")-1),J1055),Direccion_Grupo!$A$2:$G$100,7,FALSE),"")</f>
        <v/>
      </c>
    </row>
    <row r="1056">
      <c r="A1056" t="n">
        <v>30</v>
      </c>
      <c r="B1056" t="inlineStr">
        <is>
          <t>Montaño Anchico Favio Héctor</t>
        </is>
      </c>
      <c r="C1056" t="inlineStr">
        <is>
          <t>JUEVES</t>
        </is>
      </c>
      <c r="D1056" t="n">
        <v>3</v>
      </c>
      <c r="E1056" t="n">
        <v>2</v>
      </c>
      <c r="F1056" t="n">
        <v>1</v>
      </c>
      <c r="G1056" t="inlineStr">
        <is>
          <t>08:20</t>
        </is>
      </c>
      <c r="H1056" t="inlineStr">
        <is>
          <t>09:05</t>
        </is>
      </c>
      <c r="I1056" t="inlineStr">
        <is>
          <t>ENFASIS</t>
        </is>
      </c>
      <c r="J1056" t="inlineStr"/>
      <c r="K1056" t="inlineStr">
        <is>
          <t>CAS</t>
        </is>
      </c>
      <c r="L1056" t="inlineStr">
        <is>
          <t>D5-11°</t>
        </is>
      </c>
      <c r="M1056" t="inlineStr">
        <is>
          <t>1101</t>
        </is>
      </c>
      <c r="N1056" t="inlineStr">
        <is>
          <t>Arboleda Ortiz Luz América (ART); Ramírez Guerra Jimmy Eduardo (ERD); Villota Rubio Héctor Hugo (CNA)</t>
        </is>
      </c>
      <c r="O1056" t="inlineStr">
        <is>
          <t>EQUIPO DE 4: cada docente atiende un grupo de estudiantes en su área</t>
        </is>
      </c>
      <c r="P1056" t="inlineStr">
        <is>
          <t>ENFASIS-D5-11°</t>
        </is>
      </c>
      <c r="Q1056">
        <f>IF(I1056="ENFASIS","ÉNFASIS "&amp;M1056,IFERROR(VLOOKUP(J1056,Grupos!$A$2:$D$100,4,FALSE),J1056))</f>
        <v/>
      </c>
      <c r="R1056">
        <f>O1056&amp;IF(N1056&lt;&gt;"",IF(O1056&lt;&gt;""," · ","")&amp;"Con: "&amp;N1056,"")</f>
        <v/>
      </c>
      <c r="S1056">
        <f>C1056&amp;"|"&amp;D1056</f>
        <v/>
      </c>
      <c r="T1056">
        <f>COUNTIF($S$2:S1056,S1056)</f>
        <v/>
      </c>
      <c r="U1056">
        <f>S1056&amp;"|"&amp;T1056</f>
        <v/>
      </c>
      <c r="V1056">
        <f>IFERROR(VLOOKUP(IF(I1056="ENFASIS",LEFT(M1056,FIND("+",M1056&amp;"+")-1),J1056),Direccion_Grupo!$A$2:$G$100,7,FALSE),"")</f>
        <v/>
      </c>
    </row>
    <row r="1057">
      <c r="A1057" t="n">
        <v>43</v>
      </c>
      <c r="B1057" t="inlineStr">
        <is>
          <t>Ramírez Guerra Jimmy Eduardo</t>
        </is>
      </c>
      <c r="C1057" t="inlineStr">
        <is>
          <t>JUEVES</t>
        </is>
      </c>
      <c r="D1057" t="n">
        <v>3</v>
      </c>
      <c r="E1057" t="n">
        <v>2</v>
      </c>
      <c r="F1057" t="n">
        <v>1</v>
      </c>
      <c r="G1057" t="inlineStr">
        <is>
          <t>08:20</t>
        </is>
      </c>
      <c r="H1057" t="inlineStr">
        <is>
          <t>09:05</t>
        </is>
      </c>
      <c r="I1057" t="inlineStr">
        <is>
          <t>ENFASIS</t>
        </is>
      </c>
      <c r="J1057" t="inlineStr"/>
      <c r="K1057" t="inlineStr">
        <is>
          <t>ERD</t>
        </is>
      </c>
      <c r="L1057" t="inlineStr">
        <is>
          <t>D5-11°</t>
        </is>
      </c>
      <c r="M1057" t="inlineStr">
        <is>
          <t>1101</t>
        </is>
      </c>
      <c r="N1057" t="inlineStr">
        <is>
          <t>Arboleda Ortiz Luz América (ART); Montaño Anchico Favio Héctor (CAS); Villota Rubio Héctor Hugo (CNA)</t>
        </is>
      </c>
      <c r="O1057" t="inlineStr">
        <is>
          <t>EQUIPO DE 4: cada docente atiende un grupo de estudiantes en su área</t>
        </is>
      </c>
      <c r="P1057" t="inlineStr">
        <is>
          <t>ENFASIS-D5-11°</t>
        </is>
      </c>
      <c r="Q1057">
        <f>IF(I1057="ENFASIS","ÉNFASIS "&amp;M1057,IFERROR(VLOOKUP(J1057,Grupos!$A$2:$D$100,4,FALSE),J1057))</f>
        <v/>
      </c>
      <c r="R1057">
        <f>O1057&amp;IF(N1057&lt;&gt;"",IF(O1057&lt;&gt;""," · ","")&amp;"Con: "&amp;N1057,"")</f>
        <v/>
      </c>
      <c r="S1057">
        <f>C1057&amp;"|"&amp;D1057</f>
        <v/>
      </c>
      <c r="T1057">
        <f>COUNTIF($S$2:S1057,S1057)</f>
        <v/>
      </c>
      <c r="U1057">
        <f>S1057&amp;"|"&amp;T1057</f>
        <v/>
      </c>
      <c r="V1057">
        <f>IFERROR(VLOOKUP(IF(I1057="ENFASIS",LEFT(M1057,FIND("+",M1057&amp;"+")-1),J1057),Direccion_Grupo!$A$2:$G$100,7,FALSE),"")</f>
        <v/>
      </c>
    </row>
    <row r="1058">
      <c r="A1058" t="n">
        <v>53</v>
      </c>
      <c r="B1058" t="inlineStr">
        <is>
          <t>Villota Rubio Héctor Hugo</t>
        </is>
      </c>
      <c r="C1058" t="inlineStr">
        <is>
          <t>JUEVES</t>
        </is>
      </c>
      <c r="D1058" t="n">
        <v>3</v>
      </c>
      <c r="E1058" t="n">
        <v>2</v>
      </c>
      <c r="F1058" t="n">
        <v>1</v>
      </c>
      <c r="G1058" t="inlineStr">
        <is>
          <t>08:20</t>
        </is>
      </c>
      <c r="H1058" t="inlineStr">
        <is>
          <t>09:05</t>
        </is>
      </c>
      <c r="I1058" t="inlineStr">
        <is>
          <t>ENFASIS</t>
        </is>
      </c>
      <c r="J1058" t="inlineStr"/>
      <c r="K1058" t="inlineStr">
        <is>
          <t>CNA</t>
        </is>
      </c>
      <c r="L1058" t="inlineStr">
        <is>
          <t>D5-11°</t>
        </is>
      </c>
      <c r="M1058" t="inlineStr">
        <is>
          <t>1101</t>
        </is>
      </c>
      <c r="N1058" t="inlineStr">
        <is>
          <t>Arboleda Ortiz Luz América (ART); Montaño Anchico Favio Héctor (CAS); Ramírez Guerra Jimmy Eduardo (ERD)</t>
        </is>
      </c>
      <c r="O1058" t="inlineStr">
        <is>
          <t>EQUIPO DE 4: cada docente atiende un grupo de estudiantes en su área</t>
        </is>
      </c>
      <c r="P1058" t="inlineStr">
        <is>
          <t>ENFASIS-D5-11°</t>
        </is>
      </c>
      <c r="Q1058">
        <f>IF(I1058="ENFASIS","ÉNFASIS "&amp;M1058,IFERROR(VLOOKUP(J1058,Grupos!$A$2:$D$100,4,FALSE),J1058))</f>
        <v/>
      </c>
      <c r="R1058">
        <f>O1058&amp;IF(N1058&lt;&gt;"",IF(O1058&lt;&gt;""," · ","")&amp;"Con: "&amp;N1058,"")</f>
        <v/>
      </c>
      <c r="S1058">
        <f>C1058&amp;"|"&amp;D1058</f>
        <v/>
      </c>
      <c r="T1058">
        <f>COUNTIF($S$2:S1058,S1058)</f>
        <v/>
      </c>
      <c r="U1058">
        <f>S1058&amp;"|"&amp;T1058</f>
        <v/>
      </c>
      <c r="V1058">
        <f>IFERROR(VLOOKUP(IF(I1058="ENFASIS",LEFT(M1058,FIND("+",M1058&amp;"+")-1),J1058),Direccion_Grupo!$A$2:$G$100,7,FALSE),"")</f>
        <v/>
      </c>
    </row>
    <row r="1059">
      <c r="A1059" t="n">
        <v>50</v>
      </c>
      <c r="B1059" t="inlineStr">
        <is>
          <t>Valencia Solís Gloria Alexa</t>
        </is>
      </c>
      <c r="C1059" t="inlineStr">
        <is>
          <t>JUEVES</t>
        </is>
      </c>
      <c r="D1059" t="n">
        <v>4</v>
      </c>
      <c r="E1059" t="n">
        <v>2</v>
      </c>
      <c r="F1059" t="n">
        <v>2</v>
      </c>
      <c r="G1059" t="inlineStr">
        <is>
          <t>08:30</t>
        </is>
      </c>
      <c r="H1059" t="inlineStr">
        <is>
          <t>09:30</t>
        </is>
      </c>
      <c r="I1059" t="inlineStr">
        <is>
          <t>AREAS_MULTIPLES</t>
        </is>
      </c>
      <c r="J1059" t="inlineStr">
        <is>
          <t>0001</t>
        </is>
      </c>
      <c r="K1059" t="inlineStr">
        <is>
          <t>ÁREAS MÚLTIPLES</t>
        </is>
      </c>
      <c r="L1059" t="inlineStr"/>
      <c r="M1059" t="inlineStr"/>
      <c r="N1059" t="inlineStr"/>
      <c r="O1059" t="inlineStr">
        <is>
          <t>Maestro de aula: todas las áreas con su grupo</t>
        </is>
      </c>
      <c r="P1059" t="inlineStr"/>
      <c r="Q1059">
        <f>IF(I1059="ENFASIS","ÉNFASIS "&amp;M1059,IFERROR(VLOOKUP(J1059,Grupos!$A$2:$D$100,4,FALSE),J1059))</f>
        <v/>
      </c>
      <c r="R1059">
        <f>O1059&amp;IF(N1059&lt;&gt;"",IF(O1059&lt;&gt;""," · ","")&amp;"Con: "&amp;N1059,"")</f>
        <v/>
      </c>
      <c r="S1059">
        <f>C1059&amp;"|"&amp;D1059</f>
        <v/>
      </c>
      <c r="T1059">
        <f>COUNTIF($S$2:S1059,S1059)</f>
        <v/>
      </c>
      <c r="U1059">
        <f>S1059&amp;"|"&amp;T1059</f>
        <v/>
      </c>
      <c r="V1059">
        <f>IFERROR(VLOOKUP(IF(I1059="ENFASIS",LEFT(M1059,FIND("+",M1059&amp;"+")-1),J1059),Direccion_Grupo!$A$2:$G$100,7,FALSE),"")</f>
        <v/>
      </c>
    </row>
    <row r="1060">
      <c r="A1060" t="n">
        <v>27</v>
      </c>
      <c r="B1060" t="inlineStr">
        <is>
          <t>Martínez Álvarez Andrea Ascención</t>
        </is>
      </c>
      <c r="C1060" t="inlineStr">
        <is>
          <t>JUEVES</t>
        </is>
      </c>
      <c r="D1060" t="n">
        <v>4</v>
      </c>
      <c r="E1060" t="n">
        <v>2</v>
      </c>
      <c r="F1060" t="n">
        <v>2</v>
      </c>
      <c r="G1060" t="inlineStr">
        <is>
          <t>08:30</t>
        </is>
      </c>
      <c r="H1060" t="inlineStr">
        <is>
          <t>09:30</t>
        </is>
      </c>
      <c r="I1060" t="inlineStr">
        <is>
          <t>AREAS_MULTIPLES</t>
        </is>
      </c>
      <c r="J1060" t="inlineStr">
        <is>
          <t>0002</t>
        </is>
      </c>
      <c r="K1060" t="inlineStr">
        <is>
          <t>ÁREAS MÚLTIPLES</t>
        </is>
      </c>
      <c r="L1060" t="inlineStr"/>
      <c r="M1060" t="inlineStr"/>
      <c r="N1060" t="inlineStr"/>
      <c r="O1060" t="inlineStr">
        <is>
          <t>Maestro de aula: todas las áreas con su grupo</t>
        </is>
      </c>
      <c r="P1060" t="inlineStr"/>
      <c r="Q1060">
        <f>IF(I1060="ENFASIS","ÉNFASIS "&amp;M1060,IFERROR(VLOOKUP(J1060,Grupos!$A$2:$D$100,4,FALSE),J1060))</f>
        <v/>
      </c>
      <c r="R1060">
        <f>O1060&amp;IF(N1060&lt;&gt;"",IF(O1060&lt;&gt;""," · ","")&amp;"Con: "&amp;N1060,"")</f>
        <v/>
      </c>
      <c r="S1060">
        <f>C1060&amp;"|"&amp;D1060</f>
        <v/>
      </c>
      <c r="T1060">
        <f>COUNTIF($S$2:S1060,S1060)</f>
        <v/>
      </c>
      <c r="U1060">
        <f>S1060&amp;"|"&amp;T1060</f>
        <v/>
      </c>
      <c r="V1060">
        <f>IFERROR(VLOOKUP(IF(I1060="ENFASIS",LEFT(M1060,FIND("+",M1060&amp;"+")-1),J1060),Direccion_Grupo!$A$2:$G$100,7,FALSE),"")</f>
        <v/>
      </c>
    </row>
    <row r="1061">
      <c r="A1061" t="n">
        <v>23</v>
      </c>
      <c r="B1061" t="inlineStr">
        <is>
          <t>Landázuri Quiñones María Elia</t>
        </is>
      </c>
      <c r="C1061" t="inlineStr">
        <is>
          <t>JUEVES</t>
        </is>
      </c>
      <c r="D1061" t="n">
        <v>4</v>
      </c>
      <c r="E1061" t="n">
        <v>2</v>
      </c>
      <c r="F1061" t="n">
        <v>2</v>
      </c>
      <c r="G1061" t="inlineStr">
        <is>
          <t>09:05</t>
        </is>
      </c>
      <c r="H1061" t="inlineStr">
        <is>
          <t>09:50</t>
        </is>
      </c>
      <c r="I1061" t="inlineStr">
        <is>
          <t>AREAS_MULTIPLES</t>
        </is>
      </c>
      <c r="J1061" t="inlineStr">
        <is>
          <t>0101</t>
        </is>
      </c>
      <c r="K1061" t="inlineStr">
        <is>
          <t>ÁREAS MÚLTIPLES</t>
        </is>
      </c>
      <c r="L1061" t="inlineStr"/>
      <c r="M1061" t="inlineStr"/>
      <c r="N1061" t="inlineStr"/>
      <c r="O1061" t="inlineStr">
        <is>
          <t>Maestro de aula: todas las áreas con su grupo</t>
        </is>
      </c>
      <c r="P1061" t="inlineStr"/>
      <c r="Q1061">
        <f>IF(I1061="ENFASIS","ÉNFASIS "&amp;M1061,IFERROR(VLOOKUP(J1061,Grupos!$A$2:$D$100,4,FALSE),J1061))</f>
        <v/>
      </c>
      <c r="R1061">
        <f>O1061&amp;IF(N1061&lt;&gt;"",IF(O1061&lt;&gt;""," · ","")&amp;"Con: "&amp;N1061,"")</f>
        <v/>
      </c>
      <c r="S1061">
        <f>C1061&amp;"|"&amp;D1061</f>
        <v/>
      </c>
      <c r="T1061">
        <f>COUNTIF($S$2:S1061,S1061)</f>
        <v/>
      </c>
      <c r="U1061">
        <f>S1061&amp;"|"&amp;T1061</f>
        <v/>
      </c>
      <c r="V1061">
        <f>IFERROR(VLOOKUP(IF(I1061="ENFASIS",LEFT(M1061,FIND("+",M1061&amp;"+")-1),J1061),Direccion_Grupo!$A$2:$G$100,7,FALSE),"")</f>
        <v/>
      </c>
    </row>
    <row r="1062">
      <c r="A1062" t="n">
        <v>45</v>
      </c>
      <c r="B1062" t="inlineStr">
        <is>
          <t>Sinisterra Ana Lucía</t>
        </is>
      </c>
      <c r="C1062" t="inlineStr">
        <is>
          <t>JUEVES</t>
        </is>
      </c>
      <c r="D1062" t="n">
        <v>4</v>
      </c>
      <c r="E1062" t="n">
        <v>2</v>
      </c>
      <c r="F1062" t="n">
        <v>2</v>
      </c>
      <c r="G1062" t="inlineStr">
        <is>
          <t>09:05</t>
        </is>
      </c>
      <c r="H1062" t="inlineStr">
        <is>
          <t>09:50</t>
        </is>
      </c>
      <c r="I1062" t="inlineStr">
        <is>
          <t>AREAS_MULTIPLES</t>
        </is>
      </c>
      <c r="J1062" t="inlineStr">
        <is>
          <t>0102</t>
        </is>
      </c>
      <c r="K1062" t="inlineStr">
        <is>
          <t>ÁREAS MÚLTIPLES</t>
        </is>
      </c>
      <c r="L1062" t="inlineStr"/>
      <c r="M1062" t="inlineStr"/>
      <c r="N1062" t="inlineStr"/>
      <c r="O1062" t="inlineStr">
        <is>
          <t>Maestro de aula: todas las áreas con su grupo</t>
        </is>
      </c>
      <c r="P1062" t="inlineStr"/>
      <c r="Q1062">
        <f>IF(I1062="ENFASIS","ÉNFASIS "&amp;M1062,IFERROR(VLOOKUP(J1062,Grupos!$A$2:$D$100,4,FALSE),J1062))</f>
        <v/>
      </c>
      <c r="R1062">
        <f>O1062&amp;IF(N1062&lt;&gt;"",IF(O1062&lt;&gt;""," · ","")&amp;"Con: "&amp;N1062,"")</f>
        <v/>
      </c>
      <c r="S1062">
        <f>C1062&amp;"|"&amp;D1062</f>
        <v/>
      </c>
      <c r="T1062">
        <f>COUNTIF($S$2:S1062,S1062)</f>
        <v/>
      </c>
      <c r="U1062">
        <f>S1062&amp;"|"&amp;T1062</f>
        <v/>
      </c>
      <c r="V1062">
        <f>IFERROR(VLOOKUP(IF(I1062="ENFASIS",LEFT(M1062,FIND("+",M1062&amp;"+")-1),J1062),Direccion_Grupo!$A$2:$G$100,7,FALSE),"")</f>
        <v/>
      </c>
    </row>
    <row r="1063">
      <c r="A1063" t="n">
        <v>13</v>
      </c>
      <c r="B1063" t="inlineStr">
        <is>
          <t>Cortés Salazar María Ebelice</t>
        </is>
      </c>
      <c r="C1063" t="inlineStr">
        <is>
          <t>JUEVES</t>
        </is>
      </c>
      <c r="D1063" t="n">
        <v>4</v>
      </c>
      <c r="E1063" t="n">
        <v>2</v>
      </c>
      <c r="F1063" t="n">
        <v>2</v>
      </c>
      <c r="G1063" t="inlineStr">
        <is>
          <t>09:05</t>
        </is>
      </c>
      <c r="H1063" t="inlineStr">
        <is>
          <t>09:50</t>
        </is>
      </c>
      <c r="I1063" t="inlineStr">
        <is>
          <t>AREAS_MULTIPLES</t>
        </is>
      </c>
      <c r="J1063" t="inlineStr">
        <is>
          <t>0201</t>
        </is>
      </c>
      <c r="K1063" t="inlineStr">
        <is>
          <t>ÁREAS MÚLTIPLES</t>
        </is>
      </c>
      <c r="L1063" t="inlineStr"/>
      <c r="M1063" t="inlineStr"/>
      <c r="N1063" t="inlineStr"/>
      <c r="O1063" t="inlineStr">
        <is>
          <t>Maestro de aula: todas las áreas con su grupo</t>
        </is>
      </c>
      <c r="P1063" t="inlineStr"/>
      <c r="Q1063">
        <f>IF(I1063="ENFASIS","ÉNFASIS "&amp;M1063,IFERROR(VLOOKUP(J1063,Grupos!$A$2:$D$100,4,FALSE),J1063))</f>
        <v/>
      </c>
      <c r="R1063">
        <f>O1063&amp;IF(N1063&lt;&gt;"",IF(O1063&lt;&gt;""," · ","")&amp;"Con: "&amp;N1063,"")</f>
        <v/>
      </c>
      <c r="S1063">
        <f>C1063&amp;"|"&amp;D1063</f>
        <v/>
      </c>
      <c r="T1063">
        <f>COUNTIF($S$2:S1063,S1063)</f>
        <v/>
      </c>
      <c r="U1063">
        <f>S1063&amp;"|"&amp;T1063</f>
        <v/>
      </c>
      <c r="V1063">
        <f>IFERROR(VLOOKUP(IF(I1063="ENFASIS",LEFT(M1063,FIND("+",M1063&amp;"+")-1),J1063),Direccion_Grupo!$A$2:$G$100,7,FALSE),"")</f>
        <v/>
      </c>
    </row>
    <row r="1064">
      <c r="A1064" t="n">
        <v>21</v>
      </c>
      <c r="B1064" t="inlineStr">
        <is>
          <t>Garzón Quiñones Sixta Janina</t>
        </is>
      </c>
      <c r="C1064" t="inlineStr">
        <is>
          <t>JUEVES</t>
        </is>
      </c>
      <c r="D1064" t="n">
        <v>4</v>
      </c>
      <c r="E1064" t="n">
        <v>2</v>
      </c>
      <c r="F1064" t="n">
        <v>2</v>
      </c>
      <c r="G1064" t="inlineStr">
        <is>
          <t>09:05</t>
        </is>
      </c>
      <c r="H1064" t="inlineStr">
        <is>
          <t>09:50</t>
        </is>
      </c>
      <c r="I1064" t="inlineStr">
        <is>
          <t>AREAS_MULTIPLES</t>
        </is>
      </c>
      <c r="J1064" t="inlineStr">
        <is>
          <t>0202</t>
        </is>
      </c>
      <c r="K1064" t="inlineStr">
        <is>
          <t>ÁREAS MÚLTIPLES</t>
        </is>
      </c>
      <c r="L1064" t="inlineStr"/>
      <c r="M1064" t="inlineStr"/>
      <c r="N1064" t="inlineStr"/>
      <c r="O1064" t="inlineStr">
        <is>
          <t>Maestro de aula: todas las áreas con su grupo</t>
        </is>
      </c>
      <c r="P1064" t="inlineStr"/>
      <c r="Q1064">
        <f>IF(I1064="ENFASIS","ÉNFASIS "&amp;M1064,IFERROR(VLOOKUP(J1064,Grupos!$A$2:$D$100,4,FALSE),J1064))</f>
        <v/>
      </c>
      <c r="R1064">
        <f>O1064&amp;IF(N1064&lt;&gt;"",IF(O1064&lt;&gt;""," · ","")&amp;"Con: "&amp;N1064,"")</f>
        <v/>
      </c>
      <c r="S1064">
        <f>C1064&amp;"|"&amp;D1064</f>
        <v/>
      </c>
      <c r="T1064">
        <f>COUNTIF($S$2:S1064,S1064)</f>
        <v/>
      </c>
      <c r="U1064">
        <f>S1064&amp;"|"&amp;T1064</f>
        <v/>
      </c>
      <c r="V1064">
        <f>IFERROR(VLOOKUP(IF(I1064="ENFASIS",LEFT(M1064,FIND("+",M1064&amp;"+")-1),J1064),Direccion_Grupo!$A$2:$G$100,7,FALSE),"")</f>
        <v/>
      </c>
    </row>
    <row r="1065">
      <c r="A1065" t="n">
        <v>46</v>
      </c>
      <c r="B1065" t="inlineStr">
        <is>
          <t>Tenorio Cuero Lucy Bivian</t>
        </is>
      </c>
      <c r="C1065" t="inlineStr">
        <is>
          <t>JUEVES</t>
        </is>
      </c>
      <c r="D1065" t="n">
        <v>4</v>
      </c>
      <c r="E1065" t="n">
        <v>2</v>
      </c>
      <c r="F1065" t="n">
        <v>2</v>
      </c>
      <c r="G1065" t="inlineStr">
        <is>
          <t>09:05</t>
        </is>
      </c>
      <c r="H1065" t="inlineStr">
        <is>
          <t>09:50</t>
        </is>
      </c>
      <c r="I1065" t="inlineStr">
        <is>
          <t>AREAS_MULTIPLES</t>
        </is>
      </c>
      <c r="J1065" t="inlineStr">
        <is>
          <t>0203</t>
        </is>
      </c>
      <c r="K1065" t="inlineStr">
        <is>
          <t>ÁREAS MÚLTIPLES</t>
        </is>
      </c>
      <c r="L1065" t="inlineStr"/>
      <c r="M1065" t="inlineStr"/>
      <c r="N1065" t="inlineStr"/>
      <c r="O1065" t="inlineStr">
        <is>
          <t>Maestro de aula: todas las áreas con su grupo</t>
        </is>
      </c>
      <c r="P1065" t="inlineStr"/>
      <c r="Q1065">
        <f>IF(I1065="ENFASIS","ÉNFASIS "&amp;M1065,IFERROR(VLOOKUP(J1065,Grupos!$A$2:$D$100,4,FALSE),J1065))</f>
        <v/>
      </c>
      <c r="R1065">
        <f>O1065&amp;IF(N1065&lt;&gt;"",IF(O1065&lt;&gt;""," · ","")&amp;"Con: "&amp;N1065,"")</f>
        <v/>
      </c>
      <c r="S1065">
        <f>C1065&amp;"|"&amp;D1065</f>
        <v/>
      </c>
      <c r="T1065">
        <f>COUNTIF($S$2:S1065,S1065)</f>
        <v/>
      </c>
      <c r="U1065">
        <f>S1065&amp;"|"&amp;T1065</f>
        <v/>
      </c>
      <c r="V1065">
        <f>IFERROR(VLOOKUP(IF(I1065="ENFASIS",LEFT(M1065,FIND("+",M1065&amp;"+")-1),J1065),Direccion_Grupo!$A$2:$G$100,7,FALSE),"")</f>
        <v/>
      </c>
    </row>
    <row r="1066">
      <c r="A1066" t="n">
        <v>48</v>
      </c>
      <c r="B1066" t="inlineStr">
        <is>
          <t>Torres Segura Encarnación</t>
        </is>
      </c>
      <c r="C1066" t="inlineStr">
        <is>
          <t>JUEVES</t>
        </is>
      </c>
      <c r="D1066" t="n">
        <v>4</v>
      </c>
      <c r="E1066" t="n">
        <v>2</v>
      </c>
      <c r="F1066" t="n">
        <v>2</v>
      </c>
      <c r="G1066" t="inlineStr">
        <is>
          <t>09:05</t>
        </is>
      </c>
      <c r="H1066" t="inlineStr">
        <is>
          <t>09:50</t>
        </is>
      </c>
      <c r="I1066" t="inlineStr">
        <is>
          <t>AREAS_MULTIPLES</t>
        </is>
      </c>
      <c r="J1066" t="inlineStr">
        <is>
          <t>0301</t>
        </is>
      </c>
      <c r="K1066" t="inlineStr">
        <is>
          <t>ÁREAS MÚLTIPLES</t>
        </is>
      </c>
      <c r="L1066" t="inlineStr"/>
      <c r="M1066" t="inlineStr"/>
      <c r="N1066" t="inlineStr"/>
      <c r="O1066" t="inlineStr">
        <is>
          <t>Maestro de aula: todas las áreas con su grupo</t>
        </is>
      </c>
      <c r="P1066" t="inlineStr"/>
      <c r="Q1066">
        <f>IF(I1066="ENFASIS","ÉNFASIS "&amp;M1066,IFERROR(VLOOKUP(J1066,Grupos!$A$2:$D$100,4,FALSE),J1066))</f>
        <v/>
      </c>
      <c r="R1066">
        <f>O1066&amp;IF(N1066&lt;&gt;"",IF(O1066&lt;&gt;""," · ","")&amp;"Con: "&amp;N1066,"")</f>
        <v/>
      </c>
      <c r="S1066">
        <f>C1066&amp;"|"&amp;D1066</f>
        <v/>
      </c>
      <c r="T1066">
        <f>COUNTIF($S$2:S1066,S1066)</f>
        <v/>
      </c>
      <c r="U1066">
        <f>S1066&amp;"|"&amp;T1066</f>
        <v/>
      </c>
      <c r="V1066">
        <f>IFERROR(VLOOKUP(IF(I1066="ENFASIS",LEFT(M1066,FIND("+",M1066&amp;"+")-1),J1066),Direccion_Grupo!$A$2:$G$100,7,FALSE),"")</f>
        <v/>
      </c>
    </row>
    <row r="1067">
      <c r="A1067" t="n">
        <v>24</v>
      </c>
      <c r="B1067" t="inlineStr">
        <is>
          <t>Landázuri Gallón Teresa</t>
        </is>
      </c>
      <c r="C1067" t="inlineStr">
        <is>
          <t>JUEVES</t>
        </is>
      </c>
      <c r="D1067" t="n">
        <v>4</v>
      </c>
      <c r="E1067" t="n">
        <v>2</v>
      </c>
      <c r="F1067" t="n">
        <v>2</v>
      </c>
      <c r="G1067" t="inlineStr">
        <is>
          <t>09:05</t>
        </is>
      </c>
      <c r="H1067" t="inlineStr">
        <is>
          <t>09:50</t>
        </is>
      </c>
      <c r="I1067" t="inlineStr">
        <is>
          <t>AREAS_MULTIPLES</t>
        </is>
      </c>
      <c r="J1067" t="inlineStr">
        <is>
          <t>0302</t>
        </is>
      </c>
      <c r="K1067" t="inlineStr">
        <is>
          <t>ÁREAS MÚLTIPLES</t>
        </is>
      </c>
      <c r="L1067" t="inlineStr"/>
      <c r="M1067" t="inlineStr"/>
      <c r="N1067" t="inlineStr"/>
      <c r="O1067" t="inlineStr">
        <is>
          <t>Maestro de aula: todas las áreas con su grupo</t>
        </is>
      </c>
      <c r="P1067" t="inlineStr"/>
      <c r="Q1067">
        <f>IF(I1067="ENFASIS","ÉNFASIS "&amp;M1067,IFERROR(VLOOKUP(J1067,Grupos!$A$2:$D$100,4,FALSE),J1067))</f>
        <v/>
      </c>
      <c r="R1067">
        <f>O1067&amp;IF(N1067&lt;&gt;"",IF(O1067&lt;&gt;""," · ","")&amp;"Con: "&amp;N1067,"")</f>
        <v/>
      </c>
      <c r="S1067">
        <f>C1067&amp;"|"&amp;D1067</f>
        <v/>
      </c>
      <c r="T1067">
        <f>COUNTIF($S$2:S1067,S1067)</f>
        <v/>
      </c>
      <c r="U1067">
        <f>S1067&amp;"|"&amp;T1067</f>
        <v/>
      </c>
      <c r="V1067">
        <f>IFERROR(VLOOKUP(IF(I1067="ENFASIS",LEFT(M1067,FIND("+",M1067&amp;"+")-1),J1067),Direccion_Grupo!$A$2:$G$100,7,FALSE),"")</f>
        <v/>
      </c>
    </row>
    <row r="1068">
      <c r="A1068" t="n">
        <v>55</v>
      </c>
      <c r="B1068" t="inlineStr">
        <is>
          <t>Zamora Ordóñez Celia Pastora</t>
        </is>
      </c>
      <c r="C1068" t="inlineStr">
        <is>
          <t>JUEVES</t>
        </is>
      </c>
      <c r="D1068" t="n">
        <v>4</v>
      </c>
      <c r="E1068" t="n">
        <v>2</v>
      </c>
      <c r="F1068" t="n">
        <v>2</v>
      </c>
      <c r="G1068" t="inlineStr">
        <is>
          <t>09:05</t>
        </is>
      </c>
      <c r="H1068" t="inlineStr">
        <is>
          <t>09:50</t>
        </is>
      </c>
      <c r="I1068" t="inlineStr">
        <is>
          <t>AREAS_MULTIPLES</t>
        </is>
      </c>
      <c r="J1068" t="inlineStr">
        <is>
          <t>0401</t>
        </is>
      </c>
      <c r="K1068" t="inlineStr">
        <is>
          <t>ÁREAS MÚLTIPLES</t>
        </is>
      </c>
      <c r="L1068" t="inlineStr"/>
      <c r="M1068" t="inlineStr"/>
      <c r="N1068" t="inlineStr"/>
      <c r="O1068" t="inlineStr">
        <is>
          <t>Maestro de aula: todas las áreas con su grupo</t>
        </is>
      </c>
      <c r="P1068" t="inlineStr"/>
      <c r="Q1068">
        <f>IF(I1068="ENFASIS","ÉNFASIS "&amp;M1068,IFERROR(VLOOKUP(J1068,Grupos!$A$2:$D$100,4,FALSE),J1068))</f>
        <v/>
      </c>
      <c r="R1068">
        <f>O1068&amp;IF(N1068&lt;&gt;"",IF(O1068&lt;&gt;""," · ","")&amp;"Con: "&amp;N1068,"")</f>
        <v/>
      </c>
      <c r="S1068">
        <f>C1068&amp;"|"&amp;D1068</f>
        <v/>
      </c>
      <c r="T1068">
        <f>COUNTIF($S$2:S1068,S1068)</f>
        <v/>
      </c>
      <c r="U1068">
        <f>S1068&amp;"|"&amp;T1068</f>
        <v/>
      </c>
      <c r="V1068">
        <f>IFERROR(VLOOKUP(IF(I1068="ENFASIS",LEFT(M1068,FIND("+",M1068&amp;"+")-1),J1068),Direccion_Grupo!$A$2:$G$100,7,FALSE),"")</f>
        <v/>
      </c>
    </row>
    <row r="1069">
      <c r="A1069" t="n">
        <v>33</v>
      </c>
      <c r="B1069" t="inlineStr">
        <is>
          <t>Núñez Perlaza Elcy</t>
        </is>
      </c>
      <c r="C1069" t="inlineStr">
        <is>
          <t>JUEVES</t>
        </is>
      </c>
      <c r="D1069" t="n">
        <v>4</v>
      </c>
      <c r="E1069" t="n">
        <v>2</v>
      </c>
      <c r="F1069" t="n">
        <v>2</v>
      </c>
      <c r="G1069" t="inlineStr">
        <is>
          <t>09:05</t>
        </is>
      </c>
      <c r="H1069" t="inlineStr">
        <is>
          <t>09:50</t>
        </is>
      </c>
      <c r="I1069" t="inlineStr">
        <is>
          <t>AREAS_MULTIPLES</t>
        </is>
      </c>
      <c r="J1069" t="inlineStr">
        <is>
          <t>0402</t>
        </is>
      </c>
      <c r="K1069" t="inlineStr">
        <is>
          <t>ÁREAS MÚLTIPLES</t>
        </is>
      </c>
      <c r="L1069" t="inlineStr"/>
      <c r="M1069" t="inlineStr"/>
      <c r="N1069" t="inlineStr"/>
      <c r="O1069" t="inlineStr">
        <is>
          <t>Maestro de aula: todas las áreas con su grupo</t>
        </is>
      </c>
      <c r="P1069" t="inlineStr"/>
      <c r="Q1069">
        <f>IF(I1069="ENFASIS","ÉNFASIS "&amp;M1069,IFERROR(VLOOKUP(J1069,Grupos!$A$2:$D$100,4,FALSE),J1069))</f>
        <v/>
      </c>
      <c r="R1069">
        <f>O1069&amp;IF(N1069&lt;&gt;"",IF(O1069&lt;&gt;""," · ","")&amp;"Con: "&amp;N1069,"")</f>
        <v/>
      </c>
      <c r="S1069">
        <f>C1069&amp;"|"&amp;D1069</f>
        <v/>
      </c>
      <c r="T1069">
        <f>COUNTIF($S$2:S1069,S1069)</f>
        <v/>
      </c>
      <c r="U1069">
        <f>S1069&amp;"|"&amp;T1069</f>
        <v/>
      </c>
      <c r="V1069">
        <f>IFERROR(VLOOKUP(IF(I1069="ENFASIS",LEFT(M1069,FIND("+",M1069&amp;"+")-1),J1069),Direccion_Grupo!$A$2:$G$100,7,FALSE),"")</f>
        <v/>
      </c>
    </row>
    <row r="1070">
      <c r="A1070" t="n">
        <v>14</v>
      </c>
      <c r="B1070" t="inlineStr">
        <is>
          <t>Cuéllar Gallo Nemesia</t>
        </is>
      </c>
      <c r="C1070" t="inlineStr">
        <is>
          <t>JUEVES</t>
        </is>
      </c>
      <c r="D1070" t="n">
        <v>4</v>
      </c>
      <c r="E1070" t="n">
        <v>2</v>
      </c>
      <c r="F1070" t="n">
        <v>2</v>
      </c>
      <c r="G1070" t="inlineStr">
        <is>
          <t>09:05</t>
        </is>
      </c>
      <c r="H1070" t="inlineStr">
        <is>
          <t>09:50</t>
        </is>
      </c>
      <c r="I1070" t="inlineStr">
        <is>
          <t>AREAS_MULTIPLES</t>
        </is>
      </c>
      <c r="J1070" t="inlineStr">
        <is>
          <t>0501</t>
        </is>
      </c>
      <c r="K1070" t="inlineStr">
        <is>
          <t>ÁREAS MÚLTIPLES</t>
        </is>
      </c>
      <c r="L1070" t="inlineStr"/>
      <c r="M1070" t="inlineStr"/>
      <c r="N1070" t="inlineStr"/>
      <c r="O1070" t="inlineStr">
        <is>
          <t>Maestro de aula: todas las áreas con su grupo</t>
        </is>
      </c>
      <c r="P1070" t="inlineStr"/>
      <c r="Q1070">
        <f>IF(I1070="ENFASIS","ÉNFASIS "&amp;M1070,IFERROR(VLOOKUP(J1070,Grupos!$A$2:$D$100,4,FALSE),J1070))</f>
        <v/>
      </c>
      <c r="R1070">
        <f>O1070&amp;IF(N1070&lt;&gt;"",IF(O1070&lt;&gt;""," · ","")&amp;"Con: "&amp;N1070,"")</f>
        <v/>
      </c>
      <c r="S1070">
        <f>C1070&amp;"|"&amp;D1070</f>
        <v/>
      </c>
      <c r="T1070">
        <f>COUNTIF($S$2:S1070,S1070)</f>
        <v/>
      </c>
      <c r="U1070">
        <f>S1070&amp;"|"&amp;T1070</f>
        <v/>
      </c>
      <c r="V1070">
        <f>IFERROR(VLOOKUP(IF(I1070="ENFASIS",LEFT(M1070,FIND("+",M1070&amp;"+")-1),J1070),Direccion_Grupo!$A$2:$G$100,7,FALSE),"")</f>
        <v/>
      </c>
    </row>
    <row r="1071">
      <c r="A1071" t="n">
        <v>11</v>
      </c>
      <c r="B1071" t="inlineStr">
        <is>
          <t>Centeno Zúñiga Claudia Patricia</t>
        </is>
      </c>
      <c r="C1071" t="inlineStr">
        <is>
          <t>JUEVES</t>
        </is>
      </c>
      <c r="D1071" t="n">
        <v>4</v>
      </c>
      <c r="E1071" t="n">
        <v>2</v>
      </c>
      <c r="F1071" t="n">
        <v>2</v>
      </c>
      <c r="G1071" t="inlineStr">
        <is>
          <t>09:05</t>
        </is>
      </c>
      <c r="H1071" t="inlineStr">
        <is>
          <t>09:50</t>
        </is>
      </c>
      <c r="I1071" t="inlineStr">
        <is>
          <t>AREAS_MULTIPLES</t>
        </is>
      </c>
      <c r="J1071" t="inlineStr">
        <is>
          <t>0502</t>
        </is>
      </c>
      <c r="K1071" t="inlineStr">
        <is>
          <t>ÁREAS MÚLTIPLES</t>
        </is>
      </c>
      <c r="L1071" t="inlineStr"/>
      <c r="M1071" t="inlineStr"/>
      <c r="N1071" t="inlineStr"/>
      <c r="O1071" t="inlineStr">
        <is>
          <t>Maestro de aula: todas las áreas con su grupo</t>
        </is>
      </c>
      <c r="P1071" t="inlineStr"/>
      <c r="Q1071">
        <f>IF(I1071="ENFASIS","ÉNFASIS "&amp;M1071,IFERROR(VLOOKUP(J1071,Grupos!$A$2:$D$100,4,FALSE),J1071))</f>
        <v/>
      </c>
      <c r="R1071">
        <f>O1071&amp;IF(N1071&lt;&gt;"",IF(O1071&lt;&gt;""," · ","")&amp;"Con: "&amp;N1071,"")</f>
        <v/>
      </c>
      <c r="S1071">
        <f>C1071&amp;"|"&amp;D1071</f>
        <v/>
      </c>
      <c r="T1071">
        <f>COUNTIF($S$2:S1071,S1071)</f>
        <v/>
      </c>
      <c r="U1071">
        <f>S1071&amp;"|"&amp;T1071</f>
        <v/>
      </c>
      <c r="V1071">
        <f>IFERROR(VLOOKUP(IF(I1071="ENFASIS",LEFT(M1071,FIND("+",M1071&amp;"+")-1),J1071),Direccion_Grupo!$A$2:$G$100,7,FALSE),"")</f>
        <v/>
      </c>
    </row>
    <row r="1072">
      <c r="A1072" t="n">
        <v>32</v>
      </c>
      <c r="B1072" t="inlineStr">
        <is>
          <t>Narváez Sánchez Dora Alejandra</t>
        </is>
      </c>
      <c r="C1072" t="inlineStr">
        <is>
          <t>JUEVES</t>
        </is>
      </c>
      <c r="D1072" t="n">
        <v>4</v>
      </c>
      <c r="E1072" t="n">
        <v>2</v>
      </c>
      <c r="F1072" t="n">
        <v>2</v>
      </c>
      <c r="G1072" t="inlineStr">
        <is>
          <t>09:05</t>
        </is>
      </c>
      <c r="H1072" t="inlineStr">
        <is>
          <t>09:50</t>
        </is>
      </c>
      <c r="I1072" t="inlineStr">
        <is>
          <t>AREAS_MULTIPLES</t>
        </is>
      </c>
      <c r="J1072" t="inlineStr">
        <is>
          <t>0503</t>
        </is>
      </c>
      <c r="K1072" t="inlineStr">
        <is>
          <t>ÁREAS MÚLTIPLES</t>
        </is>
      </c>
      <c r="L1072" t="inlineStr"/>
      <c r="M1072" t="inlineStr"/>
      <c r="N1072" t="inlineStr"/>
      <c r="O1072" t="inlineStr">
        <is>
          <t>Maestro de aula: todas las áreas con su grupo</t>
        </is>
      </c>
      <c r="P1072" t="inlineStr"/>
      <c r="Q1072">
        <f>IF(I1072="ENFASIS","ÉNFASIS "&amp;M1072,IFERROR(VLOOKUP(J1072,Grupos!$A$2:$D$100,4,FALSE),J1072))</f>
        <v/>
      </c>
      <c r="R1072">
        <f>O1072&amp;IF(N1072&lt;&gt;"",IF(O1072&lt;&gt;""," · ","")&amp;"Con: "&amp;N1072,"")</f>
        <v/>
      </c>
      <c r="S1072">
        <f>C1072&amp;"|"&amp;D1072</f>
        <v/>
      </c>
      <c r="T1072">
        <f>COUNTIF($S$2:S1072,S1072)</f>
        <v/>
      </c>
      <c r="U1072">
        <f>S1072&amp;"|"&amp;T1072</f>
        <v/>
      </c>
      <c r="V1072">
        <f>IFERROR(VLOOKUP(IF(I1072="ENFASIS",LEFT(M1072,FIND("+",M1072&amp;"+")-1),J1072),Direccion_Grupo!$A$2:$G$100,7,FALSE),"")</f>
        <v/>
      </c>
    </row>
    <row r="1073">
      <c r="A1073" t="n">
        <v>17</v>
      </c>
      <c r="B1073" t="inlineStr">
        <is>
          <t>Escobar Cortés Liliana</t>
        </is>
      </c>
      <c r="C1073" t="inlineStr">
        <is>
          <t>JUEVES</t>
        </is>
      </c>
      <c r="D1073" t="n">
        <v>4</v>
      </c>
      <c r="E1073" t="n">
        <v>2</v>
      </c>
      <c r="F1073" t="n">
        <v>2</v>
      </c>
      <c r="G1073" t="inlineStr">
        <is>
          <t>09:05</t>
        </is>
      </c>
      <c r="H1073" t="inlineStr">
        <is>
          <t>09:50</t>
        </is>
      </c>
      <c r="I1073" t="inlineStr">
        <is>
          <t>AREAS_MULTIPLES</t>
        </is>
      </c>
      <c r="J1073" t="inlineStr">
        <is>
          <t>0504</t>
        </is>
      </c>
      <c r="K1073" t="inlineStr">
        <is>
          <t>ÁREAS MÚLTIPLES</t>
        </is>
      </c>
      <c r="L1073" t="inlineStr"/>
      <c r="M1073" t="inlineStr"/>
      <c r="N1073" t="inlineStr"/>
      <c r="O1073" t="inlineStr">
        <is>
          <t>Maestro de aula: todas las áreas con su grupo</t>
        </is>
      </c>
      <c r="P1073" t="inlineStr"/>
      <c r="Q1073">
        <f>IF(I1073="ENFASIS","ÉNFASIS "&amp;M1073,IFERROR(VLOOKUP(J1073,Grupos!$A$2:$D$100,4,FALSE),J1073))</f>
        <v/>
      </c>
      <c r="R1073">
        <f>O1073&amp;IF(N1073&lt;&gt;"",IF(O1073&lt;&gt;""," · ","")&amp;"Con: "&amp;N1073,"")</f>
        <v/>
      </c>
      <c r="S1073">
        <f>C1073&amp;"|"&amp;D1073</f>
        <v/>
      </c>
      <c r="T1073">
        <f>COUNTIF($S$2:S1073,S1073)</f>
        <v/>
      </c>
      <c r="U1073">
        <f>S1073&amp;"|"&amp;T1073</f>
        <v/>
      </c>
      <c r="V1073">
        <f>IFERROR(VLOOKUP(IF(I1073="ENFASIS",LEFT(M1073,FIND("+",M1073&amp;"+")-1),J1073),Direccion_Grupo!$A$2:$G$100,7,FALSE),"")</f>
        <v/>
      </c>
    </row>
    <row r="1074">
      <c r="A1074" t="n">
        <v>57</v>
      </c>
      <c r="B1074" t="inlineStr">
        <is>
          <t>Armero Dájome Jesús</t>
        </is>
      </c>
      <c r="C1074" t="inlineStr">
        <is>
          <t>JUEVES</t>
        </is>
      </c>
      <c r="D1074" t="n">
        <v>4</v>
      </c>
      <c r="E1074" t="n">
        <v>2</v>
      </c>
      <c r="F1074" t="n">
        <v>2</v>
      </c>
      <c r="G1074" t="inlineStr">
        <is>
          <t>09:05</t>
        </is>
      </c>
      <c r="H1074" t="inlineStr">
        <is>
          <t>09:50</t>
        </is>
      </c>
      <c r="I1074" t="inlineStr">
        <is>
          <t>CLASE</t>
        </is>
      </c>
      <c r="J1074" t="inlineStr">
        <is>
          <t>0601</t>
        </is>
      </c>
      <c r="K1074" t="inlineStr">
        <is>
          <t>ERD</t>
        </is>
      </c>
      <c r="L1074" t="inlineStr"/>
      <c r="M1074" t="inlineStr"/>
      <c r="N1074" t="inlineStr"/>
      <c r="O1074" t="inlineStr"/>
      <c r="P1074" t="inlineStr">
        <is>
          <t>0601-ERD</t>
        </is>
      </c>
      <c r="Q1074">
        <f>IF(I1074="ENFASIS","ÉNFASIS "&amp;M1074,IFERROR(VLOOKUP(J1074,Grupos!$A$2:$D$100,4,FALSE),J1074))</f>
        <v/>
      </c>
      <c r="R1074">
        <f>O1074&amp;IF(N1074&lt;&gt;"",IF(O1074&lt;&gt;""," · ","")&amp;"Con: "&amp;N1074,"")</f>
        <v/>
      </c>
      <c r="S1074">
        <f>C1074&amp;"|"&amp;D1074</f>
        <v/>
      </c>
      <c r="T1074">
        <f>COUNTIF($S$2:S1074,S1074)</f>
        <v/>
      </c>
      <c r="U1074">
        <f>S1074&amp;"|"&amp;T1074</f>
        <v/>
      </c>
      <c r="V1074">
        <f>IFERROR(VLOOKUP(IF(I1074="ENFASIS",LEFT(M1074,FIND("+",M1074&amp;"+")-1),J1074),Direccion_Grupo!$A$2:$G$100,7,FALSE),"")</f>
        <v/>
      </c>
    </row>
    <row r="1075">
      <c r="A1075" t="n">
        <v>26</v>
      </c>
      <c r="B1075" t="inlineStr">
        <is>
          <t>Lozano Torres Amanda Inés</t>
        </is>
      </c>
      <c r="C1075" t="inlineStr">
        <is>
          <t>JUEVES</t>
        </is>
      </c>
      <c r="D1075" t="n">
        <v>4</v>
      </c>
      <c r="E1075" t="n">
        <v>2</v>
      </c>
      <c r="F1075" t="n">
        <v>2</v>
      </c>
      <c r="G1075" t="inlineStr">
        <is>
          <t>09:05</t>
        </is>
      </c>
      <c r="H1075" t="inlineStr">
        <is>
          <t>09:50</t>
        </is>
      </c>
      <c r="I1075" t="inlineStr">
        <is>
          <t>CLASE</t>
        </is>
      </c>
      <c r="J1075" t="inlineStr">
        <is>
          <t>0602</t>
        </is>
      </c>
      <c r="K1075" t="inlineStr">
        <is>
          <t>ETR</t>
        </is>
      </c>
      <c r="L1075" t="inlineStr"/>
      <c r="M1075" t="inlineStr"/>
      <c r="N1075" t="inlineStr"/>
      <c r="O1075" t="inlineStr">
        <is>
          <t>Ética / Religión (alternan cada semana)</t>
        </is>
      </c>
      <c r="P1075" t="inlineStr">
        <is>
          <t>0602-ETR</t>
        </is>
      </c>
      <c r="Q1075">
        <f>IF(I1075="ENFASIS","ÉNFASIS "&amp;M1075,IFERROR(VLOOKUP(J1075,Grupos!$A$2:$D$100,4,FALSE),J1075))</f>
        <v/>
      </c>
      <c r="R1075">
        <f>O1075&amp;IF(N1075&lt;&gt;"",IF(O1075&lt;&gt;""," · ","")&amp;"Con: "&amp;N1075,"")</f>
        <v/>
      </c>
      <c r="S1075">
        <f>C1075&amp;"|"&amp;D1075</f>
        <v/>
      </c>
      <c r="T1075">
        <f>COUNTIF($S$2:S1075,S1075)</f>
        <v/>
      </c>
      <c r="U1075">
        <f>S1075&amp;"|"&amp;T1075</f>
        <v/>
      </c>
      <c r="V1075">
        <f>IFERROR(VLOOKUP(IF(I1075="ENFASIS",LEFT(M1075,FIND("+",M1075&amp;"+")-1),J1075),Direccion_Grupo!$A$2:$G$100,7,FALSE),"")</f>
        <v/>
      </c>
    </row>
    <row r="1076">
      <c r="A1076" t="n">
        <v>4</v>
      </c>
      <c r="B1076" t="inlineStr">
        <is>
          <t>Arizala Castro Roberto Carlos</t>
        </is>
      </c>
      <c r="C1076" t="inlineStr">
        <is>
          <t>JUEVES</t>
        </is>
      </c>
      <c r="D1076" t="n">
        <v>4</v>
      </c>
      <c r="E1076" t="n">
        <v>2</v>
      </c>
      <c r="F1076" t="n">
        <v>2</v>
      </c>
      <c r="G1076" t="inlineStr">
        <is>
          <t>09:05</t>
        </is>
      </c>
      <c r="H1076" t="inlineStr">
        <is>
          <t>09:50</t>
        </is>
      </c>
      <c r="I1076" t="inlineStr">
        <is>
          <t>CLASE</t>
        </is>
      </c>
      <c r="J1076" t="inlineStr">
        <is>
          <t>0701</t>
        </is>
      </c>
      <c r="K1076" t="inlineStr">
        <is>
          <t>ERD</t>
        </is>
      </c>
      <c r="L1076" t="inlineStr"/>
      <c r="M1076" t="inlineStr"/>
      <c r="N1076" t="inlineStr"/>
      <c r="O1076" t="inlineStr"/>
      <c r="P1076" t="inlineStr">
        <is>
          <t>0701-ERD</t>
        </is>
      </c>
      <c r="Q1076">
        <f>IF(I1076="ENFASIS","ÉNFASIS "&amp;M1076,IFERROR(VLOOKUP(J1076,Grupos!$A$2:$D$100,4,FALSE),J1076))</f>
        <v/>
      </c>
      <c r="R1076">
        <f>O1076&amp;IF(N1076&lt;&gt;"",IF(O1076&lt;&gt;""," · ","")&amp;"Con: "&amp;N1076,"")</f>
        <v/>
      </c>
      <c r="S1076">
        <f>C1076&amp;"|"&amp;D1076</f>
        <v/>
      </c>
      <c r="T1076">
        <f>COUNTIF($S$2:S1076,S1076)</f>
        <v/>
      </c>
      <c r="U1076">
        <f>S1076&amp;"|"&amp;T1076</f>
        <v/>
      </c>
      <c r="V1076">
        <f>IFERROR(VLOOKUP(IF(I1076="ENFASIS",LEFT(M1076,FIND("+",M1076&amp;"+")-1),J1076),Direccion_Grupo!$A$2:$G$100,7,FALSE),"")</f>
        <v/>
      </c>
    </row>
    <row r="1077">
      <c r="A1077" t="n">
        <v>52</v>
      </c>
      <c r="B1077" t="inlineStr">
        <is>
          <t>Vásquez Valencia Segundo Leoncio</t>
        </is>
      </c>
      <c r="C1077" t="inlineStr">
        <is>
          <t>JUEVES</t>
        </is>
      </c>
      <c r="D1077" t="n">
        <v>4</v>
      </c>
      <c r="E1077" t="n">
        <v>2</v>
      </c>
      <c r="F1077" t="n">
        <v>2</v>
      </c>
      <c r="G1077" t="inlineStr">
        <is>
          <t>09:05</t>
        </is>
      </c>
      <c r="H1077" t="inlineStr">
        <is>
          <t>09:50</t>
        </is>
      </c>
      <c r="I1077" t="inlineStr">
        <is>
          <t>CLASE</t>
        </is>
      </c>
      <c r="J1077" t="inlineStr">
        <is>
          <t>0702</t>
        </is>
      </c>
      <c r="K1077" t="inlineStr">
        <is>
          <t>MAT</t>
        </is>
      </c>
      <c r="L1077" t="inlineStr"/>
      <c r="M1077" t="inlineStr"/>
      <c r="N1077" t="inlineStr"/>
      <c r="O1077" t="inlineStr"/>
      <c r="P1077" t="inlineStr">
        <is>
          <t>0702-MAT</t>
        </is>
      </c>
      <c r="Q1077">
        <f>IF(I1077="ENFASIS","ÉNFASIS "&amp;M1077,IFERROR(VLOOKUP(J1077,Grupos!$A$2:$D$100,4,FALSE),J1077))</f>
        <v/>
      </c>
      <c r="R1077">
        <f>O1077&amp;IF(N1077&lt;&gt;"",IF(O1077&lt;&gt;""," · ","")&amp;"Con: "&amp;N1077,"")</f>
        <v/>
      </c>
      <c r="S1077">
        <f>C1077&amp;"|"&amp;D1077</f>
        <v/>
      </c>
      <c r="T1077">
        <f>COUNTIF($S$2:S1077,S1077)</f>
        <v/>
      </c>
      <c r="U1077">
        <f>S1077&amp;"|"&amp;T1077</f>
        <v/>
      </c>
      <c r="V1077">
        <f>IFERROR(VLOOKUP(IF(I1077="ENFASIS",LEFT(M1077,FIND("+",M1077&amp;"+")-1),J1077),Direccion_Grupo!$A$2:$G$100,7,FALSE),"")</f>
        <v/>
      </c>
    </row>
    <row r="1078">
      <c r="A1078" t="n">
        <v>41</v>
      </c>
      <c r="B1078" t="inlineStr">
        <is>
          <t>Quintero Ramírez María del Carmen</t>
        </is>
      </c>
      <c r="C1078" t="inlineStr">
        <is>
          <t>JUEVES</t>
        </is>
      </c>
      <c r="D1078" t="n">
        <v>4</v>
      </c>
      <c r="E1078" t="n">
        <v>2</v>
      </c>
      <c r="F1078" t="n">
        <v>2</v>
      </c>
      <c r="G1078" t="inlineStr">
        <is>
          <t>09:05</t>
        </is>
      </c>
      <c r="H1078" t="inlineStr">
        <is>
          <t>09:50</t>
        </is>
      </c>
      <c r="I1078" t="inlineStr">
        <is>
          <t>CLASE</t>
        </is>
      </c>
      <c r="J1078" t="inlineStr">
        <is>
          <t>0703</t>
        </is>
      </c>
      <c r="K1078" t="inlineStr">
        <is>
          <t>CSI</t>
        </is>
      </c>
      <c r="L1078" t="inlineStr"/>
      <c r="M1078" t="inlineStr"/>
      <c r="N1078" t="inlineStr"/>
      <c r="O1078" t="inlineStr">
        <is>
          <t>Sociales / Inglés (alternan cada semana)</t>
        </is>
      </c>
      <c r="P1078" t="inlineStr">
        <is>
          <t>0703-CSI</t>
        </is>
      </c>
      <c r="Q1078">
        <f>IF(I1078="ENFASIS","ÉNFASIS "&amp;M1078,IFERROR(VLOOKUP(J1078,Grupos!$A$2:$D$100,4,FALSE),J1078))</f>
        <v/>
      </c>
      <c r="R1078">
        <f>O1078&amp;IF(N1078&lt;&gt;"",IF(O1078&lt;&gt;""," · ","")&amp;"Con: "&amp;N1078,"")</f>
        <v/>
      </c>
      <c r="S1078">
        <f>C1078&amp;"|"&amp;D1078</f>
        <v/>
      </c>
      <c r="T1078">
        <f>COUNTIF($S$2:S1078,S1078)</f>
        <v/>
      </c>
      <c r="U1078">
        <f>S1078&amp;"|"&amp;T1078</f>
        <v/>
      </c>
      <c r="V1078">
        <f>IFERROR(VLOOKUP(IF(I1078="ENFASIS",LEFT(M1078,FIND("+",M1078&amp;"+")-1),J1078),Direccion_Grupo!$A$2:$G$100,7,FALSE),"")</f>
        <v/>
      </c>
    </row>
    <row r="1079">
      <c r="A1079" t="n">
        <v>8</v>
      </c>
      <c r="B1079" t="inlineStr">
        <is>
          <t>Casanova Quiñones Yoli del Carmen</t>
        </is>
      </c>
      <c r="C1079" t="inlineStr">
        <is>
          <t>JUEVES</t>
        </is>
      </c>
      <c r="D1079" t="n">
        <v>4</v>
      </c>
      <c r="E1079" t="n">
        <v>2</v>
      </c>
      <c r="F1079" t="n">
        <v>2</v>
      </c>
      <c r="G1079" t="inlineStr">
        <is>
          <t>09:05</t>
        </is>
      </c>
      <c r="H1079" t="inlineStr">
        <is>
          <t>09:50</t>
        </is>
      </c>
      <c r="I1079" t="inlineStr">
        <is>
          <t>CLASE</t>
        </is>
      </c>
      <c r="J1079" t="inlineStr">
        <is>
          <t>0704</t>
        </is>
      </c>
      <c r="K1079" t="inlineStr">
        <is>
          <t>ETR</t>
        </is>
      </c>
      <c r="L1079" t="inlineStr"/>
      <c r="M1079" t="inlineStr"/>
      <c r="N1079" t="inlineStr"/>
      <c r="O1079" t="inlineStr">
        <is>
          <t>Ética / Religión (alternan cada semana)</t>
        </is>
      </c>
      <c r="P1079" t="inlineStr">
        <is>
          <t>0704-ETR</t>
        </is>
      </c>
      <c r="Q1079">
        <f>IF(I1079="ENFASIS","ÉNFASIS "&amp;M1079,IFERROR(VLOOKUP(J1079,Grupos!$A$2:$D$100,4,FALSE),J1079))</f>
        <v/>
      </c>
      <c r="R1079">
        <f>O1079&amp;IF(N1079&lt;&gt;"",IF(O1079&lt;&gt;""," · ","")&amp;"Con: "&amp;N1079,"")</f>
        <v/>
      </c>
      <c r="S1079">
        <f>C1079&amp;"|"&amp;D1079</f>
        <v/>
      </c>
      <c r="T1079">
        <f>COUNTIF($S$2:S1079,S1079)</f>
        <v/>
      </c>
      <c r="U1079">
        <f>S1079&amp;"|"&amp;T1079</f>
        <v/>
      </c>
      <c r="V1079">
        <f>IFERROR(VLOOKUP(IF(I1079="ENFASIS",LEFT(M1079,FIND("+",M1079&amp;"+")-1),J1079),Direccion_Grupo!$A$2:$G$100,7,FALSE),"")</f>
        <v/>
      </c>
    </row>
    <row r="1080">
      <c r="A1080" t="n">
        <v>44</v>
      </c>
      <c r="B1080" t="inlineStr">
        <is>
          <t>Samaniego Angulo Flor Mireya</t>
        </is>
      </c>
      <c r="C1080" t="inlineStr">
        <is>
          <t>JUEVES</t>
        </is>
      </c>
      <c r="D1080" t="n">
        <v>4</v>
      </c>
      <c r="E1080" t="n">
        <v>2</v>
      </c>
      <c r="F1080" t="n">
        <v>2</v>
      </c>
      <c r="G1080" t="inlineStr">
        <is>
          <t>09:05</t>
        </is>
      </c>
      <c r="H1080" t="inlineStr">
        <is>
          <t>09:50</t>
        </is>
      </c>
      <c r="I1080" t="inlineStr">
        <is>
          <t>CLASE</t>
        </is>
      </c>
      <c r="J1080" t="inlineStr">
        <is>
          <t>0801</t>
        </is>
      </c>
      <c r="K1080" t="inlineStr">
        <is>
          <t>ART</t>
        </is>
      </c>
      <c r="L1080" t="inlineStr"/>
      <c r="M1080" t="inlineStr"/>
      <c r="N1080" t="inlineStr"/>
      <c r="O1080" t="inlineStr"/>
      <c r="P1080" t="inlineStr">
        <is>
          <t>0801-ART</t>
        </is>
      </c>
      <c r="Q1080">
        <f>IF(I1080="ENFASIS","ÉNFASIS "&amp;M1080,IFERROR(VLOOKUP(J1080,Grupos!$A$2:$D$100,4,FALSE),J1080))</f>
        <v/>
      </c>
      <c r="R1080">
        <f>O1080&amp;IF(N1080&lt;&gt;"",IF(O1080&lt;&gt;""," · ","")&amp;"Con: "&amp;N1080,"")</f>
        <v/>
      </c>
      <c r="S1080">
        <f>C1080&amp;"|"&amp;D1080</f>
        <v/>
      </c>
      <c r="T1080">
        <f>COUNTIF($S$2:S1080,S1080)</f>
        <v/>
      </c>
      <c r="U1080">
        <f>S1080&amp;"|"&amp;T1080</f>
        <v/>
      </c>
      <c r="V1080">
        <f>IFERROR(VLOOKUP(IF(I1080="ENFASIS",LEFT(M1080,FIND("+",M1080&amp;"+")-1),J1080),Direccion_Grupo!$A$2:$G$100,7,FALSE),"")</f>
        <v/>
      </c>
    </row>
    <row r="1081">
      <c r="A1081" t="n">
        <v>15</v>
      </c>
      <c r="B1081" t="inlineStr">
        <is>
          <t>Cuero Bamba Berte Levi</t>
        </is>
      </c>
      <c r="C1081" t="inlineStr">
        <is>
          <t>JUEVES</t>
        </is>
      </c>
      <c r="D1081" t="n">
        <v>4</v>
      </c>
      <c r="E1081" t="n">
        <v>2</v>
      </c>
      <c r="F1081" t="n">
        <v>2</v>
      </c>
      <c r="G1081" t="inlineStr">
        <is>
          <t>09:05</t>
        </is>
      </c>
      <c r="H1081" t="inlineStr">
        <is>
          <t>09:50</t>
        </is>
      </c>
      <c r="I1081" t="inlineStr">
        <is>
          <t>CLASE</t>
        </is>
      </c>
      <c r="J1081" t="inlineStr">
        <is>
          <t>0802</t>
        </is>
      </c>
      <c r="K1081" t="inlineStr">
        <is>
          <t>ERD</t>
        </is>
      </c>
      <c r="L1081" t="inlineStr"/>
      <c r="M1081" t="inlineStr"/>
      <c r="N1081" t="inlineStr"/>
      <c r="O1081" t="inlineStr"/>
      <c r="P1081" t="inlineStr">
        <is>
          <t>0802-ERD</t>
        </is>
      </c>
      <c r="Q1081">
        <f>IF(I1081="ENFASIS","ÉNFASIS "&amp;M1081,IFERROR(VLOOKUP(J1081,Grupos!$A$2:$D$100,4,FALSE),J1081))</f>
        <v/>
      </c>
      <c r="R1081">
        <f>O1081&amp;IF(N1081&lt;&gt;"",IF(O1081&lt;&gt;""," · ","")&amp;"Con: "&amp;N1081,"")</f>
        <v/>
      </c>
      <c r="S1081">
        <f>C1081&amp;"|"&amp;D1081</f>
        <v/>
      </c>
      <c r="T1081">
        <f>COUNTIF($S$2:S1081,S1081)</f>
        <v/>
      </c>
      <c r="U1081">
        <f>S1081&amp;"|"&amp;T1081</f>
        <v/>
      </c>
      <c r="V1081">
        <f>IFERROR(VLOOKUP(IF(I1081="ENFASIS",LEFT(M1081,FIND("+",M1081&amp;"+")-1),J1081),Direccion_Grupo!$A$2:$G$100,7,FALSE),"")</f>
        <v/>
      </c>
    </row>
    <row r="1082">
      <c r="A1082" t="n">
        <v>5</v>
      </c>
      <c r="B1082" t="inlineStr">
        <is>
          <t>Bastidas Valencia Zeneida Judith</t>
        </is>
      </c>
      <c r="C1082" t="inlineStr">
        <is>
          <t>JUEVES</t>
        </is>
      </c>
      <c r="D1082" t="n">
        <v>4</v>
      </c>
      <c r="E1082" t="n">
        <v>2</v>
      </c>
      <c r="F1082" t="n">
        <v>2</v>
      </c>
      <c r="G1082" t="inlineStr">
        <is>
          <t>09:05</t>
        </is>
      </c>
      <c r="H1082" t="inlineStr">
        <is>
          <t>09:50</t>
        </is>
      </c>
      <c r="I1082" t="inlineStr">
        <is>
          <t>CLASE</t>
        </is>
      </c>
      <c r="J1082" t="inlineStr">
        <is>
          <t>0901</t>
        </is>
      </c>
      <c r="K1082" t="inlineStr">
        <is>
          <t>MAT</t>
        </is>
      </c>
      <c r="L1082" t="inlineStr"/>
      <c r="M1082" t="inlineStr"/>
      <c r="N1082" t="inlineStr"/>
      <c r="O1082" t="inlineStr"/>
      <c r="P1082" t="inlineStr">
        <is>
          <t>0901-MAT</t>
        </is>
      </c>
      <c r="Q1082">
        <f>IF(I1082="ENFASIS","ÉNFASIS "&amp;M1082,IFERROR(VLOOKUP(J1082,Grupos!$A$2:$D$100,4,FALSE),J1082))</f>
        <v/>
      </c>
      <c r="R1082">
        <f>O1082&amp;IF(N1082&lt;&gt;"",IF(O1082&lt;&gt;""," · ","")&amp;"Con: "&amp;N1082,"")</f>
        <v/>
      </c>
      <c r="S1082">
        <f>C1082&amp;"|"&amp;D1082</f>
        <v/>
      </c>
      <c r="T1082">
        <f>COUNTIF($S$2:S1082,S1082)</f>
        <v/>
      </c>
      <c r="U1082">
        <f>S1082&amp;"|"&amp;T1082</f>
        <v/>
      </c>
      <c r="V1082">
        <f>IFERROR(VLOOKUP(IF(I1082="ENFASIS",LEFT(M1082,FIND("+",M1082&amp;"+")-1),J1082),Direccion_Grupo!$A$2:$G$100,7,FALSE),"")</f>
        <v/>
      </c>
    </row>
    <row r="1083">
      <c r="A1083" t="n">
        <v>28</v>
      </c>
      <c r="B1083" t="inlineStr">
        <is>
          <t>Meza Banguera Gladys Alicia</t>
        </is>
      </c>
      <c r="C1083" t="inlineStr">
        <is>
          <t>JUEVES</t>
        </is>
      </c>
      <c r="D1083" t="n">
        <v>4</v>
      </c>
      <c r="E1083" t="n">
        <v>2</v>
      </c>
      <c r="F1083" t="n">
        <v>2</v>
      </c>
      <c r="G1083" t="inlineStr">
        <is>
          <t>09:05</t>
        </is>
      </c>
      <c r="H1083" t="inlineStr">
        <is>
          <t>09:50</t>
        </is>
      </c>
      <c r="I1083" t="inlineStr">
        <is>
          <t>CLASE</t>
        </is>
      </c>
      <c r="J1083" t="inlineStr">
        <is>
          <t>0902</t>
        </is>
      </c>
      <c r="K1083" t="inlineStr">
        <is>
          <t>CAS</t>
        </is>
      </c>
      <c r="L1083" t="inlineStr"/>
      <c r="M1083" t="inlineStr"/>
      <c r="N1083" t="inlineStr"/>
      <c r="O1083" t="inlineStr"/>
      <c r="P1083" t="inlineStr">
        <is>
          <t>0902-CAS</t>
        </is>
      </c>
      <c r="Q1083">
        <f>IF(I1083="ENFASIS","ÉNFASIS "&amp;M1083,IFERROR(VLOOKUP(J1083,Grupos!$A$2:$D$100,4,FALSE),J1083))</f>
        <v/>
      </c>
      <c r="R1083">
        <f>O1083&amp;IF(N1083&lt;&gt;"",IF(O1083&lt;&gt;""," · ","")&amp;"Con: "&amp;N1083,"")</f>
        <v/>
      </c>
      <c r="S1083">
        <f>C1083&amp;"|"&amp;D1083</f>
        <v/>
      </c>
      <c r="T1083">
        <f>COUNTIF($S$2:S1083,S1083)</f>
        <v/>
      </c>
      <c r="U1083">
        <f>S1083&amp;"|"&amp;T1083</f>
        <v/>
      </c>
      <c r="V1083">
        <f>IFERROR(VLOOKUP(IF(I1083="ENFASIS",LEFT(M1083,FIND("+",M1083&amp;"+")-1),J1083),Direccion_Grupo!$A$2:$G$100,7,FALSE),"")</f>
        <v/>
      </c>
    </row>
    <row r="1084">
      <c r="A1084" t="n">
        <v>18</v>
      </c>
      <c r="B1084" t="inlineStr">
        <is>
          <t>Estacio Estupiñán Rosario</t>
        </is>
      </c>
      <c r="C1084" t="inlineStr">
        <is>
          <t>JUEVES</t>
        </is>
      </c>
      <c r="D1084" t="n">
        <v>4</v>
      </c>
      <c r="E1084" t="n">
        <v>2</v>
      </c>
      <c r="F1084" t="n">
        <v>2</v>
      </c>
      <c r="G1084" t="inlineStr">
        <is>
          <t>09:05</t>
        </is>
      </c>
      <c r="H1084" t="inlineStr">
        <is>
          <t>09:50</t>
        </is>
      </c>
      <c r="I1084" t="inlineStr">
        <is>
          <t>CLASE</t>
        </is>
      </c>
      <c r="J1084" t="inlineStr">
        <is>
          <t>1001</t>
        </is>
      </c>
      <c r="K1084" t="inlineStr">
        <is>
          <t>ETR</t>
        </is>
      </c>
      <c r="L1084" t="inlineStr"/>
      <c r="M1084" t="inlineStr"/>
      <c r="N1084" t="inlineStr"/>
      <c r="O1084" t="inlineStr">
        <is>
          <t>Ética / Religión (alternan cada semana)</t>
        </is>
      </c>
      <c r="P1084" t="inlineStr">
        <is>
          <t>1001-ETR</t>
        </is>
      </c>
      <c r="Q1084">
        <f>IF(I1084="ENFASIS","ÉNFASIS "&amp;M1084,IFERROR(VLOOKUP(J1084,Grupos!$A$2:$D$100,4,FALSE),J1084))</f>
        <v/>
      </c>
      <c r="R1084">
        <f>O1084&amp;IF(N1084&lt;&gt;"",IF(O1084&lt;&gt;""," · ","")&amp;"Con: "&amp;N1084,"")</f>
        <v/>
      </c>
      <c r="S1084">
        <f>C1084&amp;"|"&amp;D1084</f>
        <v/>
      </c>
      <c r="T1084">
        <f>COUNTIF($S$2:S1084,S1084)</f>
        <v/>
      </c>
      <c r="U1084">
        <f>S1084&amp;"|"&amp;T1084</f>
        <v/>
      </c>
      <c r="V1084">
        <f>IFERROR(VLOOKUP(IF(I1084="ENFASIS",LEFT(M1084,FIND("+",M1084&amp;"+")-1),J1084),Direccion_Grupo!$A$2:$G$100,7,FALSE),"")</f>
        <v/>
      </c>
    </row>
    <row r="1085">
      <c r="A1085" t="n">
        <v>40</v>
      </c>
      <c r="B1085" t="inlineStr">
        <is>
          <t>Pulgarín Ortiz César Marino</t>
        </is>
      </c>
      <c r="C1085" t="inlineStr">
        <is>
          <t>JUEVES</t>
        </is>
      </c>
      <c r="D1085" t="n">
        <v>4</v>
      </c>
      <c r="E1085" t="n">
        <v>2</v>
      </c>
      <c r="F1085" t="n">
        <v>2</v>
      </c>
      <c r="G1085" t="inlineStr">
        <is>
          <t>09:05</t>
        </is>
      </c>
      <c r="H1085" t="inlineStr">
        <is>
          <t>09:50</t>
        </is>
      </c>
      <c r="I1085" t="inlineStr">
        <is>
          <t>CLASE</t>
        </is>
      </c>
      <c r="J1085" t="inlineStr">
        <is>
          <t>1002</t>
        </is>
      </c>
      <c r="K1085" t="inlineStr">
        <is>
          <t>CSI</t>
        </is>
      </c>
      <c r="L1085" t="inlineStr"/>
      <c r="M1085" t="inlineStr"/>
      <c r="N1085" t="inlineStr"/>
      <c r="O1085" t="inlineStr">
        <is>
          <t>Sociales / Inglés (alternan cada semana)</t>
        </is>
      </c>
      <c r="P1085" t="inlineStr">
        <is>
          <t>1002-CSI</t>
        </is>
      </c>
      <c r="Q1085">
        <f>IF(I1085="ENFASIS","ÉNFASIS "&amp;M1085,IFERROR(VLOOKUP(J1085,Grupos!$A$2:$D$100,4,FALSE),J1085))</f>
        <v/>
      </c>
      <c r="R1085">
        <f>O1085&amp;IF(N1085&lt;&gt;"",IF(O1085&lt;&gt;""," · ","")&amp;"Con: "&amp;N1085,"")</f>
        <v/>
      </c>
      <c r="S1085">
        <f>C1085&amp;"|"&amp;D1085</f>
        <v/>
      </c>
      <c r="T1085">
        <f>COUNTIF($S$2:S1085,S1085)</f>
        <v/>
      </c>
      <c r="U1085">
        <f>S1085&amp;"|"&amp;T1085</f>
        <v/>
      </c>
      <c r="V1085">
        <f>IFERROR(VLOOKUP(IF(I1085="ENFASIS",LEFT(M1085,FIND("+",M1085&amp;"+")-1),J1085),Direccion_Grupo!$A$2:$G$100,7,FALSE),"")</f>
        <v/>
      </c>
    </row>
    <row r="1086">
      <c r="A1086" t="n">
        <v>54</v>
      </c>
      <c r="B1086" t="inlineStr">
        <is>
          <t>Villota Rubio Janeth del Carmen</t>
        </is>
      </c>
      <c r="C1086" t="inlineStr">
        <is>
          <t>JUEVES</t>
        </is>
      </c>
      <c r="D1086" t="n">
        <v>4</v>
      </c>
      <c r="E1086" t="n">
        <v>2</v>
      </c>
      <c r="F1086" t="n">
        <v>2</v>
      </c>
      <c r="G1086" t="inlineStr">
        <is>
          <t>09:05</t>
        </is>
      </c>
      <c r="H1086" t="inlineStr">
        <is>
          <t>09:50</t>
        </is>
      </c>
      <c r="I1086" t="inlineStr">
        <is>
          <t>CLASE</t>
        </is>
      </c>
      <c r="J1086" t="inlineStr">
        <is>
          <t>1102</t>
        </is>
      </c>
      <c r="K1086" t="inlineStr">
        <is>
          <t>MAT</t>
        </is>
      </c>
      <c r="L1086" t="inlineStr"/>
      <c r="M1086" t="inlineStr"/>
      <c r="N1086" t="inlineStr"/>
      <c r="O1086" t="inlineStr"/>
      <c r="P1086" t="inlineStr">
        <is>
          <t>1102-MAT</t>
        </is>
      </c>
      <c r="Q1086">
        <f>IF(I1086="ENFASIS","ÉNFASIS "&amp;M1086,IFERROR(VLOOKUP(J1086,Grupos!$A$2:$D$100,4,FALSE),J1086))</f>
        <v/>
      </c>
      <c r="R1086">
        <f>O1086&amp;IF(N1086&lt;&gt;"",IF(O1086&lt;&gt;""," · ","")&amp;"Con: "&amp;N1086,"")</f>
        <v/>
      </c>
      <c r="S1086">
        <f>C1086&amp;"|"&amp;D1086</f>
        <v/>
      </c>
      <c r="T1086">
        <f>COUNTIF($S$2:S1086,S1086)</f>
        <v/>
      </c>
      <c r="U1086">
        <f>S1086&amp;"|"&amp;T1086</f>
        <v/>
      </c>
      <c r="V1086">
        <f>IFERROR(VLOOKUP(IF(I1086="ENFASIS",LEFT(M1086,FIND("+",M1086&amp;"+")-1),J1086),Direccion_Grupo!$A$2:$G$100,7,FALSE),"")</f>
        <v/>
      </c>
    </row>
    <row r="1087">
      <c r="A1087" t="n">
        <v>37</v>
      </c>
      <c r="B1087" t="inlineStr">
        <is>
          <t>Prado Quiñones Genís Maribel</t>
        </is>
      </c>
      <c r="C1087" t="inlineStr">
        <is>
          <t>JUEVES</t>
        </is>
      </c>
      <c r="D1087" t="n">
        <v>4</v>
      </c>
      <c r="E1087" t="n">
        <v>2</v>
      </c>
      <c r="F1087" t="n">
        <v>2</v>
      </c>
      <c r="G1087" t="inlineStr">
        <is>
          <t>09:05</t>
        </is>
      </c>
      <c r="H1087" t="inlineStr">
        <is>
          <t>09:50</t>
        </is>
      </c>
      <c r="I1087" t="inlineStr">
        <is>
          <t>CLASE</t>
        </is>
      </c>
      <c r="J1087" t="inlineStr">
        <is>
          <t>CS101</t>
        </is>
      </c>
      <c r="K1087" t="inlineStr">
        <is>
          <t>ART</t>
        </is>
      </c>
      <c r="L1087" t="inlineStr"/>
      <c r="M1087" t="inlineStr"/>
      <c r="N1087" t="inlineStr"/>
      <c r="O1087" t="inlineStr"/>
      <c r="P1087" t="inlineStr">
        <is>
          <t>CS101-ART</t>
        </is>
      </c>
      <c r="Q1087">
        <f>IF(I1087="ENFASIS","ÉNFASIS "&amp;M1087,IFERROR(VLOOKUP(J1087,Grupos!$A$2:$D$100,4,FALSE),J1087))</f>
        <v/>
      </c>
      <c r="R1087">
        <f>O1087&amp;IF(N1087&lt;&gt;"",IF(O1087&lt;&gt;""," · ","")&amp;"Con: "&amp;N1087,"")</f>
        <v/>
      </c>
      <c r="S1087">
        <f>C1087&amp;"|"&amp;D1087</f>
        <v/>
      </c>
      <c r="T1087">
        <f>COUNTIF($S$2:S1087,S1087)</f>
        <v/>
      </c>
      <c r="U1087">
        <f>S1087&amp;"|"&amp;T1087</f>
        <v/>
      </c>
      <c r="V1087">
        <f>IFERROR(VLOOKUP(IF(I1087="ENFASIS",LEFT(M1087,FIND("+",M1087&amp;"+")-1),J1087),Direccion_Grupo!$A$2:$G$100,7,FALSE),"")</f>
        <v/>
      </c>
    </row>
    <row r="1088">
      <c r="A1088" t="n">
        <v>42</v>
      </c>
      <c r="B1088" t="inlineStr">
        <is>
          <t>Quiñones Cabezas Marcos Vidal</t>
        </is>
      </c>
      <c r="C1088" t="inlineStr">
        <is>
          <t>JUEVES</t>
        </is>
      </c>
      <c r="D1088" t="n">
        <v>4</v>
      </c>
      <c r="E1088" t="n">
        <v>2</v>
      </c>
      <c r="F1088" t="n">
        <v>2</v>
      </c>
      <c r="G1088" t="inlineStr">
        <is>
          <t>09:05</t>
        </is>
      </c>
      <c r="H1088" t="inlineStr">
        <is>
          <t>09:50</t>
        </is>
      </c>
      <c r="I1088" t="inlineStr">
        <is>
          <t>CLASE</t>
        </is>
      </c>
      <c r="J1088" t="inlineStr">
        <is>
          <t>CS102</t>
        </is>
      </c>
      <c r="K1088" t="inlineStr">
        <is>
          <t>TEI</t>
        </is>
      </c>
      <c r="L1088" t="inlineStr"/>
      <c r="M1088" t="inlineStr"/>
      <c r="N1088" t="inlineStr"/>
      <c r="O1088" t="inlineStr"/>
      <c r="P1088" t="inlineStr">
        <is>
          <t>CS102-TEI</t>
        </is>
      </c>
      <c r="Q1088">
        <f>IF(I1088="ENFASIS","ÉNFASIS "&amp;M1088,IFERROR(VLOOKUP(J1088,Grupos!$A$2:$D$100,4,FALSE),J1088))</f>
        <v/>
      </c>
      <c r="R1088">
        <f>O1088&amp;IF(N1088&lt;&gt;"",IF(O1088&lt;&gt;""," · ","")&amp;"Con: "&amp;N1088,"")</f>
        <v/>
      </c>
      <c r="S1088">
        <f>C1088&amp;"|"&amp;D1088</f>
        <v/>
      </c>
      <c r="T1088">
        <f>COUNTIF($S$2:S1088,S1088)</f>
        <v/>
      </c>
      <c r="U1088">
        <f>S1088&amp;"|"&amp;T1088</f>
        <v/>
      </c>
      <c r="V1088">
        <f>IFERROR(VLOOKUP(IF(I1088="ENFASIS",LEFT(M1088,FIND("+",M1088&amp;"+")-1),J1088),Direccion_Grupo!$A$2:$G$100,7,FALSE),"")</f>
        <v/>
      </c>
    </row>
    <row r="1089">
      <c r="A1089" t="n">
        <v>9</v>
      </c>
      <c r="B1089" t="inlineStr">
        <is>
          <t>Castillo Angulo Martha Cecilia</t>
        </is>
      </c>
      <c r="C1089" t="inlineStr">
        <is>
          <t>JUEVES</t>
        </is>
      </c>
      <c r="D1089" t="n">
        <v>4</v>
      </c>
      <c r="E1089" t="n">
        <v>2</v>
      </c>
      <c r="F1089" t="n">
        <v>2</v>
      </c>
      <c r="G1089" t="inlineStr">
        <is>
          <t>09:05</t>
        </is>
      </c>
      <c r="H1089" t="inlineStr">
        <is>
          <t>09:50</t>
        </is>
      </c>
      <c r="I1089" t="inlineStr">
        <is>
          <t>CLASE</t>
        </is>
      </c>
      <c r="J1089" t="inlineStr">
        <is>
          <t>CS201</t>
        </is>
      </c>
      <c r="K1089" t="inlineStr">
        <is>
          <t>ETR</t>
        </is>
      </c>
      <c r="L1089" t="inlineStr"/>
      <c r="M1089" t="inlineStr"/>
      <c r="N1089" t="inlineStr"/>
      <c r="O1089" t="inlineStr">
        <is>
          <t>Ética / Religión (alternan cada semana)</t>
        </is>
      </c>
      <c r="P1089" t="inlineStr">
        <is>
          <t>CS201-ETR</t>
        </is>
      </c>
      <c r="Q1089">
        <f>IF(I1089="ENFASIS","ÉNFASIS "&amp;M1089,IFERROR(VLOOKUP(J1089,Grupos!$A$2:$D$100,4,FALSE),J1089))</f>
        <v/>
      </c>
      <c r="R1089">
        <f>O1089&amp;IF(N1089&lt;&gt;"",IF(O1089&lt;&gt;""," · ","")&amp;"Con: "&amp;N1089,"")</f>
        <v/>
      </c>
      <c r="S1089">
        <f>C1089&amp;"|"&amp;D1089</f>
        <v/>
      </c>
      <c r="T1089">
        <f>COUNTIF($S$2:S1089,S1089)</f>
        <v/>
      </c>
      <c r="U1089">
        <f>S1089&amp;"|"&amp;T1089</f>
        <v/>
      </c>
      <c r="V1089">
        <f>IFERROR(VLOOKUP(IF(I1089="ENFASIS",LEFT(M1089,FIND("+",M1089&amp;"+")-1),J1089),Direccion_Grupo!$A$2:$G$100,7,FALSE),"")</f>
        <v/>
      </c>
    </row>
    <row r="1090">
      <c r="A1090" t="n">
        <v>51</v>
      </c>
      <c r="B1090" t="inlineStr">
        <is>
          <t>Valverde Montaño María Teresa</t>
        </is>
      </c>
      <c r="C1090" t="inlineStr">
        <is>
          <t>JUEVES</t>
        </is>
      </c>
      <c r="D1090" t="n">
        <v>4</v>
      </c>
      <c r="E1090" t="n">
        <v>2</v>
      </c>
      <c r="F1090" t="n">
        <v>2</v>
      </c>
      <c r="G1090" t="inlineStr">
        <is>
          <t>09:05</t>
        </is>
      </c>
      <c r="H1090" t="inlineStr">
        <is>
          <t>09:50</t>
        </is>
      </c>
      <c r="I1090" t="inlineStr">
        <is>
          <t>CLASE</t>
        </is>
      </c>
      <c r="J1090" t="inlineStr">
        <is>
          <t>CS202</t>
        </is>
      </c>
      <c r="K1090" t="inlineStr">
        <is>
          <t>CAS</t>
        </is>
      </c>
      <c r="L1090" t="inlineStr"/>
      <c r="M1090" t="inlineStr"/>
      <c r="N1090" t="inlineStr"/>
      <c r="O1090" t="inlineStr"/>
      <c r="P1090" t="inlineStr">
        <is>
          <t>CS202-CAS</t>
        </is>
      </c>
      <c r="Q1090">
        <f>IF(I1090="ENFASIS","ÉNFASIS "&amp;M1090,IFERROR(VLOOKUP(J1090,Grupos!$A$2:$D$100,4,FALSE),J1090))</f>
        <v/>
      </c>
      <c r="R1090">
        <f>O1090&amp;IF(N1090&lt;&gt;"",IF(O1090&lt;&gt;""," · ","")&amp;"Con: "&amp;N1090,"")</f>
        <v/>
      </c>
      <c r="S1090">
        <f>C1090&amp;"|"&amp;D1090</f>
        <v/>
      </c>
      <c r="T1090">
        <f>COUNTIF($S$2:S1090,S1090)</f>
        <v/>
      </c>
      <c r="U1090">
        <f>S1090&amp;"|"&amp;T1090</f>
        <v/>
      </c>
      <c r="V1090">
        <f>IFERROR(VLOOKUP(IF(I1090="ENFASIS",LEFT(M1090,FIND("+",M1090&amp;"+")-1),J1090),Direccion_Grupo!$A$2:$G$100,7,FALSE),"")</f>
        <v/>
      </c>
    </row>
    <row r="1091">
      <c r="A1091" t="n">
        <v>7</v>
      </c>
      <c r="B1091" t="inlineStr">
        <is>
          <t>Casanova Casanova Johana Andrea</t>
        </is>
      </c>
      <c r="C1091" t="inlineStr">
        <is>
          <t>JUEVES</t>
        </is>
      </c>
      <c r="D1091" t="n">
        <v>4</v>
      </c>
      <c r="E1091" t="n">
        <v>2</v>
      </c>
      <c r="F1091" t="n">
        <v>2</v>
      </c>
      <c r="G1091" t="inlineStr">
        <is>
          <t>09:05</t>
        </is>
      </c>
      <c r="H1091" t="inlineStr">
        <is>
          <t>09:50</t>
        </is>
      </c>
      <c r="I1091" t="inlineStr">
        <is>
          <t>ORIENTACION</t>
        </is>
      </c>
      <c r="J1091" t="inlineStr">
        <is>
          <t>ORIENT</t>
        </is>
      </c>
      <c r="K1091" t="inlineStr">
        <is>
          <t>ORIENTACIÓN ESCOLAR</t>
        </is>
      </c>
      <c r="L1091" t="inlineStr"/>
      <c r="M1091" t="inlineStr"/>
      <c r="N1091" t="inlineStr"/>
      <c r="O1091" t="inlineStr">
        <is>
          <t>Jornada 07:30 a 14:30</t>
        </is>
      </c>
      <c r="P1091" t="inlineStr"/>
      <c r="Q1091">
        <f>IF(I1091="ENFASIS","ÉNFASIS "&amp;M1091,IFERROR(VLOOKUP(J1091,Grupos!$A$2:$D$100,4,FALSE),J1091))</f>
        <v/>
      </c>
      <c r="R1091">
        <f>O1091&amp;IF(N1091&lt;&gt;"",IF(O1091&lt;&gt;""," · ","")&amp;"Con: "&amp;N1091,"")</f>
        <v/>
      </c>
      <c r="S1091">
        <f>C1091&amp;"|"&amp;D1091</f>
        <v/>
      </c>
      <c r="T1091">
        <f>COUNTIF($S$2:S1091,S1091)</f>
        <v/>
      </c>
      <c r="U1091">
        <f>S1091&amp;"|"&amp;T1091</f>
        <v/>
      </c>
      <c r="V1091">
        <f>IFERROR(VLOOKUP(IF(I1091="ENFASIS",LEFT(M1091,FIND("+",M1091&amp;"+")-1),J1091),Direccion_Grupo!$A$2:$G$100,7,FALSE),"")</f>
        <v/>
      </c>
    </row>
    <row r="1092">
      <c r="A1092" t="n">
        <v>36</v>
      </c>
      <c r="B1092" t="inlineStr">
        <is>
          <t>Ponce Moncayo Ángela Paola</t>
        </is>
      </c>
      <c r="C1092" t="inlineStr">
        <is>
          <t>JUEVES</t>
        </is>
      </c>
      <c r="D1092" t="n">
        <v>4</v>
      </c>
      <c r="E1092" t="n">
        <v>2</v>
      </c>
      <c r="F1092" t="n">
        <v>2</v>
      </c>
      <c r="G1092" t="inlineStr">
        <is>
          <t>09:05</t>
        </is>
      </c>
      <c r="H1092" t="inlineStr">
        <is>
          <t>09:50</t>
        </is>
      </c>
      <c r="I1092" t="inlineStr">
        <is>
          <t>ORIENTACION</t>
        </is>
      </c>
      <c r="J1092" t="inlineStr">
        <is>
          <t>ORIENT</t>
        </is>
      </c>
      <c r="K1092" t="inlineStr">
        <is>
          <t>ORIENTACIÓN ESCOLAR</t>
        </is>
      </c>
      <c r="L1092" t="inlineStr"/>
      <c r="M1092" t="inlineStr"/>
      <c r="N1092" t="inlineStr"/>
      <c r="O1092" t="inlineStr">
        <is>
          <t>Jornada 08:30 a 13:30</t>
        </is>
      </c>
      <c r="P1092" t="inlineStr"/>
      <c r="Q1092">
        <f>IF(I1092="ENFASIS","ÉNFASIS "&amp;M1092,IFERROR(VLOOKUP(J1092,Grupos!$A$2:$D$100,4,FALSE),J1092))</f>
        <v/>
      </c>
      <c r="R1092">
        <f>O1092&amp;IF(N1092&lt;&gt;"",IF(O1092&lt;&gt;""," · ","")&amp;"Con: "&amp;N1092,"")</f>
        <v/>
      </c>
      <c r="S1092">
        <f>C1092&amp;"|"&amp;D1092</f>
        <v/>
      </c>
      <c r="T1092">
        <f>COUNTIF($S$2:S1092,S1092)</f>
        <v/>
      </c>
      <c r="U1092">
        <f>S1092&amp;"|"&amp;T1092</f>
        <v/>
      </c>
      <c r="V1092">
        <f>IFERROR(VLOOKUP(IF(I1092="ENFASIS",LEFT(M1092,FIND("+",M1092&amp;"+")-1),J1092),Direccion_Grupo!$A$2:$G$100,7,FALSE),"")</f>
        <v/>
      </c>
    </row>
    <row r="1093">
      <c r="A1093" t="n">
        <v>56</v>
      </c>
      <c r="B1093" t="inlineStr">
        <is>
          <t>Ortiz Estacio Martha Cecilia</t>
        </is>
      </c>
      <c r="C1093" t="inlineStr">
        <is>
          <t>JUEVES</t>
        </is>
      </c>
      <c r="D1093" t="n">
        <v>4</v>
      </c>
      <c r="E1093" t="n">
        <v>2</v>
      </c>
      <c r="F1093" t="n">
        <v>2</v>
      </c>
      <c r="G1093" t="inlineStr">
        <is>
          <t>09:05</t>
        </is>
      </c>
      <c r="H1093" t="inlineStr">
        <is>
          <t>09:50</t>
        </is>
      </c>
      <c r="I1093" t="inlineStr">
        <is>
          <t>TUTORIA</t>
        </is>
      </c>
      <c r="J1093" t="inlineStr">
        <is>
          <t>PTAFI</t>
        </is>
      </c>
      <c r="K1093" t="inlineStr">
        <is>
          <t>TUTORÍA PTAFI</t>
        </is>
      </c>
      <c r="L1093" t="inlineStr"/>
      <c r="M1093" t="inlineStr"/>
      <c r="N1093" t="inlineStr"/>
      <c r="O1093" t="inlineStr">
        <is>
          <t>Jornada 06:30 a 12:00</t>
        </is>
      </c>
      <c r="P1093" t="inlineStr"/>
      <c r="Q1093">
        <f>IF(I1093="ENFASIS","ÉNFASIS "&amp;M1093,IFERROR(VLOOKUP(J1093,Grupos!$A$2:$D$100,4,FALSE),J1093))</f>
        <v/>
      </c>
      <c r="R1093">
        <f>O1093&amp;IF(N1093&lt;&gt;"",IF(O1093&lt;&gt;""," · ","")&amp;"Con: "&amp;N1093,"")</f>
        <v/>
      </c>
      <c r="S1093">
        <f>C1093&amp;"|"&amp;D1093</f>
        <v/>
      </c>
      <c r="T1093">
        <f>COUNTIF($S$2:S1093,S1093)</f>
        <v/>
      </c>
      <c r="U1093">
        <f>S1093&amp;"|"&amp;T1093</f>
        <v/>
      </c>
      <c r="V1093">
        <f>IFERROR(VLOOKUP(IF(I1093="ENFASIS",LEFT(M1093,FIND("+",M1093&amp;"+")-1),J1093),Direccion_Grupo!$A$2:$G$100,7,FALSE),"")</f>
        <v/>
      </c>
    </row>
    <row r="1094">
      <c r="A1094" t="n">
        <v>3</v>
      </c>
      <c r="B1094" t="inlineStr">
        <is>
          <t>Arboleda Ortiz Luz América</t>
        </is>
      </c>
      <c r="C1094" t="inlineStr">
        <is>
          <t>JUEVES</t>
        </is>
      </c>
      <c r="D1094" t="n">
        <v>4</v>
      </c>
      <c r="E1094" t="n">
        <v>2</v>
      </c>
      <c r="F1094" t="n">
        <v>2</v>
      </c>
      <c r="G1094" t="inlineStr">
        <is>
          <t>09:05</t>
        </is>
      </c>
      <c r="H1094" t="inlineStr">
        <is>
          <t>09:50</t>
        </is>
      </c>
      <c r="I1094" t="inlineStr">
        <is>
          <t>ENFASIS</t>
        </is>
      </c>
      <c r="J1094" t="inlineStr"/>
      <c r="K1094" t="inlineStr">
        <is>
          <t>ART</t>
        </is>
      </c>
      <c r="L1094" t="inlineStr">
        <is>
          <t>D5-11°</t>
        </is>
      </c>
      <c r="M1094" t="inlineStr">
        <is>
          <t>1101</t>
        </is>
      </c>
      <c r="N1094" t="inlineStr">
        <is>
          <t>Montaño Anchico Favio Héctor (CAS); Ramírez Guerra Jimmy Eduardo (ERD); Villota Rubio Héctor Hugo (CNA)</t>
        </is>
      </c>
      <c r="O1094" t="inlineStr">
        <is>
          <t>EQUIPO DE 4: cada docente atiende un grupo de estudiantes en su área</t>
        </is>
      </c>
      <c r="P1094" t="inlineStr">
        <is>
          <t>ENFASIS-D5-11°</t>
        </is>
      </c>
      <c r="Q1094">
        <f>IF(I1094="ENFASIS","ÉNFASIS "&amp;M1094,IFERROR(VLOOKUP(J1094,Grupos!$A$2:$D$100,4,FALSE),J1094))</f>
        <v/>
      </c>
      <c r="R1094">
        <f>O1094&amp;IF(N1094&lt;&gt;"",IF(O1094&lt;&gt;""," · ","")&amp;"Con: "&amp;N1094,"")</f>
        <v/>
      </c>
      <c r="S1094">
        <f>C1094&amp;"|"&amp;D1094</f>
        <v/>
      </c>
      <c r="T1094">
        <f>COUNTIF($S$2:S1094,S1094)</f>
        <v/>
      </c>
      <c r="U1094">
        <f>S1094&amp;"|"&amp;T1094</f>
        <v/>
      </c>
      <c r="V1094">
        <f>IFERROR(VLOOKUP(IF(I1094="ENFASIS",LEFT(M1094,FIND("+",M1094&amp;"+")-1),J1094),Direccion_Grupo!$A$2:$G$100,7,FALSE),"")</f>
        <v/>
      </c>
    </row>
    <row r="1095">
      <c r="A1095" t="n">
        <v>30</v>
      </c>
      <c r="B1095" t="inlineStr">
        <is>
          <t>Montaño Anchico Favio Héctor</t>
        </is>
      </c>
      <c r="C1095" t="inlineStr">
        <is>
          <t>JUEVES</t>
        </is>
      </c>
      <c r="D1095" t="n">
        <v>4</v>
      </c>
      <c r="E1095" t="n">
        <v>2</v>
      </c>
      <c r="F1095" t="n">
        <v>2</v>
      </c>
      <c r="G1095" t="inlineStr">
        <is>
          <t>09:05</t>
        </is>
      </c>
      <c r="H1095" t="inlineStr">
        <is>
          <t>09:50</t>
        </is>
      </c>
      <c r="I1095" t="inlineStr">
        <is>
          <t>ENFASIS</t>
        </is>
      </c>
      <c r="J1095" t="inlineStr"/>
      <c r="K1095" t="inlineStr">
        <is>
          <t>CAS</t>
        </is>
      </c>
      <c r="L1095" t="inlineStr">
        <is>
          <t>D5-11°</t>
        </is>
      </c>
      <c r="M1095" t="inlineStr">
        <is>
          <t>1101</t>
        </is>
      </c>
      <c r="N1095" t="inlineStr">
        <is>
          <t>Arboleda Ortiz Luz América (ART); Ramírez Guerra Jimmy Eduardo (ERD); Villota Rubio Héctor Hugo (CNA)</t>
        </is>
      </c>
      <c r="O1095" t="inlineStr">
        <is>
          <t>EQUIPO DE 4: cada docente atiende un grupo de estudiantes en su área</t>
        </is>
      </c>
      <c r="P1095" t="inlineStr">
        <is>
          <t>ENFASIS-D5-11°</t>
        </is>
      </c>
      <c r="Q1095">
        <f>IF(I1095="ENFASIS","ÉNFASIS "&amp;M1095,IFERROR(VLOOKUP(J1095,Grupos!$A$2:$D$100,4,FALSE),J1095))</f>
        <v/>
      </c>
      <c r="R1095">
        <f>O1095&amp;IF(N1095&lt;&gt;"",IF(O1095&lt;&gt;""," · ","")&amp;"Con: "&amp;N1095,"")</f>
        <v/>
      </c>
      <c r="S1095">
        <f>C1095&amp;"|"&amp;D1095</f>
        <v/>
      </c>
      <c r="T1095">
        <f>COUNTIF($S$2:S1095,S1095)</f>
        <v/>
      </c>
      <c r="U1095">
        <f>S1095&amp;"|"&amp;T1095</f>
        <v/>
      </c>
      <c r="V1095">
        <f>IFERROR(VLOOKUP(IF(I1095="ENFASIS",LEFT(M1095,FIND("+",M1095&amp;"+")-1),J1095),Direccion_Grupo!$A$2:$G$100,7,FALSE),"")</f>
        <v/>
      </c>
    </row>
    <row r="1096">
      <c r="A1096" t="n">
        <v>43</v>
      </c>
      <c r="B1096" t="inlineStr">
        <is>
          <t>Ramírez Guerra Jimmy Eduardo</t>
        </is>
      </c>
      <c r="C1096" t="inlineStr">
        <is>
          <t>JUEVES</t>
        </is>
      </c>
      <c r="D1096" t="n">
        <v>4</v>
      </c>
      <c r="E1096" t="n">
        <v>2</v>
      </c>
      <c r="F1096" t="n">
        <v>2</v>
      </c>
      <c r="G1096" t="inlineStr">
        <is>
          <t>09:05</t>
        </is>
      </c>
      <c r="H1096" t="inlineStr">
        <is>
          <t>09:50</t>
        </is>
      </c>
      <c r="I1096" t="inlineStr">
        <is>
          <t>ENFASIS</t>
        </is>
      </c>
      <c r="J1096" t="inlineStr"/>
      <c r="K1096" t="inlineStr">
        <is>
          <t>ERD</t>
        </is>
      </c>
      <c r="L1096" t="inlineStr">
        <is>
          <t>D5-11°</t>
        </is>
      </c>
      <c r="M1096" t="inlineStr">
        <is>
          <t>1101</t>
        </is>
      </c>
      <c r="N1096" t="inlineStr">
        <is>
          <t>Arboleda Ortiz Luz América (ART); Montaño Anchico Favio Héctor (CAS); Villota Rubio Héctor Hugo (CNA)</t>
        </is>
      </c>
      <c r="O1096" t="inlineStr">
        <is>
          <t>EQUIPO DE 4: cada docente atiende un grupo de estudiantes en su área</t>
        </is>
      </c>
      <c r="P1096" t="inlineStr">
        <is>
          <t>ENFASIS-D5-11°</t>
        </is>
      </c>
      <c r="Q1096">
        <f>IF(I1096="ENFASIS","ÉNFASIS "&amp;M1096,IFERROR(VLOOKUP(J1096,Grupos!$A$2:$D$100,4,FALSE),J1096))</f>
        <v/>
      </c>
      <c r="R1096">
        <f>O1096&amp;IF(N1096&lt;&gt;"",IF(O1096&lt;&gt;""," · ","")&amp;"Con: "&amp;N1096,"")</f>
        <v/>
      </c>
      <c r="S1096">
        <f>C1096&amp;"|"&amp;D1096</f>
        <v/>
      </c>
      <c r="T1096">
        <f>COUNTIF($S$2:S1096,S1096)</f>
        <v/>
      </c>
      <c r="U1096">
        <f>S1096&amp;"|"&amp;T1096</f>
        <v/>
      </c>
      <c r="V1096">
        <f>IFERROR(VLOOKUP(IF(I1096="ENFASIS",LEFT(M1096,FIND("+",M1096&amp;"+")-1),J1096),Direccion_Grupo!$A$2:$G$100,7,FALSE),"")</f>
        <v/>
      </c>
    </row>
    <row r="1097">
      <c r="A1097" t="n">
        <v>53</v>
      </c>
      <c r="B1097" t="inlineStr">
        <is>
          <t>Villota Rubio Héctor Hugo</t>
        </is>
      </c>
      <c r="C1097" t="inlineStr">
        <is>
          <t>JUEVES</t>
        </is>
      </c>
      <c r="D1097" t="n">
        <v>4</v>
      </c>
      <c r="E1097" t="n">
        <v>2</v>
      </c>
      <c r="F1097" t="n">
        <v>2</v>
      </c>
      <c r="G1097" t="inlineStr">
        <is>
          <t>09:05</t>
        </is>
      </c>
      <c r="H1097" t="inlineStr">
        <is>
          <t>09:50</t>
        </is>
      </c>
      <c r="I1097" t="inlineStr">
        <is>
          <t>ENFASIS</t>
        </is>
      </c>
      <c r="J1097" t="inlineStr"/>
      <c r="K1097" t="inlineStr">
        <is>
          <t>CNA</t>
        </is>
      </c>
      <c r="L1097" t="inlineStr">
        <is>
          <t>D5-11°</t>
        </is>
      </c>
      <c r="M1097" t="inlineStr">
        <is>
          <t>1101</t>
        </is>
      </c>
      <c r="N1097" t="inlineStr">
        <is>
          <t>Arboleda Ortiz Luz América (ART); Montaño Anchico Favio Héctor (CAS); Ramírez Guerra Jimmy Eduardo (ERD)</t>
        </is>
      </c>
      <c r="O1097" t="inlineStr">
        <is>
          <t>EQUIPO DE 4: cada docente atiende un grupo de estudiantes en su área</t>
        </is>
      </c>
      <c r="P1097" t="inlineStr">
        <is>
          <t>ENFASIS-D5-11°</t>
        </is>
      </c>
      <c r="Q1097">
        <f>IF(I1097="ENFASIS","ÉNFASIS "&amp;M1097,IFERROR(VLOOKUP(J1097,Grupos!$A$2:$D$100,4,FALSE),J1097))</f>
        <v/>
      </c>
      <c r="R1097">
        <f>O1097&amp;IF(N1097&lt;&gt;"",IF(O1097&lt;&gt;""," · ","")&amp;"Con: "&amp;N1097,"")</f>
        <v/>
      </c>
      <c r="S1097">
        <f>C1097&amp;"|"&amp;D1097</f>
        <v/>
      </c>
      <c r="T1097">
        <f>COUNTIF($S$2:S1097,S1097)</f>
        <v/>
      </c>
      <c r="U1097">
        <f>S1097&amp;"|"&amp;T1097</f>
        <v/>
      </c>
      <c r="V1097">
        <f>IFERROR(VLOOKUP(IF(I1097="ENFASIS",LEFT(M1097,FIND("+",M1097&amp;"+")-1),J1097),Direccion_Grupo!$A$2:$G$100,7,FALSE),"")</f>
        <v/>
      </c>
    </row>
    <row r="1098">
      <c r="A1098" t="n">
        <v>50</v>
      </c>
      <c r="B1098" t="inlineStr">
        <is>
          <t>Valencia Solís Gloria Alexa</t>
        </is>
      </c>
      <c r="C1098" t="inlineStr">
        <is>
          <t>JUEVES</t>
        </is>
      </c>
      <c r="D1098" t="n">
        <v>5</v>
      </c>
      <c r="E1098" t="n">
        <v>3</v>
      </c>
      <c r="F1098" t="n">
        <v>1</v>
      </c>
      <c r="G1098" t="inlineStr">
        <is>
          <t>09:30</t>
        </is>
      </c>
      <c r="H1098" t="inlineStr">
        <is>
          <t>10:30</t>
        </is>
      </c>
      <c r="I1098" t="inlineStr">
        <is>
          <t>AREAS_MULTIPLES</t>
        </is>
      </c>
      <c r="J1098" t="inlineStr">
        <is>
          <t>0001</t>
        </is>
      </c>
      <c r="K1098" t="inlineStr">
        <is>
          <t>ÁREAS MÚLTIPLES</t>
        </is>
      </c>
      <c r="L1098" t="inlineStr"/>
      <c r="M1098" t="inlineStr"/>
      <c r="N1098" t="inlineStr"/>
      <c r="O1098" t="inlineStr">
        <is>
          <t>Maestro de aula: todas las áreas con su grupo</t>
        </is>
      </c>
      <c r="P1098" t="inlineStr"/>
      <c r="Q1098">
        <f>IF(I1098="ENFASIS","ÉNFASIS "&amp;M1098,IFERROR(VLOOKUP(J1098,Grupos!$A$2:$D$100,4,FALSE),J1098))</f>
        <v/>
      </c>
      <c r="R1098">
        <f>O1098&amp;IF(N1098&lt;&gt;"",IF(O1098&lt;&gt;""," · ","")&amp;"Con: "&amp;N1098,"")</f>
        <v/>
      </c>
      <c r="S1098">
        <f>C1098&amp;"|"&amp;D1098</f>
        <v/>
      </c>
      <c r="T1098">
        <f>COUNTIF($S$2:S1098,S1098)</f>
        <v/>
      </c>
      <c r="U1098">
        <f>S1098&amp;"|"&amp;T1098</f>
        <v/>
      </c>
      <c r="V1098">
        <f>IFERROR(VLOOKUP(IF(I1098="ENFASIS",LEFT(M1098,FIND("+",M1098&amp;"+")-1),J1098),Direccion_Grupo!$A$2:$G$100,7,FALSE),"")</f>
        <v/>
      </c>
    </row>
    <row r="1099">
      <c r="A1099" t="n">
        <v>27</v>
      </c>
      <c r="B1099" t="inlineStr">
        <is>
          <t>Martínez Álvarez Andrea Ascención</t>
        </is>
      </c>
      <c r="C1099" t="inlineStr">
        <is>
          <t>JUEVES</t>
        </is>
      </c>
      <c r="D1099" t="n">
        <v>5</v>
      </c>
      <c r="E1099" t="n">
        <v>3</v>
      </c>
      <c r="F1099" t="n">
        <v>1</v>
      </c>
      <c r="G1099" t="inlineStr">
        <is>
          <t>09:30</t>
        </is>
      </c>
      <c r="H1099" t="inlineStr">
        <is>
          <t>10:30</t>
        </is>
      </c>
      <c r="I1099" t="inlineStr">
        <is>
          <t>AREAS_MULTIPLES</t>
        </is>
      </c>
      <c r="J1099" t="inlineStr">
        <is>
          <t>0002</t>
        </is>
      </c>
      <c r="K1099" t="inlineStr">
        <is>
          <t>ÁREAS MÚLTIPLES</t>
        </is>
      </c>
      <c r="L1099" t="inlineStr"/>
      <c r="M1099" t="inlineStr"/>
      <c r="N1099" t="inlineStr"/>
      <c r="O1099" t="inlineStr">
        <is>
          <t>Maestro de aula: todas las áreas con su grupo</t>
        </is>
      </c>
      <c r="P1099" t="inlineStr"/>
      <c r="Q1099">
        <f>IF(I1099="ENFASIS","ÉNFASIS "&amp;M1099,IFERROR(VLOOKUP(J1099,Grupos!$A$2:$D$100,4,FALSE),J1099))</f>
        <v/>
      </c>
      <c r="R1099">
        <f>O1099&amp;IF(N1099&lt;&gt;"",IF(O1099&lt;&gt;""," · ","")&amp;"Con: "&amp;N1099,"")</f>
        <v/>
      </c>
      <c r="S1099">
        <f>C1099&amp;"|"&amp;D1099</f>
        <v/>
      </c>
      <c r="T1099">
        <f>COUNTIF($S$2:S1099,S1099)</f>
        <v/>
      </c>
      <c r="U1099">
        <f>S1099&amp;"|"&amp;T1099</f>
        <v/>
      </c>
      <c r="V1099">
        <f>IFERROR(VLOOKUP(IF(I1099="ENFASIS",LEFT(M1099,FIND("+",M1099&amp;"+")-1),J1099),Direccion_Grupo!$A$2:$G$100,7,FALSE),"")</f>
        <v/>
      </c>
    </row>
    <row r="1100">
      <c r="A1100" t="n">
        <v>23</v>
      </c>
      <c r="B1100" t="inlineStr">
        <is>
          <t>Landázuri Quiñones María Elia</t>
        </is>
      </c>
      <c r="C1100" t="inlineStr">
        <is>
          <t>JUEVES</t>
        </is>
      </c>
      <c r="D1100" t="n">
        <v>5</v>
      </c>
      <c r="E1100" t="n">
        <v>3</v>
      </c>
      <c r="F1100" t="n">
        <v>1</v>
      </c>
      <c r="G1100" t="inlineStr">
        <is>
          <t>10:10</t>
        </is>
      </c>
      <c r="H1100" t="inlineStr">
        <is>
          <t>10:55</t>
        </is>
      </c>
      <c r="I1100" t="inlineStr">
        <is>
          <t>AREAS_MULTIPLES</t>
        </is>
      </c>
      <c r="J1100" t="inlineStr">
        <is>
          <t>0101</t>
        </is>
      </c>
      <c r="K1100" t="inlineStr">
        <is>
          <t>ÁREAS MÚLTIPLES</t>
        </is>
      </c>
      <c r="L1100" t="inlineStr"/>
      <c r="M1100" t="inlineStr"/>
      <c r="N1100" t="inlineStr"/>
      <c r="O1100" t="inlineStr">
        <is>
          <t>Maestro de aula: todas las áreas con su grupo</t>
        </is>
      </c>
      <c r="P1100" t="inlineStr"/>
      <c r="Q1100">
        <f>IF(I1100="ENFASIS","ÉNFASIS "&amp;M1100,IFERROR(VLOOKUP(J1100,Grupos!$A$2:$D$100,4,FALSE),J1100))</f>
        <v/>
      </c>
      <c r="R1100">
        <f>O1100&amp;IF(N1100&lt;&gt;"",IF(O1100&lt;&gt;""," · ","")&amp;"Con: "&amp;N1100,"")</f>
        <v/>
      </c>
      <c r="S1100">
        <f>C1100&amp;"|"&amp;D1100</f>
        <v/>
      </c>
      <c r="T1100">
        <f>COUNTIF($S$2:S1100,S1100)</f>
        <v/>
      </c>
      <c r="U1100">
        <f>S1100&amp;"|"&amp;T1100</f>
        <v/>
      </c>
      <c r="V1100">
        <f>IFERROR(VLOOKUP(IF(I1100="ENFASIS",LEFT(M1100,FIND("+",M1100&amp;"+")-1),J1100),Direccion_Grupo!$A$2:$G$100,7,FALSE),"")</f>
        <v/>
      </c>
    </row>
    <row r="1101">
      <c r="A1101" t="n">
        <v>45</v>
      </c>
      <c r="B1101" t="inlineStr">
        <is>
          <t>Sinisterra Ana Lucía</t>
        </is>
      </c>
      <c r="C1101" t="inlineStr">
        <is>
          <t>JUEVES</t>
        </is>
      </c>
      <c r="D1101" t="n">
        <v>5</v>
      </c>
      <c r="E1101" t="n">
        <v>3</v>
      </c>
      <c r="F1101" t="n">
        <v>1</v>
      </c>
      <c r="G1101" t="inlineStr">
        <is>
          <t>10:10</t>
        </is>
      </c>
      <c r="H1101" t="inlineStr">
        <is>
          <t>10:55</t>
        </is>
      </c>
      <c r="I1101" t="inlineStr">
        <is>
          <t>AREAS_MULTIPLES</t>
        </is>
      </c>
      <c r="J1101" t="inlineStr">
        <is>
          <t>0102</t>
        </is>
      </c>
      <c r="K1101" t="inlineStr">
        <is>
          <t>ÁREAS MÚLTIPLES</t>
        </is>
      </c>
      <c r="L1101" t="inlineStr"/>
      <c r="M1101" t="inlineStr"/>
      <c r="N1101" t="inlineStr"/>
      <c r="O1101" t="inlineStr">
        <is>
          <t>Maestro de aula: todas las áreas con su grupo</t>
        </is>
      </c>
      <c r="P1101" t="inlineStr"/>
      <c r="Q1101">
        <f>IF(I1101="ENFASIS","ÉNFASIS "&amp;M1101,IFERROR(VLOOKUP(J1101,Grupos!$A$2:$D$100,4,FALSE),J1101))</f>
        <v/>
      </c>
      <c r="R1101">
        <f>O1101&amp;IF(N1101&lt;&gt;"",IF(O1101&lt;&gt;""," · ","")&amp;"Con: "&amp;N1101,"")</f>
        <v/>
      </c>
      <c r="S1101">
        <f>C1101&amp;"|"&amp;D1101</f>
        <v/>
      </c>
      <c r="T1101">
        <f>COUNTIF($S$2:S1101,S1101)</f>
        <v/>
      </c>
      <c r="U1101">
        <f>S1101&amp;"|"&amp;T1101</f>
        <v/>
      </c>
      <c r="V1101">
        <f>IFERROR(VLOOKUP(IF(I1101="ENFASIS",LEFT(M1101,FIND("+",M1101&amp;"+")-1),J1101),Direccion_Grupo!$A$2:$G$100,7,FALSE),"")</f>
        <v/>
      </c>
    </row>
    <row r="1102">
      <c r="A1102" t="n">
        <v>13</v>
      </c>
      <c r="B1102" t="inlineStr">
        <is>
          <t>Cortés Salazar María Ebelice</t>
        </is>
      </c>
      <c r="C1102" t="inlineStr">
        <is>
          <t>JUEVES</t>
        </is>
      </c>
      <c r="D1102" t="n">
        <v>5</v>
      </c>
      <c r="E1102" t="n">
        <v>3</v>
      </c>
      <c r="F1102" t="n">
        <v>1</v>
      </c>
      <c r="G1102" t="inlineStr">
        <is>
          <t>10:10</t>
        </is>
      </c>
      <c r="H1102" t="inlineStr">
        <is>
          <t>10:55</t>
        </is>
      </c>
      <c r="I1102" t="inlineStr">
        <is>
          <t>AREAS_MULTIPLES</t>
        </is>
      </c>
      <c r="J1102" t="inlineStr">
        <is>
          <t>0201</t>
        </is>
      </c>
      <c r="K1102" t="inlineStr">
        <is>
          <t>ÁREAS MÚLTIPLES</t>
        </is>
      </c>
      <c r="L1102" t="inlineStr"/>
      <c r="M1102" t="inlineStr"/>
      <c r="N1102" t="inlineStr"/>
      <c r="O1102" t="inlineStr">
        <is>
          <t>Maestro de aula: todas las áreas con su grupo</t>
        </is>
      </c>
      <c r="P1102" t="inlineStr"/>
      <c r="Q1102">
        <f>IF(I1102="ENFASIS","ÉNFASIS "&amp;M1102,IFERROR(VLOOKUP(J1102,Grupos!$A$2:$D$100,4,FALSE),J1102))</f>
        <v/>
      </c>
      <c r="R1102">
        <f>O1102&amp;IF(N1102&lt;&gt;"",IF(O1102&lt;&gt;""," · ","")&amp;"Con: "&amp;N1102,"")</f>
        <v/>
      </c>
      <c r="S1102">
        <f>C1102&amp;"|"&amp;D1102</f>
        <v/>
      </c>
      <c r="T1102">
        <f>COUNTIF($S$2:S1102,S1102)</f>
        <v/>
      </c>
      <c r="U1102">
        <f>S1102&amp;"|"&amp;T1102</f>
        <v/>
      </c>
      <c r="V1102">
        <f>IFERROR(VLOOKUP(IF(I1102="ENFASIS",LEFT(M1102,FIND("+",M1102&amp;"+")-1),J1102),Direccion_Grupo!$A$2:$G$100,7,FALSE),"")</f>
        <v/>
      </c>
    </row>
    <row r="1103">
      <c r="A1103" t="n">
        <v>21</v>
      </c>
      <c r="B1103" t="inlineStr">
        <is>
          <t>Garzón Quiñones Sixta Janina</t>
        </is>
      </c>
      <c r="C1103" t="inlineStr">
        <is>
          <t>JUEVES</t>
        </is>
      </c>
      <c r="D1103" t="n">
        <v>5</v>
      </c>
      <c r="E1103" t="n">
        <v>3</v>
      </c>
      <c r="F1103" t="n">
        <v>1</v>
      </c>
      <c r="G1103" t="inlineStr">
        <is>
          <t>10:10</t>
        </is>
      </c>
      <c r="H1103" t="inlineStr">
        <is>
          <t>10:55</t>
        </is>
      </c>
      <c r="I1103" t="inlineStr">
        <is>
          <t>AREAS_MULTIPLES</t>
        </is>
      </c>
      <c r="J1103" t="inlineStr">
        <is>
          <t>0202</t>
        </is>
      </c>
      <c r="K1103" t="inlineStr">
        <is>
          <t>ÁREAS MÚLTIPLES</t>
        </is>
      </c>
      <c r="L1103" t="inlineStr"/>
      <c r="M1103" t="inlineStr"/>
      <c r="N1103" t="inlineStr"/>
      <c r="O1103" t="inlineStr">
        <is>
          <t>Maestro de aula: todas las áreas con su grupo</t>
        </is>
      </c>
      <c r="P1103" t="inlineStr"/>
      <c r="Q1103">
        <f>IF(I1103="ENFASIS","ÉNFASIS "&amp;M1103,IFERROR(VLOOKUP(J1103,Grupos!$A$2:$D$100,4,FALSE),J1103))</f>
        <v/>
      </c>
      <c r="R1103">
        <f>O1103&amp;IF(N1103&lt;&gt;"",IF(O1103&lt;&gt;""," · ","")&amp;"Con: "&amp;N1103,"")</f>
        <v/>
      </c>
      <c r="S1103">
        <f>C1103&amp;"|"&amp;D1103</f>
        <v/>
      </c>
      <c r="T1103">
        <f>COUNTIF($S$2:S1103,S1103)</f>
        <v/>
      </c>
      <c r="U1103">
        <f>S1103&amp;"|"&amp;T1103</f>
        <v/>
      </c>
      <c r="V1103">
        <f>IFERROR(VLOOKUP(IF(I1103="ENFASIS",LEFT(M1103,FIND("+",M1103&amp;"+")-1),J1103),Direccion_Grupo!$A$2:$G$100,7,FALSE),"")</f>
        <v/>
      </c>
    </row>
    <row r="1104">
      <c r="A1104" t="n">
        <v>46</v>
      </c>
      <c r="B1104" t="inlineStr">
        <is>
          <t>Tenorio Cuero Lucy Bivian</t>
        </is>
      </c>
      <c r="C1104" t="inlineStr">
        <is>
          <t>JUEVES</t>
        </is>
      </c>
      <c r="D1104" t="n">
        <v>5</v>
      </c>
      <c r="E1104" t="n">
        <v>3</v>
      </c>
      <c r="F1104" t="n">
        <v>1</v>
      </c>
      <c r="G1104" t="inlineStr">
        <is>
          <t>10:10</t>
        </is>
      </c>
      <c r="H1104" t="inlineStr">
        <is>
          <t>10:55</t>
        </is>
      </c>
      <c r="I1104" t="inlineStr">
        <is>
          <t>AREAS_MULTIPLES</t>
        </is>
      </c>
      <c r="J1104" t="inlineStr">
        <is>
          <t>0203</t>
        </is>
      </c>
      <c r="K1104" t="inlineStr">
        <is>
          <t>ÁREAS MÚLTIPLES</t>
        </is>
      </c>
      <c r="L1104" t="inlineStr"/>
      <c r="M1104" t="inlineStr"/>
      <c r="N1104" t="inlineStr"/>
      <c r="O1104" t="inlineStr">
        <is>
          <t>Maestro de aula: todas las áreas con su grupo</t>
        </is>
      </c>
      <c r="P1104" t="inlineStr"/>
      <c r="Q1104">
        <f>IF(I1104="ENFASIS","ÉNFASIS "&amp;M1104,IFERROR(VLOOKUP(J1104,Grupos!$A$2:$D$100,4,FALSE),J1104))</f>
        <v/>
      </c>
      <c r="R1104">
        <f>O1104&amp;IF(N1104&lt;&gt;"",IF(O1104&lt;&gt;""," · ","")&amp;"Con: "&amp;N1104,"")</f>
        <v/>
      </c>
      <c r="S1104">
        <f>C1104&amp;"|"&amp;D1104</f>
        <v/>
      </c>
      <c r="T1104">
        <f>COUNTIF($S$2:S1104,S1104)</f>
        <v/>
      </c>
      <c r="U1104">
        <f>S1104&amp;"|"&amp;T1104</f>
        <v/>
      </c>
      <c r="V1104">
        <f>IFERROR(VLOOKUP(IF(I1104="ENFASIS",LEFT(M1104,FIND("+",M1104&amp;"+")-1),J1104),Direccion_Grupo!$A$2:$G$100,7,FALSE),"")</f>
        <v/>
      </c>
    </row>
    <row r="1105">
      <c r="A1105" t="n">
        <v>48</v>
      </c>
      <c r="B1105" t="inlineStr">
        <is>
          <t>Torres Segura Encarnación</t>
        </is>
      </c>
      <c r="C1105" t="inlineStr">
        <is>
          <t>JUEVES</t>
        </is>
      </c>
      <c r="D1105" t="n">
        <v>5</v>
      </c>
      <c r="E1105" t="n">
        <v>3</v>
      </c>
      <c r="F1105" t="n">
        <v>1</v>
      </c>
      <c r="G1105" t="inlineStr">
        <is>
          <t>10:10</t>
        </is>
      </c>
      <c r="H1105" t="inlineStr">
        <is>
          <t>10:55</t>
        </is>
      </c>
      <c r="I1105" t="inlineStr">
        <is>
          <t>AREAS_MULTIPLES</t>
        </is>
      </c>
      <c r="J1105" t="inlineStr">
        <is>
          <t>0301</t>
        </is>
      </c>
      <c r="K1105" t="inlineStr">
        <is>
          <t>ÁREAS MÚLTIPLES</t>
        </is>
      </c>
      <c r="L1105" t="inlineStr"/>
      <c r="M1105" t="inlineStr"/>
      <c r="N1105" t="inlineStr"/>
      <c r="O1105" t="inlineStr">
        <is>
          <t>Maestro de aula: todas las áreas con su grupo</t>
        </is>
      </c>
      <c r="P1105" t="inlineStr"/>
      <c r="Q1105">
        <f>IF(I1105="ENFASIS","ÉNFASIS "&amp;M1105,IFERROR(VLOOKUP(J1105,Grupos!$A$2:$D$100,4,FALSE),J1105))</f>
        <v/>
      </c>
      <c r="R1105">
        <f>O1105&amp;IF(N1105&lt;&gt;"",IF(O1105&lt;&gt;""," · ","")&amp;"Con: "&amp;N1105,"")</f>
        <v/>
      </c>
      <c r="S1105">
        <f>C1105&amp;"|"&amp;D1105</f>
        <v/>
      </c>
      <c r="T1105">
        <f>COUNTIF($S$2:S1105,S1105)</f>
        <v/>
      </c>
      <c r="U1105">
        <f>S1105&amp;"|"&amp;T1105</f>
        <v/>
      </c>
      <c r="V1105">
        <f>IFERROR(VLOOKUP(IF(I1105="ENFASIS",LEFT(M1105,FIND("+",M1105&amp;"+")-1),J1105),Direccion_Grupo!$A$2:$G$100,7,FALSE),"")</f>
        <v/>
      </c>
    </row>
    <row r="1106">
      <c r="A1106" t="n">
        <v>24</v>
      </c>
      <c r="B1106" t="inlineStr">
        <is>
          <t>Landázuri Gallón Teresa</t>
        </is>
      </c>
      <c r="C1106" t="inlineStr">
        <is>
          <t>JUEVES</t>
        </is>
      </c>
      <c r="D1106" t="n">
        <v>5</v>
      </c>
      <c r="E1106" t="n">
        <v>3</v>
      </c>
      <c r="F1106" t="n">
        <v>1</v>
      </c>
      <c r="G1106" t="inlineStr">
        <is>
          <t>10:10</t>
        </is>
      </c>
      <c r="H1106" t="inlineStr">
        <is>
          <t>10:55</t>
        </is>
      </c>
      <c r="I1106" t="inlineStr">
        <is>
          <t>AREAS_MULTIPLES</t>
        </is>
      </c>
      <c r="J1106" t="inlineStr">
        <is>
          <t>0302</t>
        </is>
      </c>
      <c r="K1106" t="inlineStr">
        <is>
          <t>ÁREAS MÚLTIPLES</t>
        </is>
      </c>
      <c r="L1106" t="inlineStr"/>
      <c r="M1106" t="inlineStr"/>
      <c r="N1106" t="inlineStr"/>
      <c r="O1106" t="inlineStr">
        <is>
          <t>Maestro de aula: todas las áreas con su grupo</t>
        </is>
      </c>
      <c r="P1106" t="inlineStr"/>
      <c r="Q1106">
        <f>IF(I1106="ENFASIS","ÉNFASIS "&amp;M1106,IFERROR(VLOOKUP(J1106,Grupos!$A$2:$D$100,4,FALSE),J1106))</f>
        <v/>
      </c>
      <c r="R1106">
        <f>O1106&amp;IF(N1106&lt;&gt;"",IF(O1106&lt;&gt;""," · ","")&amp;"Con: "&amp;N1106,"")</f>
        <v/>
      </c>
      <c r="S1106">
        <f>C1106&amp;"|"&amp;D1106</f>
        <v/>
      </c>
      <c r="T1106">
        <f>COUNTIF($S$2:S1106,S1106)</f>
        <v/>
      </c>
      <c r="U1106">
        <f>S1106&amp;"|"&amp;T1106</f>
        <v/>
      </c>
      <c r="V1106">
        <f>IFERROR(VLOOKUP(IF(I1106="ENFASIS",LEFT(M1106,FIND("+",M1106&amp;"+")-1),J1106),Direccion_Grupo!$A$2:$G$100,7,FALSE),"")</f>
        <v/>
      </c>
    </row>
    <row r="1107">
      <c r="A1107" t="n">
        <v>55</v>
      </c>
      <c r="B1107" t="inlineStr">
        <is>
          <t>Zamora Ordóñez Celia Pastora</t>
        </is>
      </c>
      <c r="C1107" t="inlineStr">
        <is>
          <t>JUEVES</t>
        </is>
      </c>
      <c r="D1107" t="n">
        <v>5</v>
      </c>
      <c r="E1107" t="n">
        <v>3</v>
      </c>
      <c r="F1107" t="n">
        <v>1</v>
      </c>
      <c r="G1107" t="inlineStr">
        <is>
          <t>10:10</t>
        </is>
      </c>
      <c r="H1107" t="inlineStr">
        <is>
          <t>10:55</t>
        </is>
      </c>
      <c r="I1107" t="inlineStr">
        <is>
          <t>AREAS_MULTIPLES</t>
        </is>
      </c>
      <c r="J1107" t="inlineStr">
        <is>
          <t>0401</t>
        </is>
      </c>
      <c r="K1107" t="inlineStr">
        <is>
          <t>ÁREAS MÚLTIPLES</t>
        </is>
      </c>
      <c r="L1107" t="inlineStr"/>
      <c r="M1107" t="inlineStr"/>
      <c r="N1107" t="inlineStr"/>
      <c r="O1107" t="inlineStr">
        <is>
          <t>Maestro de aula: todas las áreas con su grupo</t>
        </is>
      </c>
      <c r="P1107" t="inlineStr"/>
      <c r="Q1107">
        <f>IF(I1107="ENFASIS","ÉNFASIS "&amp;M1107,IFERROR(VLOOKUP(J1107,Grupos!$A$2:$D$100,4,FALSE),J1107))</f>
        <v/>
      </c>
      <c r="R1107">
        <f>O1107&amp;IF(N1107&lt;&gt;"",IF(O1107&lt;&gt;""," · ","")&amp;"Con: "&amp;N1107,"")</f>
        <v/>
      </c>
      <c r="S1107">
        <f>C1107&amp;"|"&amp;D1107</f>
        <v/>
      </c>
      <c r="T1107">
        <f>COUNTIF($S$2:S1107,S1107)</f>
        <v/>
      </c>
      <c r="U1107">
        <f>S1107&amp;"|"&amp;T1107</f>
        <v/>
      </c>
      <c r="V1107">
        <f>IFERROR(VLOOKUP(IF(I1107="ENFASIS",LEFT(M1107,FIND("+",M1107&amp;"+")-1),J1107),Direccion_Grupo!$A$2:$G$100,7,FALSE),"")</f>
        <v/>
      </c>
    </row>
    <row r="1108">
      <c r="A1108" t="n">
        <v>33</v>
      </c>
      <c r="B1108" t="inlineStr">
        <is>
          <t>Núñez Perlaza Elcy</t>
        </is>
      </c>
      <c r="C1108" t="inlineStr">
        <is>
          <t>JUEVES</t>
        </is>
      </c>
      <c r="D1108" t="n">
        <v>5</v>
      </c>
      <c r="E1108" t="n">
        <v>3</v>
      </c>
      <c r="F1108" t="n">
        <v>1</v>
      </c>
      <c r="G1108" t="inlineStr">
        <is>
          <t>10:10</t>
        </is>
      </c>
      <c r="H1108" t="inlineStr">
        <is>
          <t>10:55</t>
        </is>
      </c>
      <c r="I1108" t="inlineStr">
        <is>
          <t>AREAS_MULTIPLES</t>
        </is>
      </c>
      <c r="J1108" t="inlineStr">
        <is>
          <t>0402</t>
        </is>
      </c>
      <c r="K1108" t="inlineStr">
        <is>
          <t>ÁREAS MÚLTIPLES</t>
        </is>
      </c>
      <c r="L1108" t="inlineStr"/>
      <c r="M1108" t="inlineStr"/>
      <c r="N1108" t="inlineStr"/>
      <c r="O1108" t="inlineStr">
        <is>
          <t>Maestro de aula: todas las áreas con su grupo</t>
        </is>
      </c>
      <c r="P1108" t="inlineStr"/>
      <c r="Q1108">
        <f>IF(I1108="ENFASIS","ÉNFASIS "&amp;M1108,IFERROR(VLOOKUP(J1108,Grupos!$A$2:$D$100,4,FALSE),J1108))</f>
        <v/>
      </c>
      <c r="R1108">
        <f>O1108&amp;IF(N1108&lt;&gt;"",IF(O1108&lt;&gt;""," · ","")&amp;"Con: "&amp;N1108,"")</f>
        <v/>
      </c>
      <c r="S1108">
        <f>C1108&amp;"|"&amp;D1108</f>
        <v/>
      </c>
      <c r="T1108">
        <f>COUNTIF($S$2:S1108,S1108)</f>
        <v/>
      </c>
      <c r="U1108">
        <f>S1108&amp;"|"&amp;T1108</f>
        <v/>
      </c>
      <c r="V1108">
        <f>IFERROR(VLOOKUP(IF(I1108="ENFASIS",LEFT(M1108,FIND("+",M1108&amp;"+")-1),J1108),Direccion_Grupo!$A$2:$G$100,7,FALSE),"")</f>
        <v/>
      </c>
    </row>
    <row r="1109">
      <c r="A1109" t="n">
        <v>14</v>
      </c>
      <c r="B1109" t="inlineStr">
        <is>
          <t>Cuéllar Gallo Nemesia</t>
        </is>
      </c>
      <c r="C1109" t="inlineStr">
        <is>
          <t>JUEVES</t>
        </is>
      </c>
      <c r="D1109" t="n">
        <v>5</v>
      </c>
      <c r="E1109" t="n">
        <v>3</v>
      </c>
      <c r="F1109" t="n">
        <v>1</v>
      </c>
      <c r="G1109" t="inlineStr">
        <is>
          <t>10:10</t>
        </is>
      </c>
      <c r="H1109" t="inlineStr">
        <is>
          <t>10:55</t>
        </is>
      </c>
      <c r="I1109" t="inlineStr">
        <is>
          <t>AREAS_MULTIPLES</t>
        </is>
      </c>
      <c r="J1109" t="inlineStr">
        <is>
          <t>0501</t>
        </is>
      </c>
      <c r="K1109" t="inlineStr">
        <is>
          <t>ÁREAS MÚLTIPLES</t>
        </is>
      </c>
      <c r="L1109" t="inlineStr"/>
      <c r="M1109" t="inlineStr"/>
      <c r="N1109" t="inlineStr"/>
      <c r="O1109" t="inlineStr">
        <is>
          <t>Maestro de aula: todas las áreas con su grupo</t>
        </is>
      </c>
      <c r="P1109" t="inlineStr"/>
      <c r="Q1109">
        <f>IF(I1109="ENFASIS","ÉNFASIS "&amp;M1109,IFERROR(VLOOKUP(J1109,Grupos!$A$2:$D$100,4,FALSE),J1109))</f>
        <v/>
      </c>
      <c r="R1109">
        <f>O1109&amp;IF(N1109&lt;&gt;"",IF(O1109&lt;&gt;""," · ","")&amp;"Con: "&amp;N1109,"")</f>
        <v/>
      </c>
      <c r="S1109">
        <f>C1109&amp;"|"&amp;D1109</f>
        <v/>
      </c>
      <c r="T1109">
        <f>COUNTIF($S$2:S1109,S1109)</f>
        <v/>
      </c>
      <c r="U1109">
        <f>S1109&amp;"|"&amp;T1109</f>
        <v/>
      </c>
      <c r="V1109">
        <f>IFERROR(VLOOKUP(IF(I1109="ENFASIS",LEFT(M1109,FIND("+",M1109&amp;"+")-1),J1109),Direccion_Grupo!$A$2:$G$100,7,FALSE),"")</f>
        <v/>
      </c>
    </row>
    <row r="1110">
      <c r="A1110" t="n">
        <v>11</v>
      </c>
      <c r="B1110" t="inlineStr">
        <is>
          <t>Centeno Zúñiga Claudia Patricia</t>
        </is>
      </c>
      <c r="C1110" t="inlineStr">
        <is>
          <t>JUEVES</t>
        </is>
      </c>
      <c r="D1110" t="n">
        <v>5</v>
      </c>
      <c r="E1110" t="n">
        <v>3</v>
      </c>
      <c r="F1110" t="n">
        <v>1</v>
      </c>
      <c r="G1110" t="inlineStr">
        <is>
          <t>10:10</t>
        </is>
      </c>
      <c r="H1110" t="inlineStr">
        <is>
          <t>10:55</t>
        </is>
      </c>
      <c r="I1110" t="inlineStr">
        <is>
          <t>AREAS_MULTIPLES</t>
        </is>
      </c>
      <c r="J1110" t="inlineStr">
        <is>
          <t>0502</t>
        </is>
      </c>
      <c r="K1110" t="inlineStr">
        <is>
          <t>ÁREAS MÚLTIPLES</t>
        </is>
      </c>
      <c r="L1110" t="inlineStr"/>
      <c r="M1110" t="inlineStr"/>
      <c r="N1110" t="inlineStr"/>
      <c r="O1110" t="inlineStr">
        <is>
          <t>Maestro de aula: todas las áreas con su grupo</t>
        </is>
      </c>
      <c r="P1110" t="inlineStr"/>
      <c r="Q1110">
        <f>IF(I1110="ENFASIS","ÉNFASIS "&amp;M1110,IFERROR(VLOOKUP(J1110,Grupos!$A$2:$D$100,4,FALSE),J1110))</f>
        <v/>
      </c>
      <c r="R1110">
        <f>O1110&amp;IF(N1110&lt;&gt;"",IF(O1110&lt;&gt;""," · ","")&amp;"Con: "&amp;N1110,"")</f>
        <v/>
      </c>
      <c r="S1110">
        <f>C1110&amp;"|"&amp;D1110</f>
        <v/>
      </c>
      <c r="T1110">
        <f>COUNTIF($S$2:S1110,S1110)</f>
        <v/>
      </c>
      <c r="U1110">
        <f>S1110&amp;"|"&amp;T1110</f>
        <v/>
      </c>
      <c r="V1110">
        <f>IFERROR(VLOOKUP(IF(I1110="ENFASIS",LEFT(M1110,FIND("+",M1110&amp;"+")-1),J1110),Direccion_Grupo!$A$2:$G$100,7,FALSE),"")</f>
        <v/>
      </c>
    </row>
    <row r="1111">
      <c r="A1111" t="n">
        <v>32</v>
      </c>
      <c r="B1111" t="inlineStr">
        <is>
          <t>Narváez Sánchez Dora Alejandra</t>
        </is>
      </c>
      <c r="C1111" t="inlineStr">
        <is>
          <t>JUEVES</t>
        </is>
      </c>
      <c r="D1111" t="n">
        <v>5</v>
      </c>
      <c r="E1111" t="n">
        <v>3</v>
      </c>
      <c r="F1111" t="n">
        <v>1</v>
      </c>
      <c r="G1111" t="inlineStr">
        <is>
          <t>10:10</t>
        </is>
      </c>
      <c r="H1111" t="inlineStr">
        <is>
          <t>10:55</t>
        </is>
      </c>
      <c r="I1111" t="inlineStr">
        <is>
          <t>AREAS_MULTIPLES</t>
        </is>
      </c>
      <c r="J1111" t="inlineStr">
        <is>
          <t>0503</t>
        </is>
      </c>
      <c r="K1111" t="inlineStr">
        <is>
          <t>ÁREAS MÚLTIPLES</t>
        </is>
      </c>
      <c r="L1111" t="inlineStr"/>
      <c r="M1111" t="inlineStr"/>
      <c r="N1111" t="inlineStr"/>
      <c r="O1111" t="inlineStr">
        <is>
          <t>Maestro de aula: todas las áreas con su grupo</t>
        </is>
      </c>
      <c r="P1111" t="inlineStr"/>
      <c r="Q1111">
        <f>IF(I1111="ENFASIS","ÉNFASIS "&amp;M1111,IFERROR(VLOOKUP(J1111,Grupos!$A$2:$D$100,4,FALSE),J1111))</f>
        <v/>
      </c>
      <c r="R1111">
        <f>O1111&amp;IF(N1111&lt;&gt;"",IF(O1111&lt;&gt;""," · ","")&amp;"Con: "&amp;N1111,"")</f>
        <v/>
      </c>
      <c r="S1111">
        <f>C1111&amp;"|"&amp;D1111</f>
        <v/>
      </c>
      <c r="T1111">
        <f>COUNTIF($S$2:S1111,S1111)</f>
        <v/>
      </c>
      <c r="U1111">
        <f>S1111&amp;"|"&amp;T1111</f>
        <v/>
      </c>
      <c r="V1111">
        <f>IFERROR(VLOOKUP(IF(I1111="ENFASIS",LEFT(M1111,FIND("+",M1111&amp;"+")-1),J1111),Direccion_Grupo!$A$2:$G$100,7,FALSE),"")</f>
        <v/>
      </c>
    </row>
    <row r="1112">
      <c r="A1112" t="n">
        <v>17</v>
      </c>
      <c r="B1112" t="inlineStr">
        <is>
          <t>Escobar Cortés Liliana</t>
        </is>
      </c>
      <c r="C1112" t="inlineStr">
        <is>
          <t>JUEVES</t>
        </is>
      </c>
      <c r="D1112" t="n">
        <v>5</v>
      </c>
      <c r="E1112" t="n">
        <v>3</v>
      </c>
      <c r="F1112" t="n">
        <v>1</v>
      </c>
      <c r="G1112" t="inlineStr">
        <is>
          <t>10:10</t>
        </is>
      </c>
      <c r="H1112" t="inlineStr">
        <is>
          <t>10:55</t>
        </is>
      </c>
      <c r="I1112" t="inlineStr">
        <is>
          <t>AREAS_MULTIPLES</t>
        </is>
      </c>
      <c r="J1112" t="inlineStr">
        <is>
          <t>0504</t>
        </is>
      </c>
      <c r="K1112" t="inlineStr">
        <is>
          <t>ÁREAS MÚLTIPLES</t>
        </is>
      </c>
      <c r="L1112" t="inlineStr"/>
      <c r="M1112" t="inlineStr"/>
      <c r="N1112" t="inlineStr"/>
      <c r="O1112" t="inlineStr">
        <is>
          <t>Maestro de aula: todas las áreas con su grupo</t>
        </is>
      </c>
      <c r="P1112" t="inlineStr"/>
      <c r="Q1112">
        <f>IF(I1112="ENFASIS","ÉNFASIS "&amp;M1112,IFERROR(VLOOKUP(J1112,Grupos!$A$2:$D$100,4,FALSE),J1112))</f>
        <v/>
      </c>
      <c r="R1112">
        <f>O1112&amp;IF(N1112&lt;&gt;"",IF(O1112&lt;&gt;""," · ","")&amp;"Con: "&amp;N1112,"")</f>
        <v/>
      </c>
      <c r="S1112">
        <f>C1112&amp;"|"&amp;D1112</f>
        <v/>
      </c>
      <c r="T1112">
        <f>COUNTIF($S$2:S1112,S1112)</f>
        <v/>
      </c>
      <c r="U1112">
        <f>S1112&amp;"|"&amp;T1112</f>
        <v/>
      </c>
      <c r="V1112">
        <f>IFERROR(VLOOKUP(IF(I1112="ENFASIS",LEFT(M1112,FIND("+",M1112&amp;"+")-1),J1112),Direccion_Grupo!$A$2:$G$100,7,FALSE),"")</f>
        <v/>
      </c>
    </row>
    <row r="1113">
      <c r="A1113" t="n">
        <v>20</v>
      </c>
      <c r="B1113" t="inlineStr">
        <is>
          <t>García Gobea Saydi Magali</t>
        </is>
      </c>
      <c r="C1113" t="inlineStr">
        <is>
          <t>JUEVES</t>
        </is>
      </c>
      <c r="D1113" t="n">
        <v>5</v>
      </c>
      <c r="E1113" t="n">
        <v>3</v>
      </c>
      <c r="F1113" t="n">
        <v>1</v>
      </c>
      <c r="G1113" t="inlineStr">
        <is>
          <t>10:10</t>
        </is>
      </c>
      <c r="H1113" t="inlineStr">
        <is>
          <t>10:55</t>
        </is>
      </c>
      <c r="I1113" t="inlineStr">
        <is>
          <t>CLASE</t>
        </is>
      </c>
      <c r="J1113" t="inlineStr">
        <is>
          <t>0601</t>
        </is>
      </c>
      <c r="K1113" t="inlineStr">
        <is>
          <t>CSI</t>
        </is>
      </c>
      <c r="L1113" t="inlineStr"/>
      <c r="M1113" t="inlineStr"/>
      <c r="N1113" t="inlineStr"/>
      <c r="O1113" t="inlineStr">
        <is>
          <t>Sociales / Inglés (alternan cada semana)</t>
        </is>
      </c>
      <c r="P1113" t="inlineStr">
        <is>
          <t>0601-CSI</t>
        </is>
      </c>
      <c r="Q1113">
        <f>IF(I1113="ENFASIS","ÉNFASIS "&amp;M1113,IFERROR(VLOOKUP(J1113,Grupos!$A$2:$D$100,4,FALSE),J1113))</f>
        <v/>
      </c>
      <c r="R1113">
        <f>O1113&amp;IF(N1113&lt;&gt;"",IF(O1113&lt;&gt;""," · ","")&amp;"Con: "&amp;N1113,"")</f>
        <v/>
      </c>
      <c r="S1113">
        <f>C1113&amp;"|"&amp;D1113</f>
        <v/>
      </c>
      <c r="T1113">
        <f>COUNTIF($S$2:S1113,S1113)</f>
        <v/>
      </c>
      <c r="U1113">
        <f>S1113&amp;"|"&amp;T1113</f>
        <v/>
      </c>
      <c r="V1113">
        <f>IFERROR(VLOOKUP(IF(I1113="ENFASIS",LEFT(M1113,FIND("+",M1113&amp;"+")-1),J1113),Direccion_Grupo!$A$2:$G$100,7,FALSE),"")</f>
        <v/>
      </c>
    </row>
    <row r="1114">
      <c r="A1114" t="n">
        <v>42</v>
      </c>
      <c r="B1114" t="inlineStr">
        <is>
          <t>Quiñones Cabezas Marcos Vidal</t>
        </is>
      </c>
      <c r="C1114" t="inlineStr">
        <is>
          <t>JUEVES</t>
        </is>
      </c>
      <c r="D1114" t="n">
        <v>5</v>
      </c>
      <c r="E1114" t="n">
        <v>3</v>
      </c>
      <c r="F1114" t="n">
        <v>1</v>
      </c>
      <c r="G1114" t="inlineStr">
        <is>
          <t>10:10</t>
        </is>
      </c>
      <c r="H1114" t="inlineStr">
        <is>
          <t>10:55</t>
        </is>
      </c>
      <c r="I1114" t="inlineStr">
        <is>
          <t>CLASE</t>
        </is>
      </c>
      <c r="J1114" t="inlineStr">
        <is>
          <t>0602</t>
        </is>
      </c>
      <c r="K1114" t="inlineStr">
        <is>
          <t>MAT</t>
        </is>
      </c>
      <c r="L1114" t="inlineStr"/>
      <c r="M1114" t="inlineStr"/>
      <c r="N1114" t="inlineStr"/>
      <c r="O1114" t="inlineStr"/>
      <c r="P1114" t="inlineStr">
        <is>
          <t>0602-MAT</t>
        </is>
      </c>
      <c r="Q1114">
        <f>IF(I1114="ENFASIS","ÉNFASIS "&amp;M1114,IFERROR(VLOOKUP(J1114,Grupos!$A$2:$D$100,4,FALSE),J1114))</f>
        <v/>
      </c>
      <c r="R1114">
        <f>O1114&amp;IF(N1114&lt;&gt;"",IF(O1114&lt;&gt;""," · ","")&amp;"Con: "&amp;N1114,"")</f>
        <v/>
      </c>
      <c r="S1114">
        <f>C1114&amp;"|"&amp;D1114</f>
        <v/>
      </c>
      <c r="T1114">
        <f>COUNTIF($S$2:S1114,S1114)</f>
        <v/>
      </c>
      <c r="U1114">
        <f>S1114&amp;"|"&amp;T1114</f>
        <v/>
      </c>
      <c r="V1114">
        <f>IFERROR(VLOOKUP(IF(I1114="ENFASIS",LEFT(M1114,FIND("+",M1114&amp;"+")-1),J1114),Direccion_Grupo!$A$2:$G$100,7,FALSE),"")</f>
        <v/>
      </c>
    </row>
    <row r="1115">
      <c r="A1115" t="n">
        <v>1</v>
      </c>
      <c r="B1115" t="inlineStr">
        <is>
          <t>Aguirre Riascos Jorge Andrés</t>
        </is>
      </c>
      <c r="C1115" t="inlineStr">
        <is>
          <t>JUEVES</t>
        </is>
      </c>
      <c r="D1115" t="n">
        <v>5</v>
      </c>
      <c r="E1115" t="n">
        <v>3</v>
      </c>
      <c r="F1115" t="n">
        <v>1</v>
      </c>
      <c r="G1115" t="inlineStr">
        <is>
          <t>10:10</t>
        </is>
      </c>
      <c r="H1115" t="inlineStr">
        <is>
          <t>10:55</t>
        </is>
      </c>
      <c r="I1115" t="inlineStr">
        <is>
          <t>CLASE</t>
        </is>
      </c>
      <c r="J1115" t="inlineStr">
        <is>
          <t>0701</t>
        </is>
      </c>
      <c r="K1115" t="inlineStr">
        <is>
          <t>TEI</t>
        </is>
      </c>
      <c r="L1115" t="inlineStr"/>
      <c r="M1115" t="inlineStr"/>
      <c r="N1115" t="inlineStr"/>
      <c r="O1115" t="inlineStr"/>
      <c r="P1115" t="inlineStr">
        <is>
          <t>0701-TEI</t>
        </is>
      </c>
      <c r="Q1115">
        <f>IF(I1115="ENFASIS","ÉNFASIS "&amp;M1115,IFERROR(VLOOKUP(J1115,Grupos!$A$2:$D$100,4,FALSE),J1115))</f>
        <v/>
      </c>
      <c r="R1115">
        <f>O1115&amp;IF(N1115&lt;&gt;"",IF(O1115&lt;&gt;""," · ","")&amp;"Con: "&amp;N1115,"")</f>
        <v/>
      </c>
      <c r="S1115">
        <f>C1115&amp;"|"&amp;D1115</f>
        <v/>
      </c>
      <c r="T1115">
        <f>COUNTIF($S$2:S1115,S1115)</f>
        <v/>
      </c>
      <c r="U1115">
        <f>S1115&amp;"|"&amp;T1115</f>
        <v/>
      </c>
      <c r="V1115">
        <f>IFERROR(VLOOKUP(IF(I1115="ENFASIS",LEFT(M1115,FIND("+",M1115&amp;"+")-1),J1115),Direccion_Grupo!$A$2:$G$100,7,FALSE),"")</f>
        <v/>
      </c>
    </row>
    <row r="1116">
      <c r="A1116" t="n">
        <v>4</v>
      </c>
      <c r="B1116" t="inlineStr">
        <is>
          <t>Arizala Castro Roberto Carlos</t>
        </is>
      </c>
      <c r="C1116" t="inlineStr">
        <is>
          <t>JUEVES</t>
        </is>
      </c>
      <c r="D1116" t="n">
        <v>5</v>
      </c>
      <c r="E1116" t="n">
        <v>3</v>
      </c>
      <c r="F1116" t="n">
        <v>1</v>
      </c>
      <c r="G1116" t="inlineStr">
        <is>
          <t>10:10</t>
        </is>
      </c>
      <c r="H1116" t="inlineStr">
        <is>
          <t>10:55</t>
        </is>
      </c>
      <c r="I1116" t="inlineStr">
        <is>
          <t>CLASE</t>
        </is>
      </c>
      <c r="J1116" t="inlineStr">
        <is>
          <t>0702</t>
        </is>
      </c>
      <c r="K1116" t="inlineStr">
        <is>
          <t>ERD</t>
        </is>
      </c>
      <c r="L1116" t="inlineStr"/>
      <c r="M1116" t="inlineStr"/>
      <c r="N1116" t="inlineStr"/>
      <c r="O1116" t="inlineStr"/>
      <c r="P1116" t="inlineStr">
        <is>
          <t>0702-ERD</t>
        </is>
      </c>
      <c r="Q1116">
        <f>IF(I1116="ENFASIS","ÉNFASIS "&amp;M1116,IFERROR(VLOOKUP(J1116,Grupos!$A$2:$D$100,4,FALSE),J1116))</f>
        <v/>
      </c>
      <c r="R1116">
        <f>O1116&amp;IF(N1116&lt;&gt;"",IF(O1116&lt;&gt;""," · ","")&amp;"Con: "&amp;N1116,"")</f>
        <v/>
      </c>
      <c r="S1116">
        <f>C1116&amp;"|"&amp;D1116</f>
        <v/>
      </c>
      <c r="T1116">
        <f>COUNTIF($S$2:S1116,S1116)</f>
        <v/>
      </c>
      <c r="U1116">
        <f>S1116&amp;"|"&amp;T1116</f>
        <v/>
      </c>
      <c r="V1116">
        <f>IFERROR(VLOOKUP(IF(I1116="ENFASIS",LEFT(M1116,FIND("+",M1116&amp;"+")-1),J1116),Direccion_Grupo!$A$2:$G$100,7,FALSE),"")</f>
        <v/>
      </c>
    </row>
    <row r="1117">
      <c r="A1117" t="n">
        <v>10</v>
      </c>
      <c r="B1117" t="inlineStr">
        <is>
          <t>Castillo Cuero Daira Eneida</t>
        </is>
      </c>
      <c r="C1117" t="inlineStr">
        <is>
          <t>JUEVES</t>
        </is>
      </c>
      <c r="D1117" t="n">
        <v>5</v>
      </c>
      <c r="E1117" t="n">
        <v>3</v>
      </c>
      <c r="F1117" t="n">
        <v>1</v>
      </c>
      <c r="G1117" t="inlineStr">
        <is>
          <t>10:10</t>
        </is>
      </c>
      <c r="H1117" t="inlineStr">
        <is>
          <t>10:55</t>
        </is>
      </c>
      <c r="I1117" t="inlineStr">
        <is>
          <t>CLASE</t>
        </is>
      </c>
      <c r="J1117" t="inlineStr">
        <is>
          <t>0703</t>
        </is>
      </c>
      <c r="K1117" t="inlineStr">
        <is>
          <t>CAS</t>
        </is>
      </c>
      <c r="L1117" t="inlineStr"/>
      <c r="M1117" t="inlineStr"/>
      <c r="N1117" t="inlineStr"/>
      <c r="O1117" t="inlineStr"/>
      <c r="P1117" t="inlineStr">
        <is>
          <t>0703-CAS</t>
        </is>
      </c>
      <c r="Q1117">
        <f>IF(I1117="ENFASIS","ÉNFASIS "&amp;M1117,IFERROR(VLOOKUP(J1117,Grupos!$A$2:$D$100,4,FALSE),J1117))</f>
        <v/>
      </c>
      <c r="R1117">
        <f>O1117&amp;IF(N1117&lt;&gt;"",IF(O1117&lt;&gt;""," · ","")&amp;"Con: "&amp;N1117,"")</f>
        <v/>
      </c>
      <c r="S1117">
        <f>C1117&amp;"|"&amp;D1117</f>
        <v/>
      </c>
      <c r="T1117">
        <f>COUNTIF($S$2:S1117,S1117)</f>
        <v/>
      </c>
      <c r="U1117">
        <f>S1117&amp;"|"&amp;T1117</f>
        <v/>
      </c>
      <c r="V1117">
        <f>IFERROR(VLOOKUP(IF(I1117="ENFASIS",LEFT(M1117,FIND("+",M1117&amp;"+")-1),J1117),Direccion_Grupo!$A$2:$G$100,7,FALSE),"")</f>
        <v/>
      </c>
    </row>
    <row r="1118">
      <c r="A1118" t="n">
        <v>9</v>
      </c>
      <c r="B1118" t="inlineStr">
        <is>
          <t>Castillo Angulo Martha Cecilia</t>
        </is>
      </c>
      <c r="C1118" t="inlineStr">
        <is>
          <t>JUEVES</t>
        </is>
      </c>
      <c r="D1118" t="n">
        <v>5</v>
      </c>
      <c r="E1118" t="n">
        <v>3</v>
      </c>
      <c r="F1118" t="n">
        <v>1</v>
      </c>
      <c r="G1118" t="inlineStr">
        <is>
          <t>10:10</t>
        </is>
      </c>
      <c r="H1118" t="inlineStr">
        <is>
          <t>10:55</t>
        </is>
      </c>
      <c r="I1118" t="inlineStr">
        <is>
          <t>CLASE</t>
        </is>
      </c>
      <c r="J1118" t="inlineStr">
        <is>
          <t>0802</t>
        </is>
      </c>
      <c r="K1118" t="inlineStr">
        <is>
          <t>ETR</t>
        </is>
      </c>
      <c r="L1118" t="inlineStr"/>
      <c r="M1118" t="inlineStr"/>
      <c r="N1118" t="inlineStr"/>
      <c r="O1118" t="inlineStr">
        <is>
          <t>Ética / Religión (alternan cada semana)</t>
        </is>
      </c>
      <c r="P1118" t="inlineStr">
        <is>
          <t>0802-ETR</t>
        </is>
      </c>
      <c r="Q1118">
        <f>IF(I1118="ENFASIS","ÉNFASIS "&amp;M1118,IFERROR(VLOOKUP(J1118,Grupos!$A$2:$D$100,4,FALSE),J1118))</f>
        <v/>
      </c>
      <c r="R1118">
        <f>O1118&amp;IF(N1118&lt;&gt;"",IF(O1118&lt;&gt;""," · ","")&amp;"Con: "&amp;N1118,"")</f>
        <v/>
      </c>
      <c r="S1118">
        <f>C1118&amp;"|"&amp;D1118</f>
        <v/>
      </c>
      <c r="T1118">
        <f>COUNTIF($S$2:S1118,S1118)</f>
        <v/>
      </c>
      <c r="U1118">
        <f>S1118&amp;"|"&amp;T1118</f>
        <v/>
      </c>
      <c r="V1118">
        <f>IFERROR(VLOOKUP(IF(I1118="ENFASIS",LEFT(M1118,FIND("+",M1118&amp;"+")-1),J1118),Direccion_Grupo!$A$2:$G$100,7,FALSE),"")</f>
        <v/>
      </c>
    </row>
    <row r="1119">
      <c r="A1119" t="n">
        <v>25</v>
      </c>
      <c r="B1119" t="inlineStr">
        <is>
          <t>Lemos Guancha Miriam</t>
        </is>
      </c>
      <c r="C1119" t="inlineStr">
        <is>
          <t>JUEVES</t>
        </is>
      </c>
      <c r="D1119" t="n">
        <v>5</v>
      </c>
      <c r="E1119" t="n">
        <v>3</v>
      </c>
      <c r="F1119" t="n">
        <v>1</v>
      </c>
      <c r="G1119" t="inlineStr">
        <is>
          <t>10:10</t>
        </is>
      </c>
      <c r="H1119" t="inlineStr">
        <is>
          <t>10:55</t>
        </is>
      </c>
      <c r="I1119" t="inlineStr">
        <is>
          <t>CLASE</t>
        </is>
      </c>
      <c r="J1119" t="inlineStr">
        <is>
          <t>0901</t>
        </is>
      </c>
      <c r="K1119" t="inlineStr">
        <is>
          <t>CNA</t>
        </is>
      </c>
      <c r="L1119" t="inlineStr"/>
      <c r="M1119" t="inlineStr"/>
      <c r="N1119" t="inlineStr"/>
      <c r="O1119" t="inlineStr"/>
      <c r="P1119" t="inlineStr">
        <is>
          <t>0901-CNA</t>
        </is>
      </c>
      <c r="Q1119">
        <f>IF(I1119="ENFASIS","ÉNFASIS "&amp;M1119,IFERROR(VLOOKUP(J1119,Grupos!$A$2:$D$100,4,FALSE),J1119))</f>
        <v/>
      </c>
      <c r="R1119">
        <f>O1119&amp;IF(N1119&lt;&gt;"",IF(O1119&lt;&gt;""," · ","")&amp;"Con: "&amp;N1119,"")</f>
        <v/>
      </c>
      <c r="S1119">
        <f>C1119&amp;"|"&amp;D1119</f>
        <v/>
      </c>
      <c r="T1119">
        <f>COUNTIF($S$2:S1119,S1119)</f>
        <v/>
      </c>
      <c r="U1119">
        <f>S1119&amp;"|"&amp;T1119</f>
        <v/>
      </c>
      <c r="V1119">
        <f>IFERROR(VLOOKUP(IF(I1119="ENFASIS",LEFT(M1119,FIND("+",M1119&amp;"+")-1),J1119),Direccion_Grupo!$A$2:$G$100,7,FALSE),"")</f>
        <v/>
      </c>
    </row>
    <row r="1120">
      <c r="A1120" t="n">
        <v>22</v>
      </c>
      <c r="B1120" t="inlineStr">
        <is>
          <t>González Castillo Jólmer Jimy</t>
        </is>
      </c>
      <c r="C1120" t="inlineStr">
        <is>
          <t>JUEVES</t>
        </is>
      </c>
      <c r="D1120" t="n">
        <v>5</v>
      </c>
      <c r="E1120" t="n">
        <v>3</v>
      </c>
      <c r="F1120" t="n">
        <v>1</v>
      </c>
      <c r="G1120" t="inlineStr">
        <is>
          <t>10:10</t>
        </is>
      </c>
      <c r="H1120" t="inlineStr">
        <is>
          <t>10:55</t>
        </is>
      </c>
      <c r="I1120" t="inlineStr">
        <is>
          <t>CLASE</t>
        </is>
      </c>
      <c r="J1120" t="inlineStr">
        <is>
          <t>0902</t>
        </is>
      </c>
      <c r="K1120" t="inlineStr">
        <is>
          <t>ERD</t>
        </is>
      </c>
      <c r="L1120" t="inlineStr"/>
      <c r="M1120" t="inlineStr"/>
      <c r="N1120" t="inlineStr"/>
      <c r="O1120" t="inlineStr"/>
      <c r="P1120" t="inlineStr">
        <is>
          <t>0902-ERD</t>
        </is>
      </c>
      <c r="Q1120">
        <f>IF(I1120="ENFASIS","ÉNFASIS "&amp;M1120,IFERROR(VLOOKUP(J1120,Grupos!$A$2:$D$100,4,FALSE),J1120))</f>
        <v/>
      </c>
      <c r="R1120">
        <f>O1120&amp;IF(N1120&lt;&gt;"",IF(O1120&lt;&gt;""," · ","")&amp;"Con: "&amp;N1120,"")</f>
        <v/>
      </c>
      <c r="S1120">
        <f>C1120&amp;"|"&amp;D1120</f>
        <v/>
      </c>
      <c r="T1120">
        <f>COUNTIF($S$2:S1120,S1120)</f>
        <v/>
      </c>
      <c r="U1120">
        <f>S1120&amp;"|"&amp;T1120</f>
        <v/>
      </c>
      <c r="V1120">
        <f>IFERROR(VLOOKUP(IF(I1120="ENFASIS",LEFT(M1120,FIND("+",M1120&amp;"+")-1),J1120),Direccion_Grupo!$A$2:$G$100,7,FALSE),"")</f>
        <v/>
      </c>
    </row>
    <row r="1121">
      <c r="A1121" t="n">
        <v>49</v>
      </c>
      <c r="B1121" t="inlineStr">
        <is>
          <t>Valencia Marínez Saidy Eufemia</t>
        </is>
      </c>
      <c r="C1121" t="inlineStr">
        <is>
          <t>JUEVES</t>
        </is>
      </c>
      <c r="D1121" t="n">
        <v>5</v>
      </c>
      <c r="E1121" t="n">
        <v>3</v>
      </c>
      <c r="F1121" t="n">
        <v>1</v>
      </c>
      <c r="G1121" t="inlineStr">
        <is>
          <t>10:10</t>
        </is>
      </c>
      <c r="H1121" t="inlineStr">
        <is>
          <t>10:55</t>
        </is>
      </c>
      <c r="I1121" t="inlineStr">
        <is>
          <t>CLASE</t>
        </is>
      </c>
      <c r="J1121" t="inlineStr">
        <is>
          <t>1001</t>
        </is>
      </c>
      <c r="K1121" t="inlineStr">
        <is>
          <t>ART</t>
        </is>
      </c>
      <c r="L1121" t="inlineStr"/>
      <c r="M1121" t="inlineStr"/>
      <c r="N1121" t="inlineStr"/>
      <c r="O1121" t="inlineStr"/>
      <c r="P1121" t="inlineStr">
        <is>
          <t>1001-ART</t>
        </is>
      </c>
      <c r="Q1121">
        <f>IF(I1121="ENFASIS","ÉNFASIS "&amp;M1121,IFERROR(VLOOKUP(J1121,Grupos!$A$2:$D$100,4,FALSE),J1121))</f>
        <v/>
      </c>
      <c r="R1121">
        <f>O1121&amp;IF(N1121&lt;&gt;"",IF(O1121&lt;&gt;""," · ","")&amp;"Con: "&amp;N1121,"")</f>
        <v/>
      </c>
      <c r="S1121">
        <f>C1121&amp;"|"&amp;D1121</f>
        <v/>
      </c>
      <c r="T1121">
        <f>COUNTIF($S$2:S1121,S1121)</f>
        <v/>
      </c>
      <c r="U1121">
        <f>S1121&amp;"|"&amp;T1121</f>
        <v/>
      </c>
      <c r="V1121">
        <f>IFERROR(VLOOKUP(IF(I1121="ENFASIS",LEFT(M1121,FIND("+",M1121&amp;"+")-1),J1121),Direccion_Grupo!$A$2:$G$100,7,FALSE),"")</f>
        <v/>
      </c>
    </row>
    <row r="1122">
      <c r="A1122" t="n">
        <v>53</v>
      </c>
      <c r="B1122" t="inlineStr">
        <is>
          <t>Villota Rubio Héctor Hugo</t>
        </is>
      </c>
      <c r="C1122" t="inlineStr">
        <is>
          <t>JUEVES</t>
        </is>
      </c>
      <c r="D1122" t="n">
        <v>5</v>
      </c>
      <c r="E1122" t="n">
        <v>3</v>
      </c>
      <c r="F1122" t="n">
        <v>1</v>
      </c>
      <c r="G1122" t="inlineStr">
        <is>
          <t>10:10</t>
        </is>
      </c>
      <c r="H1122" t="inlineStr">
        <is>
          <t>10:55</t>
        </is>
      </c>
      <c r="I1122" t="inlineStr">
        <is>
          <t>CLASE</t>
        </is>
      </c>
      <c r="J1122" t="inlineStr">
        <is>
          <t>1101</t>
        </is>
      </c>
      <c r="K1122" t="inlineStr">
        <is>
          <t>CNA</t>
        </is>
      </c>
      <c r="L1122" t="inlineStr"/>
      <c r="M1122" t="inlineStr"/>
      <c r="N1122" t="inlineStr"/>
      <c r="O1122" t="inlineStr"/>
      <c r="P1122" t="inlineStr">
        <is>
          <t>1101-CNA</t>
        </is>
      </c>
      <c r="Q1122">
        <f>IF(I1122="ENFASIS","ÉNFASIS "&amp;M1122,IFERROR(VLOOKUP(J1122,Grupos!$A$2:$D$100,4,FALSE),J1122))</f>
        <v/>
      </c>
      <c r="R1122">
        <f>O1122&amp;IF(N1122&lt;&gt;"",IF(O1122&lt;&gt;""," · ","")&amp;"Con: "&amp;N1122,"")</f>
        <v/>
      </c>
      <c r="S1122">
        <f>C1122&amp;"|"&amp;D1122</f>
        <v/>
      </c>
      <c r="T1122">
        <f>COUNTIF($S$2:S1122,S1122)</f>
        <v/>
      </c>
      <c r="U1122">
        <f>S1122&amp;"|"&amp;T1122</f>
        <v/>
      </c>
      <c r="V1122">
        <f>IFERROR(VLOOKUP(IF(I1122="ENFASIS",LEFT(M1122,FIND("+",M1122&amp;"+")-1),J1122),Direccion_Grupo!$A$2:$G$100,7,FALSE),"")</f>
        <v/>
      </c>
    </row>
    <row r="1123">
      <c r="A1123" t="n">
        <v>43</v>
      </c>
      <c r="B1123" t="inlineStr">
        <is>
          <t>Ramírez Guerra Jimmy Eduardo</t>
        </is>
      </c>
      <c r="C1123" t="inlineStr">
        <is>
          <t>JUEVES</t>
        </is>
      </c>
      <c r="D1123" t="n">
        <v>5</v>
      </c>
      <c r="E1123" t="n">
        <v>3</v>
      </c>
      <c r="F1123" t="n">
        <v>1</v>
      </c>
      <c r="G1123" t="inlineStr">
        <is>
          <t>10:10</t>
        </is>
      </c>
      <c r="H1123" t="inlineStr">
        <is>
          <t>10:55</t>
        </is>
      </c>
      <c r="I1123" t="inlineStr">
        <is>
          <t>CLASE</t>
        </is>
      </c>
      <c r="J1123" t="inlineStr">
        <is>
          <t>1102</t>
        </is>
      </c>
      <c r="K1123" t="inlineStr">
        <is>
          <t>ERD</t>
        </is>
      </c>
      <c r="L1123" t="inlineStr"/>
      <c r="M1123" t="inlineStr"/>
      <c r="N1123" t="inlineStr"/>
      <c r="O1123" t="inlineStr"/>
      <c r="P1123" t="inlineStr">
        <is>
          <t>1102-ERD</t>
        </is>
      </c>
      <c r="Q1123">
        <f>IF(I1123="ENFASIS","ÉNFASIS "&amp;M1123,IFERROR(VLOOKUP(J1123,Grupos!$A$2:$D$100,4,FALSE),J1123))</f>
        <v/>
      </c>
      <c r="R1123">
        <f>O1123&amp;IF(N1123&lt;&gt;"",IF(O1123&lt;&gt;""," · ","")&amp;"Con: "&amp;N1123,"")</f>
        <v/>
      </c>
      <c r="S1123">
        <f>C1123&amp;"|"&amp;D1123</f>
        <v/>
      </c>
      <c r="T1123">
        <f>COUNTIF($S$2:S1123,S1123)</f>
        <v/>
      </c>
      <c r="U1123">
        <f>S1123&amp;"|"&amp;T1123</f>
        <v/>
      </c>
      <c r="V1123">
        <f>IFERROR(VLOOKUP(IF(I1123="ENFASIS",LEFT(M1123,FIND("+",M1123&amp;"+")-1),J1123),Direccion_Grupo!$A$2:$G$100,7,FALSE),"")</f>
        <v/>
      </c>
    </row>
    <row r="1124">
      <c r="A1124" t="n">
        <v>16</v>
      </c>
      <c r="B1124" t="inlineStr">
        <is>
          <t>Cuero Rincón Hernando Jesús</t>
        </is>
      </c>
      <c r="C1124" t="inlineStr">
        <is>
          <t>JUEVES</t>
        </is>
      </c>
      <c r="D1124" t="n">
        <v>5</v>
      </c>
      <c r="E1124" t="n">
        <v>3</v>
      </c>
      <c r="F1124" t="n">
        <v>1</v>
      </c>
      <c r="G1124" t="inlineStr">
        <is>
          <t>10:10</t>
        </is>
      </c>
      <c r="H1124" t="inlineStr">
        <is>
          <t>10:55</t>
        </is>
      </c>
      <c r="I1124" t="inlineStr">
        <is>
          <t>CLASE</t>
        </is>
      </c>
      <c r="J1124" t="inlineStr">
        <is>
          <t>CS101</t>
        </is>
      </c>
      <c r="K1124" t="inlineStr">
        <is>
          <t>CAS</t>
        </is>
      </c>
      <c r="L1124" t="inlineStr"/>
      <c r="M1124" t="inlineStr"/>
      <c r="N1124" t="inlineStr"/>
      <c r="O1124" t="inlineStr"/>
      <c r="P1124" t="inlineStr">
        <is>
          <t>CS101-CAS</t>
        </is>
      </c>
      <c r="Q1124">
        <f>IF(I1124="ENFASIS","ÉNFASIS "&amp;M1124,IFERROR(VLOOKUP(J1124,Grupos!$A$2:$D$100,4,FALSE),J1124))</f>
        <v/>
      </c>
      <c r="R1124">
        <f>O1124&amp;IF(N1124&lt;&gt;"",IF(O1124&lt;&gt;""," · ","")&amp;"Con: "&amp;N1124,"")</f>
        <v/>
      </c>
      <c r="S1124">
        <f>C1124&amp;"|"&amp;D1124</f>
        <v/>
      </c>
      <c r="T1124">
        <f>COUNTIF($S$2:S1124,S1124)</f>
        <v/>
      </c>
      <c r="U1124">
        <f>S1124&amp;"|"&amp;T1124</f>
        <v/>
      </c>
      <c r="V1124">
        <f>IFERROR(VLOOKUP(IF(I1124="ENFASIS",LEFT(M1124,FIND("+",M1124&amp;"+")-1),J1124),Direccion_Grupo!$A$2:$G$100,7,FALSE),"")</f>
        <v/>
      </c>
    </row>
    <row r="1125">
      <c r="A1125" t="n">
        <v>57</v>
      </c>
      <c r="B1125" t="inlineStr">
        <is>
          <t>Armero Dájome Jesús</t>
        </is>
      </c>
      <c r="C1125" t="inlineStr">
        <is>
          <t>JUEVES</t>
        </is>
      </c>
      <c r="D1125" t="n">
        <v>5</v>
      </c>
      <c r="E1125" t="n">
        <v>3</v>
      </c>
      <c r="F1125" t="n">
        <v>1</v>
      </c>
      <c r="G1125" t="inlineStr">
        <is>
          <t>10:10</t>
        </is>
      </c>
      <c r="H1125" t="inlineStr">
        <is>
          <t>10:55</t>
        </is>
      </c>
      <c r="I1125" t="inlineStr">
        <is>
          <t>CLASE</t>
        </is>
      </c>
      <c r="J1125" t="inlineStr">
        <is>
          <t>CS102</t>
        </is>
      </c>
      <c r="K1125" t="inlineStr">
        <is>
          <t>CNA</t>
        </is>
      </c>
      <c r="L1125" t="inlineStr"/>
      <c r="M1125" t="inlineStr"/>
      <c r="N1125" t="inlineStr"/>
      <c r="O1125" t="inlineStr"/>
      <c r="P1125" t="inlineStr">
        <is>
          <t>CS102-CNA</t>
        </is>
      </c>
      <c r="Q1125">
        <f>IF(I1125="ENFASIS","ÉNFASIS "&amp;M1125,IFERROR(VLOOKUP(J1125,Grupos!$A$2:$D$100,4,FALSE),J1125))</f>
        <v/>
      </c>
      <c r="R1125">
        <f>O1125&amp;IF(N1125&lt;&gt;"",IF(O1125&lt;&gt;""," · ","")&amp;"Con: "&amp;N1125,"")</f>
        <v/>
      </c>
      <c r="S1125">
        <f>C1125&amp;"|"&amp;D1125</f>
        <v/>
      </c>
      <c r="T1125">
        <f>COUNTIF($S$2:S1125,S1125)</f>
        <v/>
      </c>
      <c r="U1125">
        <f>S1125&amp;"|"&amp;T1125</f>
        <v/>
      </c>
      <c r="V1125">
        <f>IFERROR(VLOOKUP(IF(I1125="ENFASIS",LEFT(M1125,FIND("+",M1125&amp;"+")-1),J1125),Direccion_Grupo!$A$2:$G$100,7,FALSE),"")</f>
        <v/>
      </c>
    </row>
    <row r="1126">
      <c r="A1126" t="n">
        <v>35</v>
      </c>
      <c r="B1126" t="inlineStr">
        <is>
          <t>Ortiz Araujo Adiela Carlota</t>
        </is>
      </c>
      <c r="C1126" t="inlineStr">
        <is>
          <t>JUEVES</t>
        </is>
      </c>
      <c r="D1126" t="n">
        <v>5</v>
      </c>
      <c r="E1126" t="n">
        <v>3</v>
      </c>
      <c r="F1126" t="n">
        <v>1</v>
      </c>
      <c r="G1126" t="inlineStr">
        <is>
          <t>10:10</t>
        </is>
      </c>
      <c r="H1126" t="inlineStr">
        <is>
          <t>10:55</t>
        </is>
      </c>
      <c r="I1126" t="inlineStr">
        <is>
          <t>CLASE</t>
        </is>
      </c>
      <c r="J1126" t="inlineStr">
        <is>
          <t>CS201</t>
        </is>
      </c>
      <c r="K1126" t="inlineStr">
        <is>
          <t>CSI</t>
        </is>
      </c>
      <c r="L1126" t="inlineStr"/>
      <c r="M1126" t="inlineStr"/>
      <c r="N1126" t="inlineStr"/>
      <c r="O1126" t="inlineStr">
        <is>
          <t>Sociales / Inglés (alternan cada semana)</t>
        </is>
      </c>
      <c r="P1126" t="inlineStr">
        <is>
          <t>CS201-CSI</t>
        </is>
      </c>
      <c r="Q1126">
        <f>IF(I1126="ENFASIS","ÉNFASIS "&amp;M1126,IFERROR(VLOOKUP(J1126,Grupos!$A$2:$D$100,4,FALSE),J1126))</f>
        <v/>
      </c>
      <c r="R1126">
        <f>O1126&amp;IF(N1126&lt;&gt;"",IF(O1126&lt;&gt;""," · ","")&amp;"Con: "&amp;N1126,"")</f>
        <v/>
      </c>
      <c r="S1126">
        <f>C1126&amp;"|"&amp;D1126</f>
        <v/>
      </c>
      <c r="T1126">
        <f>COUNTIF($S$2:S1126,S1126)</f>
        <v/>
      </c>
      <c r="U1126">
        <f>S1126&amp;"|"&amp;T1126</f>
        <v/>
      </c>
      <c r="V1126">
        <f>IFERROR(VLOOKUP(IF(I1126="ENFASIS",LEFT(M1126,FIND("+",M1126&amp;"+")-1),J1126),Direccion_Grupo!$A$2:$G$100,7,FALSE),"")</f>
        <v/>
      </c>
    </row>
    <row r="1127">
      <c r="A1127" t="n">
        <v>7</v>
      </c>
      <c r="B1127" t="inlineStr">
        <is>
          <t>Casanova Casanova Johana Andrea</t>
        </is>
      </c>
      <c r="C1127" t="inlineStr">
        <is>
          <t>JUEVES</t>
        </is>
      </c>
      <c r="D1127" t="n">
        <v>5</v>
      </c>
      <c r="E1127" t="n">
        <v>3</v>
      </c>
      <c r="F1127" t="n">
        <v>1</v>
      </c>
      <c r="G1127" t="inlineStr">
        <is>
          <t>10:10</t>
        </is>
      </c>
      <c r="H1127" t="inlineStr">
        <is>
          <t>10:55</t>
        </is>
      </c>
      <c r="I1127" t="inlineStr">
        <is>
          <t>ORIENTACION</t>
        </is>
      </c>
      <c r="J1127" t="inlineStr">
        <is>
          <t>ORIENT</t>
        </is>
      </c>
      <c r="K1127" t="inlineStr">
        <is>
          <t>ORIENTACIÓN ESCOLAR</t>
        </is>
      </c>
      <c r="L1127" t="inlineStr"/>
      <c r="M1127" t="inlineStr"/>
      <c r="N1127" t="inlineStr"/>
      <c r="O1127" t="inlineStr">
        <is>
          <t>Jornada 07:30 a 14:30</t>
        </is>
      </c>
      <c r="P1127" t="inlineStr"/>
      <c r="Q1127">
        <f>IF(I1127="ENFASIS","ÉNFASIS "&amp;M1127,IFERROR(VLOOKUP(J1127,Grupos!$A$2:$D$100,4,FALSE),J1127))</f>
        <v/>
      </c>
      <c r="R1127">
        <f>O1127&amp;IF(N1127&lt;&gt;"",IF(O1127&lt;&gt;""," · ","")&amp;"Con: "&amp;N1127,"")</f>
        <v/>
      </c>
      <c r="S1127">
        <f>C1127&amp;"|"&amp;D1127</f>
        <v/>
      </c>
      <c r="T1127">
        <f>COUNTIF($S$2:S1127,S1127)</f>
        <v/>
      </c>
      <c r="U1127">
        <f>S1127&amp;"|"&amp;T1127</f>
        <v/>
      </c>
      <c r="V1127">
        <f>IFERROR(VLOOKUP(IF(I1127="ENFASIS",LEFT(M1127,FIND("+",M1127&amp;"+")-1),J1127),Direccion_Grupo!$A$2:$G$100,7,FALSE),"")</f>
        <v/>
      </c>
    </row>
    <row r="1128">
      <c r="A1128" t="n">
        <v>36</v>
      </c>
      <c r="B1128" t="inlineStr">
        <is>
          <t>Ponce Moncayo Ángela Paola</t>
        </is>
      </c>
      <c r="C1128" t="inlineStr">
        <is>
          <t>JUEVES</t>
        </is>
      </c>
      <c r="D1128" t="n">
        <v>5</v>
      </c>
      <c r="E1128" t="n">
        <v>3</v>
      </c>
      <c r="F1128" t="n">
        <v>1</v>
      </c>
      <c r="G1128" t="inlineStr">
        <is>
          <t>10:10</t>
        </is>
      </c>
      <c r="H1128" t="inlineStr">
        <is>
          <t>10:55</t>
        </is>
      </c>
      <c r="I1128" t="inlineStr">
        <is>
          <t>ORIENTACION</t>
        </is>
      </c>
      <c r="J1128" t="inlineStr">
        <is>
          <t>ORIENT</t>
        </is>
      </c>
      <c r="K1128" t="inlineStr">
        <is>
          <t>ORIENTACIÓN ESCOLAR</t>
        </is>
      </c>
      <c r="L1128" t="inlineStr"/>
      <c r="M1128" t="inlineStr"/>
      <c r="N1128" t="inlineStr"/>
      <c r="O1128" t="inlineStr">
        <is>
          <t>Jornada 08:30 a 13:30</t>
        </is>
      </c>
      <c r="P1128" t="inlineStr"/>
      <c r="Q1128">
        <f>IF(I1128="ENFASIS","ÉNFASIS "&amp;M1128,IFERROR(VLOOKUP(J1128,Grupos!$A$2:$D$100,4,FALSE),J1128))</f>
        <v/>
      </c>
      <c r="R1128">
        <f>O1128&amp;IF(N1128&lt;&gt;"",IF(O1128&lt;&gt;""," · ","")&amp;"Con: "&amp;N1128,"")</f>
        <v/>
      </c>
      <c r="S1128">
        <f>C1128&amp;"|"&amp;D1128</f>
        <v/>
      </c>
      <c r="T1128">
        <f>COUNTIF($S$2:S1128,S1128)</f>
        <v/>
      </c>
      <c r="U1128">
        <f>S1128&amp;"|"&amp;T1128</f>
        <v/>
      </c>
      <c r="V1128">
        <f>IFERROR(VLOOKUP(IF(I1128="ENFASIS",LEFT(M1128,FIND("+",M1128&amp;"+")-1),J1128),Direccion_Grupo!$A$2:$G$100,7,FALSE),"")</f>
        <v/>
      </c>
    </row>
    <row r="1129">
      <c r="A1129" t="n">
        <v>56</v>
      </c>
      <c r="B1129" t="inlineStr">
        <is>
          <t>Ortiz Estacio Martha Cecilia</t>
        </is>
      </c>
      <c r="C1129" t="inlineStr">
        <is>
          <t>JUEVES</t>
        </is>
      </c>
      <c r="D1129" t="n">
        <v>5</v>
      </c>
      <c r="E1129" t="n">
        <v>3</v>
      </c>
      <c r="F1129" t="n">
        <v>1</v>
      </c>
      <c r="G1129" t="inlineStr">
        <is>
          <t>10:10</t>
        </is>
      </c>
      <c r="H1129" t="inlineStr">
        <is>
          <t>10:55</t>
        </is>
      </c>
      <c r="I1129" t="inlineStr">
        <is>
          <t>TUTORIA</t>
        </is>
      </c>
      <c r="J1129" t="inlineStr">
        <is>
          <t>PTAFI</t>
        </is>
      </c>
      <c r="K1129" t="inlineStr">
        <is>
          <t>TUTORÍA PTAFI</t>
        </is>
      </c>
      <c r="L1129" t="inlineStr"/>
      <c r="M1129" t="inlineStr"/>
      <c r="N1129" t="inlineStr"/>
      <c r="O1129" t="inlineStr">
        <is>
          <t>Jornada 06:30 a 12:00</t>
        </is>
      </c>
      <c r="P1129" t="inlineStr"/>
      <c r="Q1129">
        <f>IF(I1129="ENFASIS","ÉNFASIS "&amp;M1129,IFERROR(VLOOKUP(J1129,Grupos!$A$2:$D$100,4,FALSE),J1129))</f>
        <v/>
      </c>
      <c r="R1129">
        <f>O1129&amp;IF(N1129&lt;&gt;"",IF(O1129&lt;&gt;""," · ","")&amp;"Con: "&amp;N1129,"")</f>
        <v/>
      </c>
      <c r="S1129">
        <f>C1129&amp;"|"&amp;D1129</f>
        <v/>
      </c>
      <c r="T1129">
        <f>COUNTIF($S$2:S1129,S1129)</f>
        <v/>
      </c>
      <c r="U1129">
        <f>S1129&amp;"|"&amp;T1129</f>
        <v/>
      </c>
      <c r="V1129">
        <f>IFERROR(VLOOKUP(IF(I1129="ENFASIS",LEFT(M1129,FIND("+",M1129&amp;"+")-1),J1129),Direccion_Grupo!$A$2:$G$100,7,FALSE),"")</f>
        <v/>
      </c>
    </row>
    <row r="1130">
      <c r="A1130" t="n">
        <v>19</v>
      </c>
      <c r="B1130" t="inlineStr">
        <is>
          <t>Fernández Vélez Alfredo Enrique</t>
        </is>
      </c>
      <c r="C1130" t="inlineStr">
        <is>
          <t>JUEVES</t>
        </is>
      </c>
      <c r="D1130" t="n">
        <v>5</v>
      </c>
      <c r="E1130" t="n">
        <v>3</v>
      </c>
      <c r="F1130" t="n">
        <v>1</v>
      </c>
      <c r="G1130" t="inlineStr">
        <is>
          <t>10:10</t>
        </is>
      </c>
      <c r="H1130" t="inlineStr">
        <is>
          <t>10:55</t>
        </is>
      </c>
      <c r="I1130" t="inlineStr">
        <is>
          <t>ENFASIS</t>
        </is>
      </c>
      <c r="J1130" t="inlineStr"/>
      <c r="K1130" t="inlineStr">
        <is>
          <t>TEI</t>
        </is>
      </c>
      <c r="L1130" t="inlineStr">
        <is>
          <t>0704</t>
        </is>
      </c>
      <c r="M1130" t="inlineStr">
        <is>
          <t>0704</t>
        </is>
      </c>
      <c r="N1130" t="inlineStr">
        <is>
          <t>Preciado Torres Oleisa (MAT)</t>
        </is>
      </c>
      <c r="O1130" t="inlineStr">
        <is>
          <t>PAREJA: comparten el énfasis y alternan por semana</t>
        </is>
      </c>
      <c r="P1130" t="inlineStr">
        <is>
          <t>ENFASIS-0704</t>
        </is>
      </c>
      <c r="Q1130">
        <f>IF(I1130="ENFASIS","ÉNFASIS "&amp;M1130,IFERROR(VLOOKUP(J1130,Grupos!$A$2:$D$100,4,FALSE),J1130))</f>
        <v/>
      </c>
      <c r="R1130">
        <f>O1130&amp;IF(N1130&lt;&gt;"",IF(O1130&lt;&gt;""," · ","")&amp;"Con: "&amp;N1130,"")</f>
        <v/>
      </c>
      <c r="S1130">
        <f>C1130&amp;"|"&amp;D1130</f>
        <v/>
      </c>
      <c r="T1130">
        <f>COUNTIF($S$2:S1130,S1130)</f>
        <v/>
      </c>
      <c r="U1130">
        <f>S1130&amp;"|"&amp;T1130</f>
        <v/>
      </c>
      <c r="V1130">
        <f>IFERROR(VLOOKUP(IF(I1130="ENFASIS",LEFT(M1130,FIND("+",M1130&amp;"+")-1),J1130),Direccion_Grupo!$A$2:$G$100,7,FALSE),"")</f>
        <v/>
      </c>
    </row>
    <row r="1131">
      <c r="A1131" t="n">
        <v>38</v>
      </c>
      <c r="B1131" t="inlineStr">
        <is>
          <t>Preciado Torres Oleisa</t>
        </is>
      </c>
      <c r="C1131" t="inlineStr">
        <is>
          <t>JUEVES</t>
        </is>
      </c>
      <c r="D1131" t="n">
        <v>5</v>
      </c>
      <c r="E1131" t="n">
        <v>3</v>
      </c>
      <c r="F1131" t="n">
        <v>1</v>
      </c>
      <c r="G1131" t="inlineStr">
        <is>
          <t>10:10</t>
        </is>
      </c>
      <c r="H1131" t="inlineStr">
        <is>
          <t>10:55</t>
        </is>
      </c>
      <c r="I1131" t="inlineStr">
        <is>
          <t>ENFASIS</t>
        </is>
      </c>
      <c r="J1131" t="inlineStr"/>
      <c r="K1131" t="inlineStr">
        <is>
          <t>MAT</t>
        </is>
      </c>
      <c r="L1131" t="inlineStr">
        <is>
          <t>0704</t>
        </is>
      </c>
      <c r="M1131" t="inlineStr">
        <is>
          <t>0704</t>
        </is>
      </c>
      <c r="N1131" t="inlineStr">
        <is>
          <t>Fernández Vélez Alfredo Enrique (TEI)</t>
        </is>
      </c>
      <c r="O1131" t="inlineStr">
        <is>
          <t>PAREJA: comparten el énfasis y alternan por semana</t>
        </is>
      </c>
      <c r="P1131" t="inlineStr">
        <is>
          <t>ENFASIS-0704</t>
        </is>
      </c>
      <c r="Q1131">
        <f>IF(I1131="ENFASIS","ÉNFASIS "&amp;M1131,IFERROR(VLOOKUP(J1131,Grupos!$A$2:$D$100,4,FALSE),J1131))</f>
        <v/>
      </c>
      <c r="R1131">
        <f>O1131&amp;IF(N1131&lt;&gt;"",IF(O1131&lt;&gt;""," · ","")&amp;"Con: "&amp;N1131,"")</f>
        <v/>
      </c>
      <c r="S1131">
        <f>C1131&amp;"|"&amp;D1131</f>
        <v/>
      </c>
      <c r="T1131">
        <f>COUNTIF($S$2:S1131,S1131)</f>
        <v/>
      </c>
      <c r="U1131">
        <f>S1131&amp;"|"&amp;T1131</f>
        <v/>
      </c>
      <c r="V1131">
        <f>IFERROR(VLOOKUP(IF(I1131="ENFASIS",LEFT(M1131,FIND("+",M1131&amp;"+")-1),J1131),Direccion_Grupo!$A$2:$G$100,7,FALSE),"")</f>
        <v/>
      </c>
    </row>
    <row r="1132">
      <c r="A1132" t="n">
        <v>12</v>
      </c>
      <c r="B1132" t="inlineStr">
        <is>
          <t>Chillambo Quiñones María Rocío</t>
        </is>
      </c>
      <c r="C1132" t="inlineStr">
        <is>
          <t>JUEVES</t>
        </is>
      </c>
      <c r="D1132" t="n">
        <v>5</v>
      </c>
      <c r="E1132" t="n">
        <v>3</v>
      </c>
      <c r="F1132" t="n">
        <v>1</v>
      </c>
      <c r="G1132" t="inlineStr">
        <is>
          <t>10:10</t>
        </is>
      </c>
      <c r="H1132" t="inlineStr">
        <is>
          <t>10:55</t>
        </is>
      </c>
      <c r="I1132" t="inlineStr">
        <is>
          <t>ENFASIS</t>
        </is>
      </c>
      <c r="J1132" t="inlineStr"/>
      <c r="K1132" t="inlineStr">
        <is>
          <t>CNA</t>
        </is>
      </c>
      <c r="L1132" t="inlineStr">
        <is>
          <t>0801</t>
        </is>
      </c>
      <c r="M1132" t="inlineStr">
        <is>
          <t>0801</t>
        </is>
      </c>
      <c r="N1132" t="inlineStr">
        <is>
          <t>Samaniego Angulo Flor Mireya (ART); Valverde Montaño María Teresa (CAS); Cuero Bamba Berte Levi (ERD)</t>
        </is>
      </c>
      <c r="O1132" t="inlineStr">
        <is>
          <t>EQUIPO DE 4: cada docente atiende un grupo de estudiantes en su área</t>
        </is>
      </c>
      <c r="P1132" t="inlineStr">
        <is>
          <t>ENFASIS-0801</t>
        </is>
      </c>
      <c r="Q1132">
        <f>IF(I1132="ENFASIS","ÉNFASIS "&amp;M1132,IFERROR(VLOOKUP(J1132,Grupos!$A$2:$D$100,4,FALSE),J1132))</f>
        <v/>
      </c>
      <c r="R1132">
        <f>O1132&amp;IF(N1132&lt;&gt;"",IF(O1132&lt;&gt;""," · ","")&amp;"Con: "&amp;N1132,"")</f>
        <v/>
      </c>
      <c r="S1132">
        <f>C1132&amp;"|"&amp;D1132</f>
        <v/>
      </c>
      <c r="T1132">
        <f>COUNTIF($S$2:S1132,S1132)</f>
        <v/>
      </c>
      <c r="U1132">
        <f>S1132&amp;"|"&amp;T1132</f>
        <v/>
      </c>
      <c r="V1132">
        <f>IFERROR(VLOOKUP(IF(I1132="ENFASIS",LEFT(M1132,FIND("+",M1132&amp;"+")-1),J1132),Direccion_Grupo!$A$2:$G$100,7,FALSE),"")</f>
        <v/>
      </c>
    </row>
    <row r="1133">
      <c r="A1133" t="n">
        <v>15</v>
      </c>
      <c r="B1133" t="inlineStr">
        <is>
          <t>Cuero Bamba Berte Levi</t>
        </is>
      </c>
      <c r="C1133" t="inlineStr">
        <is>
          <t>JUEVES</t>
        </is>
      </c>
      <c r="D1133" t="n">
        <v>5</v>
      </c>
      <c r="E1133" t="n">
        <v>3</v>
      </c>
      <c r="F1133" t="n">
        <v>1</v>
      </c>
      <c r="G1133" t="inlineStr">
        <is>
          <t>10:10</t>
        </is>
      </c>
      <c r="H1133" t="inlineStr">
        <is>
          <t>10:55</t>
        </is>
      </c>
      <c r="I1133" t="inlineStr">
        <is>
          <t>ENFASIS</t>
        </is>
      </c>
      <c r="J1133" t="inlineStr"/>
      <c r="K1133" t="inlineStr">
        <is>
          <t>ERD</t>
        </is>
      </c>
      <c r="L1133" t="inlineStr">
        <is>
          <t>0801</t>
        </is>
      </c>
      <c r="M1133" t="inlineStr">
        <is>
          <t>0801</t>
        </is>
      </c>
      <c r="N1133" t="inlineStr">
        <is>
          <t>Samaniego Angulo Flor Mireya (ART); Valverde Montaño María Teresa (CAS); Chillambo Quiñones María Rocío (CNA)</t>
        </is>
      </c>
      <c r="O1133" t="inlineStr">
        <is>
          <t>EQUIPO DE 4: cada docente atiende un grupo de estudiantes en su área</t>
        </is>
      </c>
      <c r="P1133" t="inlineStr">
        <is>
          <t>ENFASIS-0801</t>
        </is>
      </c>
      <c r="Q1133">
        <f>IF(I1133="ENFASIS","ÉNFASIS "&amp;M1133,IFERROR(VLOOKUP(J1133,Grupos!$A$2:$D$100,4,FALSE),J1133))</f>
        <v/>
      </c>
      <c r="R1133">
        <f>O1133&amp;IF(N1133&lt;&gt;"",IF(O1133&lt;&gt;""," · ","")&amp;"Con: "&amp;N1133,"")</f>
        <v/>
      </c>
      <c r="S1133">
        <f>C1133&amp;"|"&amp;D1133</f>
        <v/>
      </c>
      <c r="T1133">
        <f>COUNTIF($S$2:S1133,S1133)</f>
        <v/>
      </c>
      <c r="U1133">
        <f>S1133&amp;"|"&amp;T1133</f>
        <v/>
      </c>
      <c r="V1133">
        <f>IFERROR(VLOOKUP(IF(I1133="ENFASIS",LEFT(M1133,FIND("+",M1133&amp;"+")-1),J1133),Direccion_Grupo!$A$2:$G$100,7,FALSE),"")</f>
        <v/>
      </c>
    </row>
    <row r="1134">
      <c r="A1134" t="n">
        <v>44</v>
      </c>
      <c r="B1134" t="inlineStr">
        <is>
          <t>Samaniego Angulo Flor Mireya</t>
        </is>
      </c>
      <c r="C1134" t="inlineStr">
        <is>
          <t>JUEVES</t>
        </is>
      </c>
      <c r="D1134" t="n">
        <v>5</v>
      </c>
      <c r="E1134" t="n">
        <v>3</v>
      </c>
      <c r="F1134" t="n">
        <v>1</v>
      </c>
      <c r="G1134" t="inlineStr">
        <is>
          <t>10:10</t>
        </is>
      </c>
      <c r="H1134" t="inlineStr">
        <is>
          <t>10:55</t>
        </is>
      </c>
      <c r="I1134" t="inlineStr">
        <is>
          <t>ENFASIS</t>
        </is>
      </c>
      <c r="J1134" t="inlineStr"/>
      <c r="K1134" t="inlineStr">
        <is>
          <t>ART</t>
        </is>
      </c>
      <c r="L1134" t="inlineStr">
        <is>
          <t>0801</t>
        </is>
      </c>
      <c r="M1134" t="inlineStr">
        <is>
          <t>0801</t>
        </is>
      </c>
      <c r="N1134" t="inlineStr">
        <is>
          <t>Valverde Montaño María Teresa (CAS); Cuero Bamba Berte Levi (ERD); Chillambo Quiñones María Rocío (CNA)</t>
        </is>
      </c>
      <c r="O1134" t="inlineStr">
        <is>
          <t>EQUIPO DE 4: cada docente atiende un grupo de estudiantes en su área</t>
        </is>
      </c>
      <c r="P1134" t="inlineStr">
        <is>
          <t>ENFASIS-0801</t>
        </is>
      </c>
      <c r="Q1134">
        <f>IF(I1134="ENFASIS","ÉNFASIS "&amp;M1134,IFERROR(VLOOKUP(J1134,Grupos!$A$2:$D$100,4,FALSE),J1134))</f>
        <v/>
      </c>
      <c r="R1134">
        <f>O1134&amp;IF(N1134&lt;&gt;"",IF(O1134&lt;&gt;""," · ","")&amp;"Con: "&amp;N1134,"")</f>
        <v/>
      </c>
      <c r="S1134">
        <f>C1134&amp;"|"&amp;D1134</f>
        <v/>
      </c>
      <c r="T1134">
        <f>COUNTIF($S$2:S1134,S1134)</f>
        <v/>
      </c>
      <c r="U1134">
        <f>S1134&amp;"|"&amp;T1134</f>
        <v/>
      </c>
      <c r="V1134">
        <f>IFERROR(VLOOKUP(IF(I1134="ENFASIS",LEFT(M1134,FIND("+",M1134&amp;"+")-1),J1134),Direccion_Grupo!$A$2:$G$100,7,FALSE),"")</f>
        <v/>
      </c>
    </row>
    <row r="1135">
      <c r="A1135" t="n">
        <v>51</v>
      </c>
      <c r="B1135" t="inlineStr">
        <is>
          <t>Valverde Montaño María Teresa</t>
        </is>
      </c>
      <c r="C1135" t="inlineStr">
        <is>
          <t>JUEVES</t>
        </is>
      </c>
      <c r="D1135" t="n">
        <v>5</v>
      </c>
      <c r="E1135" t="n">
        <v>3</v>
      </c>
      <c r="F1135" t="n">
        <v>1</v>
      </c>
      <c r="G1135" t="inlineStr">
        <is>
          <t>10:10</t>
        </is>
      </c>
      <c r="H1135" t="inlineStr">
        <is>
          <t>10:55</t>
        </is>
      </c>
      <c r="I1135" t="inlineStr">
        <is>
          <t>ENFASIS</t>
        </is>
      </c>
      <c r="J1135" t="inlineStr"/>
      <c r="K1135" t="inlineStr">
        <is>
          <t>CAS</t>
        </is>
      </c>
      <c r="L1135" t="inlineStr">
        <is>
          <t>0801</t>
        </is>
      </c>
      <c r="M1135" t="inlineStr">
        <is>
          <t>0801</t>
        </is>
      </c>
      <c r="N1135" t="inlineStr">
        <is>
          <t>Samaniego Angulo Flor Mireya (ART); Cuero Bamba Berte Levi (ERD); Chillambo Quiñones María Rocío (CNA)</t>
        </is>
      </c>
      <c r="O1135" t="inlineStr">
        <is>
          <t>EQUIPO DE 4: cada docente atiende un grupo de estudiantes en su área</t>
        </is>
      </c>
      <c r="P1135" t="inlineStr">
        <is>
          <t>ENFASIS-0801</t>
        </is>
      </c>
      <c r="Q1135">
        <f>IF(I1135="ENFASIS","ÉNFASIS "&amp;M1135,IFERROR(VLOOKUP(J1135,Grupos!$A$2:$D$100,4,FALSE),J1135))</f>
        <v/>
      </c>
      <c r="R1135">
        <f>O1135&amp;IF(N1135&lt;&gt;"",IF(O1135&lt;&gt;""," · ","")&amp;"Con: "&amp;N1135,"")</f>
        <v/>
      </c>
      <c r="S1135">
        <f>C1135&amp;"|"&amp;D1135</f>
        <v/>
      </c>
      <c r="T1135">
        <f>COUNTIF($S$2:S1135,S1135)</f>
        <v/>
      </c>
      <c r="U1135">
        <f>S1135&amp;"|"&amp;T1135</f>
        <v/>
      </c>
      <c r="V1135">
        <f>IFERROR(VLOOKUP(IF(I1135="ENFASIS",LEFT(M1135,FIND("+",M1135&amp;"+")-1),J1135),Direccion_Grupo!$A$2:$G$100,7,FALSE),"")</f>
        <v/>
      </c>
    </row>
    <row r="1136">
      <c r="A1136" t="n">
        <v>2</v>
      </c>
      <c r="B1136" t="inlineStr">
        <is>
          <t>Angulo Lucero Andrés Mauricio</t>
        </is>
      </c>
      <c r="C1136" t="inlineStr">
        <is>
          <t>JUEVES</t>
        </is>
      </c>
      <c r="D1136" t="n">
        <v>5</v>
      </c>
      <c r="E1136" t="n">
        <v>3</v>
      </c>
      <c r="F1136" t="n">
        <v>1</v>
      </c>
      <c r="G1136" t="inlineStr">
        <is>
          <t>10:10</t>
        </is>
      </c>
      <c r="H1136" t="inlineStr">
        <is>
          <t>10:55</t>
        </is>
      </c>
      <c r="I1136" t="inlineStr">
        <is>
          <t>ENFASIS</t>
        </is>
      </c>
      <c r="J1136" t="inlineStr"/>
      <c r="K1136" t="inlineStr">
        <is>
          <t>TEI</t>
        </is>
      </c>
      <c r="L1136" t="inlineStr">
        <is>
          <t>D5-10°</t>
        </is>
      </c>
      <c r="M1136" t="inlineStr">
        <is>
          <t>1002</t>
        </is>
      </c>
      <c r="N1136" t="inlineStr">
        <is>
          <t>Pulgarín Ortiz César Marino (CSI); Montaño Arizala Leidis Claudina (ETR); Villota Rubio Janeth del Carmen (MAT)</t>
        </is>
      </c>
      <c r="O1136" t="inlineStr">
        <is>
          <t>EQUIPO DE 4: cada docente atiende un grupo de estudiantes en su área</t>
        </is>
      </c>
      <c r="P1136" t="inlineStr">
        <is>
          <t>ENFASIS-D5-10°</t>
        </is>
      </c>
      <c r="Q1136">
        <f>IF(I1136="ENFASIS","ÉNFASIS "&amp;M1136,IFERROR(VLOOKUP(J1136,Grupos!$A$2:$D$100,4,FALSE),J1136))</f>
        <v/>
      </c>
      <c r="R1136">
        <f>O1136&amp;IF(N1136&lt;&gt;"",IF(O1136&lt;&gt;""," · ","")&amp;"Con: "&amp;N1136,"")</f>
        <v/>
      </c>
      <c r="S1136">
        <f>C1136&amp;"|"&amp;D1136</f>
        <v/>
      </c>
      <c r="T1136">
        <f>COUNTIF($S$2:S1136,S1136)</f>
        <v/>
      </c>
      <c r="U1136">
        <f>S1136&amp;"|"&amp;T1136</f>
        <v/>
      </c>
      <c r="V1136">
        <f>IFERROR(VLOOKUP(IF(I1136="ENFASIS",LEFT(M1136,FIND("+",M1136&amp;"+")-1),J1136),Direccion_Grupo!$A$2:$G$100,7,FALSE),"")</f>
        <v/>
      </c>
    </row>
    <row r="1137">
      <c r="A1137" t="n">
        <v>31</v>
      </c>
      <c r="B1137" t="inlineStr">
        <is>
          <t>Montaño Arizala Leidis Claudina</t>
        </is>
      </c>
      <c r="C1137" t="inlineStr">
        <is>
          <t>JUEVES</t>
        </is>
      </c>
      <c r="D1137" t="n">
        <v>5</v>
      </c>
      <c r="E1137" t="n">
        <v>3</v>
      </c>
      <c r="F1137" t="n">
        <v>1</v>
      </c>
      <c r="G1137" t="inlineStr">
        <is>
          <t>10:10</t>
        </is>
      </c>
      <c r="H1137" t="inlineStr">
        <is>
          <t>10:55</t>
        </is>
      </c>
      <c r="I1137" t="inlineStr">
        <is>
          <t>ENFASIS</t>
        </is>
      </c>
      <c r="J1137" t="inlineStr"/>
      <c r="K1137" t="inlineStr">
        <is>
          <t>ETR</t>
        </is>
      </c>
      <c r="L1137" t="inlineStr">
        <is>
          <t>D5-10°</t>
        </is>
      </c>
      <c r="M1137" t="inlineStr">
        <is>
          <t>1002</t>
        </is>
      </c>
      <c r="N1137" t="inlineStr">
        <is>
          <t>Pulgarín Ortiz César Marino (CSI); Villota Rubio Janeth del Carmen (MAT); Angulo Lucero Andrés Mauricio (TEI)</t>
        </is>
      </c>
      <c r="O1137" t="inlineStr">
        <is>
          <t>EQUIPO DE 4: cada docente atiende un grupo de estudiantes en su área</t>
        </is>
      </c>
      <c r="P1137" t="inlineStr">
        <is>
          <t>ENFASIS-D5-10°</t>
        </is>
      </c>
      <c r="Q1137">
        <f>IF(I1137="ENFASIS","ÉNFASIS "&amp;M1137,IFERROR(VLOOKUP(J1137,Grupos!$A$2:$D$100,4,FALSE),J1137))</f>
        <v/>
      </c>
      <c r="R1137">
        <f>O1137&amp;IF(N1137&lt;&gt;"",IF(O1137&lt;&gt;""," · ","")&amp;"Con: "&amp;N1137,"")</f>
        <v/>
      </c>
      <c r="S1137">
        <f>C1137&amp;"|"&amp;D1137</f>
        <v/>
      </c>
      <c r="T1137">
        <f>COUNTIF($S$2:S1137,S1137)</f>
        <v/>
      </c>
      <c r="U1137">
        <f>S1137&amp;"|"&amp;T1137</f>
        <v/>
      </c>
      <c r="V1137">
        <f>IFERROR(VLOOKUP(IF(I1137="ENFASIS",LEFT(M1137,FIND("+",M1137&amp;"+")-1),J1137),Direccion_Grupo!$A$2:$G$100,7,FALSE),"")</f>
        <v/>
      </c>
    </row>
    <row r="1138">
      <c r="A1138" t="n">
        <v>40</v>
      </c>
      <c r="B1138" t="inlineStr">
        <is>
          <t>Pulgarín Ortiz César Marino</t>
        </is>
      </c>
      <c r="C1138" t="inlineStr">
        <is>
          <t>JUEVES</t>
        </is>
      </c>
      <c r="D1138" t="n">
        <v>5</v>
      </c>
      <c r="E1138" t="n">
        <v>3</v>
      </c>
      <c r="F1138" t="n">
        <v>1</v>
      </c>
      <c r="G1138" t="inlineStr">
        <is>
          <t>10:10</t>
        </is>
      </c>
      <c r="H1138" t="inlineStr">
        <is>
          <t>10:55</t>
        </is>
      </c>
      <c r="I1138" t="inlineStr">
        <is>
          <t>ENFASIS</t>
        </is>
      </c>
      <c r="J1138" t="inlineStr"/>
      <c r="K1138" t="inlineStr">
        <is>
          <t>CSI</t>
        </is>
      </c>
      <c r="L1138" t="inlineStr">
        <is>
          <t>D5-10°</t>
        </is>
      </c>
      <c r="M1138" t="inlineStr">
        <is>
          <t>1002</t>
        </is>
      </c>
      <c r="N1138" t="inlineStr">
        <is>
          <t>Montaño Arizala Leidis Claudina (ETR); Villota Rubio Janeth del Carmen (MAT); Angulo Lucero Andrés Mauricio (TEI)</t>
        </is>
      </c>
      <c r="O1138" t="inlineStr">
        <is>
          <t>EQUIPO DE 4: cada docente atiende un grupo de estudiantes en su área</t>
        </is>
      </c>
      <c r="P1138" t="inlineStr">
        <is>
          <t>ENFASIS-D5-10°</t>
        </is>
      </c>
      <c r="Q1138">
        <f>IF(I1138="ENFASIS","ÉNFASIS "&amp;M1138,IFERROR(VLOOKUP(J1138,Grupos!$A$2:$D$100,4,FALSE),J1138))</f>
        <v/>
      </c>
      <c r="R1138">
        <f>O1138&amp;IF(N1138&lt;&gt;"",IF(O1138&lt;&gt;""," · ","")&amp;"Con: "&amp;N1138,"")</f>
        <v/>
      </c>
      <c r="S1138">
        <f>C1138&amp;"|"&amp;D1138</f>
        <v/>
      </c>
      <c r="T1138">
        <f>COUNTIF($S$2:S1138,S1138)</f>
        <v/>
      </c>
      <c r="U1138">
        <f>S1138&amp;"|"&amp;T1138</f>
        <v/>
      </c>
      <c r="V1138">
        <f>IFERROR(VLOOKUP(IF(I1138="ENFASIS",LEFT(M1138,FIND("+",M1138&amp;"+")-1),J1138),Direccion_Grupo!$A$2:$G$100,7,FALSE),"")</f>
        <v/>
      </c>
    </row>
    <row r="1139">
      <c r="A1139" t="n">
        <v>54</v>
      </c>
      <c r="B1139" t="inlineStr">
        <is>
          <t>Villota Rubio Janeth del Carmen</t>
        </is>
      </c>
      <c r="C1139" t="inlineStr">
        <is>
          <t>JUEVES</t>
        </is>
      </c>
      <c r="D1139" t="n">
        <v>5</v>
      </c>
      <c r="E1139" t="n">
        <v>3</v>
      </c>
      <c r="F1139" t="n">
        <v>1</v>
      </c>
      <c r="G1139" t="inlineStr">
        <is>
          <t>10:10</t>
        </is>
      </c>
      <c r="H1139" t="inlineStr">
        <is>
          <t>10:55</t>
        </is>
      </c>
      <c r="I1139" t="inlineStr">
        <is>
          <t>ENFASIS</t>
        </is>
      </c>
      <c r="J1139" t="inlineStr"/>
      <c r="K1139" t="inlineStr">
        <is>
          <t>MAT</t>
        </is>
      </c>
      <c r="L1139" t="inlineStr">
        <is>
          <t>D5-10°</t>
        </is>
      </c>
      <c r="M1139" t="inlineStr">
        <is>
          <t>1002</t>
        </is>
      </c>
      <c r="N1139" t="inlineStr">
        <is>
          <t>Pulgarín Ortiz César Marino (CSI); Montaño Arizala Leidis Claudina (ETR); Angulo Lucero Andrés Mauricio (TEI)</t>
        </is>
      </c>
      <c r="O1139" t="inlineStr">
        <is>
          <t>EQUIPO DE 4: cada docente atiende un grupo de estudiantes en su área</t>
        </is>
      </c>
      <c r="P1139" t="inlineStr">
        <is>
          <t>ENFASIS-D5-10°</t>
        </is>
      </c>
      <c r="Q1139">
        <f>IF(I1139="ENFASIS","ÉNFASIS "&amp;M1139,IFERROR(VLOOKUP(J1139,Grupos!$A$2:$D$100,4,FALSE),J1139))</f>
        <v/>
      </c>
      <c r="R1139">
        <f>O1139&amp;IF(N1139&lt;&gt;"",IF(O1139&lt;&gt;""," · ","")&amp;"Con: "&amp;N1139,"")</f>
        <v/>
      </c>
      <c r="S1139">
        <f>C1139&amp;"|"&amp;D1139</f>
        <v/>
      </c>
      <c r="T1139">
        <f>COUNTIF($S$2:S1139,S1139)</f>
        <v/>
      </c>
      <c r="U1139">
        <f>S1139&amp;"|"&amp;T1139</f>
        <v/>
      </c>
      <c r="V1139">
        <f>IFERROR(VLOOKUP(IF(I1139="ENFASIS",LEFT(M1139,FIND("+",M1139&amp;"+")-1),J1139),Direccion_Grupo!$A$2:$G$100,7,FALSE),"")</f>
        <v/>
      </c>
    </row>
    <row r="1140">
      <c r="A1140" t="n">
        <v>5</v>
      </c>
      <c r="B1140" t="inlineStr">
        <is>
          <t>Bastidas Valencia Zeneida Judith</t>
        </is>
      </c>
      <c r="C1140" t="inlineStr">
        <is>
          <t>JUEVES</t>
        </is>
      </c>
      <c r="D1140" t="n">
        <v>5</v>
      </c>
      <c r="E1140" t="n">
        <v>3</v>
      </c>
      <c r="F1140" t="n">
        <v>1</v>
      </c>
      <c r="G1140" t="inlineStr">
        <is>
          <t>10:10</t>
        </is>
      </c>
      <c r="H1140" t="inlineStr">
        <is>
          <t>10:55</t>
        </is>
      </c>
      <c r="I1140" t="inlineStr">
        <is>
          <t>ENFASIS</t>
        </is>
      </c>
      <c r="J1140" t="inlineStr"/>
      <c r="K1140" t="inlineStr">
        <is>
          <t>MAT</t>
        </is>
      </c>
      <c r="L1140" t="inlineStr">
        <is>
          <t>CS202</t>
        </is>
      </c>
      <c r="M1140" t="inlineStr">
        <is>
          <t>CS202</t>
        </is>
      </c>
      <c r="N1140" t="inlineStr">
        <is>
          <t>Betancourth Ocampo Yohana Patricia (CSI); Estacio Estupiñán Rosario (ETR); Mindineros Satizábal John Jáver (TEI)</t>
        </is>
      </c>
      <c r="O1140" t="inlineStr">
        <is>
          <t>EQUIPO DE 4: cada docente atiende un grupo de estudiantes en su área</t>
        </is>
      </c>
      <c r="P1140" t="inlineStr">
        <is>
          <t>ENFASIS-CS202</t>
        </is>
      </c>
      <c r="Q1140">
        <f>IF(I1140="ENFASIS","ÉNFASIS "&amp;M1140,IFERROR(VLOOKUP(J1140,Grupos!$A$2:$D$100,4,FALSE),J1140))</f>
        <v/>
      </c>
      <c r="R1140">
        <f>O1140&amp;IF(N1140&lt;&gt;"",IF(O1140&lt;&gt;""," · ","")&amp;"Con: "&amp;N1140,"")</f>
        <v/>
      </c>
      <c r="S1140">
        <f>C1140&amp;"|"&amp;D1140</f>
        <v/>
      </c>
      <c r="T1140">
        <f>COUNTIF($S$2:S1140,S1140)</f>
        <v/>
      </c>
      <c r="U1140">
        <f>S1140&amp;"|"&amp;T1140</f>
        <v/>
      </c>
      <c r="V1140">
        <f>IFERROR(VLOOKUP(IF(I1140="ENFASIS",LEFT(M1140,FIND("+",M1140&amp;"+")-1),J1140),Direccion_Grupo!$A$2:$G$100,7,FALSE),"")</f>
        <v/>
      </c>
    </row>
    <row r="1141">
      <c r="A1141" t="n">
        <v>6</v>
      </c>
      <c r="B1141" t="inlineStr">
        <is>
          <t>Betancourth Ocampo Yohana Patricia</t>
        </is>
      </c>
      <c r="C1141" t="inlineStr">
        <is>
          <t>JUEVES</t>
        </is>
      </c>
      <c r="D1141" t="n">
        <v>5</v>
      </c>
      <c r="E1141" t="n">
        <v>3</v>
      </c>
      <c r="F1141" t="n">
        <v>1</v>
      </c>
      <c r="G1141" t="inlineStr">
        <is>
          <t>10:10</t>
        </is>
      </c>
      <c r="H1141" t="inlineStr">
        <is>
          <t>10:55</t>
        </is>
      </c>
      <c r="I1141" t="inlineStr">
        <is>
          <t>ENFASIS</t>
        </is>
      </c>
      <c r="J1141" t="inlineStr"/>
      <c r="K1141" t="inlineStr">
        <is>
          <t>CSI</t>
        </is>
      </c>
      <c r="L1141" t="inlineStr">
        <is>
          <t>CS202</t>
        </is>
      </c>
      <c r="M1141" t="inlineStr">
        <is>
          <t>CS202</t>
        </is>
      </c>
      <c r="N1141" t="inlineStr">
        <is>
          <t>Estacio Estupiñán Rosario (ETR); Bastidas Valencia Zeneida Judith (MAT); Mindineros Satizábal John Jáver (TEI)</t>
        </is>
      </c>
      <c r="O1141" t="inlineStr">
        <is>
          <t>EQUIPO DE 4: cada docente atiende un grupo de estudiantes en su área</t>
        </is>
      </c>
      <c r="P1141" t="inlineStr">
        <is>
          <t>ENFASIS-CS202</t>
        </is>
      </c>
      <c r="Q1141">
        <f>IF(I1141="ENFASIS","ÉNFASIS "&amp;M1141,IFERROR(VLOOKUP(J1141,Grupos!$A$2:$D$100,4,FALSE),J1141))</f>
        <v/>
      </c>
      <c r="R1141">
        <f>O1141&amp;IF(N1141&lt;&gt;"",IF(O1141&lt;&gt;""," · ","")&amp;"Con: "&amp;N1141,"")</f>
        <v/>
      </c>
      <c r="S1141">
        <f>C1141&amp;"|"&amp;D1141</f>
        <v/>
      </c>
      <c r="T1141">
        <f>COUNTIF($S$2:S1141,S1141)</f>
        <v/>
      </c>
      <c r="U1141">
        <f>S1141&amp;"|"&amp;T1141</f>
        <v/>
      </c>
      <c r="V1141">
        <f>IFERROR(VLOOKUP(IF(I1141="ENFASIS",LEFT(M1141,FIND("+",M1141&amp;"+")-1),J1141),Direccion_Grupo!$A$2:$G$100,7,FALSE),"")</f>
        <v/>
      </c>
    </row>
    <row r="1142">
      <c r="A1142" t="n">
        <v>18</v>
      </c>
      <c r="B1142" t="inlineStr">
        <is>
          <t>Estacio Estupiñán Rosario</t>
        </is>
      </c>
      <c r="C1142" t="inlineStr">
        <is>
          <t>JUEVES</t>
        </is>
      </c>
      <c r="D1142" t="n">
        <v>5</v>
      </c>
      <c r="E1142" t="n">
        <v>3</v>
      </c>
      <c r="F1142" t="n">
        <v>1</v>
      </c>
      <c r="G1142" t="inlineStr">
        <is>
          <t>10:10</t>
        </is>
      </c>
      <c r="H1142" t="inlineStr">
        <is>
          <t>10:55</t>
        </is>
      </c>
      <c r="I1142" t="inlineStr">
        <is>
          <t>ENFASIS</t>
        </is>
      </c>
      <c r="J1142" t="inlineStr"/>
      <c r="K1142" t="inlineStr">
        <is>
          <t>ETR</t>
        </is>
      </c>
      <c r="L1142" t="inlineStr">
        <is>
          <t>CS202</t>
        </is>
      </c>
      <c r="M1142" t="inlineStr">
        <is>
          <t>CS202</t>
        </is>
      </c>
      <c r="N1142" t="inlineStr">
        <is>
          <t>Betancourth Ocampo Yohana Patricia (CSI); Bastidas Valencia Zeneida Judith (MAT); Mindineros Satizábal John Jáver (TEI)</t>
        </is>
      </c>
      <c r="O1142" t="inlineStr">
        <is>
          <t>EQUIPO DE 4: cada docente atiende un grupo de estudiantes en su área</t>
        </is>
      </c>
      <c r="P1142" t="inlineStr">
        <is>
          <t>ENFASIS-CS202</t>
        </is>
      </c>
      <c r="Q1142">
        <f>IF(I1142="ENFASIS","ÉNFASIS "&amp;M1142,IFERROR(VLOOKUP(J1142,Grupos!$A$2:$D$100,4,FALSE),J1142))</f>
        <v/>
      </c>
      <c r="R1142">
        <f>O1142&amp;IF(N1142&lt;&gt;"",IF(O1142&lt;&gt;""," · ","")&amp;"Con: "&amp;N1142,"")</f>
        <v/>
      </c>
      <c r="S1142">
        <f>C1142&amp;"|"&amp;D1142</f>
        <v/>
      </c>
      <c r="T1142">
        <f>COUNTIF($S$2:S1142,S1142)</f>
        <v/>
      </c>
      <c r="U1142">
        <f>S1142&amp;"|"&amp;T1142</f>
        <v/>
      </c>
      <c r="V1142">
        <f>IFERROR(VLOOKUP(IF(I1142="ENFASIS",LEFT(M1142,FIND("+",M1142&amp;"+")-1),J1142),Direccion_Grupo!$A$2:$G$100,7,FALSE),"")</f>
        <v/>
      </c>
    </row>
    <row r="1143">
      <c r="A1143" t="n">
        <v>29</v>
      </c>
      <c r="B1143" t="inlineStr">
        <is>
          <t>Mindineros Satizábal John Jáver</t>
        </is>
      </c>
      <c r="C1143" t="inlineStr">
        <is>
          <t>JUEVES</t>
        </is>
      </c>
      <c r="D1143" t="n">
        <v>5</v>
      </c>
      <c r="E1143" t="n">
        <v>3</v>
      </c>
      <c r="F1143" t="n">
        <v>1</v>
      </c>
      <c r="G1143" t="inlineStr">
        <is>
          <t>10:10</t>
        </is>
      </c>
      <c r="H1143" t="inlineStr">
        <is>
          <t>10:55</t>
        </is>
      </c>
      <c r="I1143" t="inlineStr">
        <is>
          <t>ENFASIS</t>
        </is>
      </c>
      <c r="J1143" t="inlineStr"/>
      <c r="K1143" t="inlineStr">
        <is>
          <t>TEI</t>
        </is>
      </c>
      <c r="L1143" t="inlineStr">
        <is>
          <t>CS202</t>
        </is>
      </c>
      <c r="M1143" t="inlineStr">
        <is>
          <t>CS202</t>
        </is>
      </c>
      <c r="N1143" t="inlineStr">
        <is>
          <t>Betancourth Ocampo Yohana Patricia (CSI); Estacio Estupiñán Rosario (ETR); Bastidas Valencia Zeneida Judith (MAT)</t>
        </is>
      </c>
      <c r="O1143" t="inlineStr">
        <is>
          <t>EQUIPO DE 4: cada docente atiende un grupo de estudiantes en su área</t>
        </is>
      </c>
      <c r="P1143" t="inlineStr">
        <is>
          <t>ENFASIS-CS202</t>
        </is>
      </c>
      <c r="Q1143">
        <f>IF(I1143="ENFASIS","ÉNFASIS "&amp;M1143,IFERROR(VLOOKUP(J1143,Grupos!$A$2:$D$100,4,FALSE),J1143))</f>
        <v/>
      </c>
      <c r="R1143">
        <f>O1143&amp;IF(N1143&lt;&gt;"",IF(O1143&lt;&gt;""," · ","")&amp;"Con: "&amp;N1143,"")</f>
        <v/>
      </c>
      <c r="S1143">
        <f>C1143&amp;"|"&amp;D1143</f>
        <v/>
      </c>
      <c r="T1143">
        <f>COUNTIF($S$2:S1143,S1143)</f>
        <v/>
      </c>
      <c r="U1143">
        <f>S1143&amp;"|"&amp;T1143</f>
        <v/>
      </c>
      <c r="V1143">
        <f>IFERROR(VLOOKUP(IF(I1143="ENFASIS",LEFT(M1143,FIND("+",M1143&amp;"+")-1),J1143),Direccion_Grupo!$A$2:$G$100,7,FALSE),"")</f>
        <v/>
      </c>
    </row>
    <row r="1144">
      <c r="A1144" t="n">
        <v>50</v>
      </c>
      <c r="B1144" t="inlineStr">
        <is>
          <t>Valencia Solís Gloria Alexa</t>
        </is>
      </c>
      <c r="C1144" t="inlineStr">
        <is>
          <t>JUEVES</t>
        </is>
      </c>
      <c r="D1144" t="n">
        <v>6</v>
      </c>
      <c r="E1144" t="n">
        <v>3</v>
      </c>
      <c r="F1144" t="n">
        <v>2</v>
      </c>
      <c r="G1144" t="inlineStr">
        <is>
          <t>10:30</t>
        </is>
      </c>
      <c r="H1144" t="inlineStr">
        <is>
          <t>11:30</t>
        </is>
      </c>
      <c r="I1144" t="inlineStr">
        <is>
          <t>AREAS_MULTIPLES</t>
        </is>
      </c>
      <c r="J1144" t="inlineStr">
        <is>
          <t>0001</t>
        </is>
      </c>
      <c r="K1144" t="inlineStr">
        <is>
          <t>ÁREAS MÚLTIPLES</t>
        </is>
      </c>
      <c r="L1144" t="inlineStr"/>
      <c r="M1144" t="inlineStr"/>
      <c r="N1144" t="inlineStr"/>
      <c r="O1144" t="inlineStr">
        <is>
          <t>Maestro de aula: todas las áreas con su grupo</t>
        </is>
      </c>
      <c r="P1144" t="inlineStr"/>
      <c r="Q1144">
        <f>IF(I1144="ENFASIS","ÉNFASIS "&amp;M1144,IFERROR(VLOOKUP(J1144,Grupos!$A$2:$D$100,4,FALSE),J1144))</f>
        <v/>
      </c>
      <c r="R1144">
        <f>O1144&amp;IF(N1144&lt;&gt;"",IF(O1144&lt;&gt;""," · ","")&amp;"Con: "&amp;N1144,"")</f>
        <v/>
      </c>
      <c r="S1144">
        <f>C1144&amp;"|"&amp;D1144</f>
        <v/>
      </c>
      <c r="T1144">
        <f>COUNTIF($S$2:S1144,S1144)</f>
        <v/>
      </c>
      <c r="U1144">
        <f>S1144&amp;"|"&amp;T1144</f>
        <v/>
      </c>
      <c r="V1144">
        <f>IFERROR(VLOOKUP(IF(I1144="ENFASIS",LEFT(M1144,FIND("+",M1144&amp;"+")-1),J1144),Direccion_Grupo!$A$2:$G$100,7,FALSE),"")</f>
        <v/>
      </c>
    </row>
    <row r="1145">
      <c r="A1145" t="n">
        <v>27</v>
      </c>
      <c r="B1145" t="inlineStr">
        <is>
          <t>Martínez Álvarez Andrea Ascención</t>
        </is>
      </c>
      <c r="C1145" t="inlineStr">
        <is>
          <t>JUEVES</t>
        </is>
      </c>
      <c r="D1145" t="n">
        <v>6</v>
      </c>
      <c r="E1145" t="n">
        <v>3</v>
      </c>
      <c r="F1145" t="n">
        <v>2</v>
      </c>
      <c r="G1145" t="inlineStr">
        <is>
          <t>10:30</t>
        </is>
      </c>
      <c r="H1145" t="inlineStr">
        <is>
          <t>11:30</t>
        </is>
      </c>
      <c r="I1145" t="inlineStr">
        <is>
          <t>AREAS_MULTIPLES</t>
        </is>
      </c>
      <c r="J1145" t="inlineStr">
        <is>
          <t>0002</t>
        </is>
      </c>
      <c r="K1145" t="inlineStr">
        <is>
          <t>ÁREAS MÚLTIPLES</t>
        </is>
      </c>
      <c r="L1145" t="inlineStr"/>
      <c r="M1145" t="inlineStr"/>
      <c r="N1145" t="inlineStr"/>
      <c r="O1145" t="inlineStr">
        <is>
          <t>Maestro de aula: todas las áreas con su grupo</t>
        </is>
      </c>
      <c r="P1145" t="inlineStr"/>
      <c r="Q1145">
        <f>IF(I1145="ENFASIS","ÉNFASIS "&amp;M1145,IFERROR(VLOOKUP(J1145,Grupos!$A$2:$D$100,4,FALSE),J1145))</f>
        <v/>
      </c>
      <c r="R1145">
        <f>O1145&amp;IF(N1145&lt;&gt;"",IF(O1145&lt;&gt;""," · ","")&amp;"Con: "&amp;N1145,"")</f>
        <v/>
      </c>
      <c r="S1145">
        <f>C1145&amp;"|"&amp;D1145</f>
        <v/>
      </c>
      <c r="T1145">
        <f>COUNTIF($S$2:S1145,S1145)</f>
        <v/>
      </c>
      <c r="U1145">
        <f>S1145&amp;"|"&amp;T1145</f>
        <v/>
      </c>
      <c r="V1145">
        <f>IFERROR(VLOOKUP(IF(I1145="ENFASIS",LEFT(M1145,FIND("+",M1145&amp;"+")-1),J1145),Direccion_Grupo!$A$2:$G$100,7,FALSE),"")</f>
        <v/>
      </c>
    </row>
    <row r="1146">
      <c r="A1146" t="n">
        <v>23</v>
      </c>
      <c r="B1146" t="inlineStr">
        <is>
          <t>Landázuri Quiñones María Elia</t>
        </is>
      </c>
      <c r="C1146" t="inlineStr">
        <is>
          <t>JUEVES</t>
        </is>
      </c>
      <c r="D1146" t="n">
        <v>6</v>
      </c>
      <c r="E1146" t="n">
        <v>3</v>
      </c>
      <c r="F1146" t="n">
        <v>2</v>
      </c>
      <c r="G1146" t="inlineStr">
        <is>
          <t>10:55</t>
        </is>
      </c>
      <c r="H1146" t="inlineStr">
        <is>
          <t>11:40</t>
        </is>
      </c>
      <c r="I1146" t="inlineStr">
        <is>
          <t>AREAS_MULTIPLES</t>
        </is>
      </c>
      <c r="J1146" t="inlineStr">
        <is>
          <t>0101</t>
        </is>
      </c>
      <c r="K1146" t="inlineStr">
        <is>
          <t>ÁREAS MÚLTIPLES</t>
        </is>
      </c>
      <c r="L1146" t="inlineStr"/>
      <c r="M1146" t="inlineStr"/>
      <c r="N1146" t="inlineStr"/>
      <c r="O1146" t="inlineStr">
        <is>
          <t>Maestro de aula: todas las áreas con su grupo</t>
        </is>
      </c>
      <c r="P1146" t="inlineStr"/>
      <c r="Q1146">
        <f>IF(I1146="ENFASIS","ÉNFASIS "&amp;M1146,IFERROR(VLOOKUP(J1146,Grupos!$A$2:$D$100,4,FALSE),J1146))</f>
        <v/>
      </c>
      <c r="R1146">
        <f>O1146&amp;IF(N1146&lt;&gt;"",IF(O1146&lt;&gt;""," · ","")&amp;"Con: "&amp;N1146,"")</f>
        <v/>
      </c>
      <c r="S1146">
        <f>C1146&amp;"|"&amp;D1146</f>
        <v/>
      </c>
      <c r="T1146">
        <f>COUNTIF($S$2:S1146,S1146)</f>
        <v/>
      </c>
      <c r="U1146">
        <f>S1146&amp;"|"&amp;T1146</f>
        <v/>
      </c>
      <c r="V1146">
        <f>IFERROR(VLOOKUP(IF(I1146="ENFASIS",LEFT(M1146,FIND("+",M1146&amp;"+")-1),J1146),Direccion_Grupo!$A$2:$G$100,7,FALSE),"")</f>
        <v/>
      </c>
    </row>
    <row r="1147">
      <c r="A1147" t="n">
        <v>45</v>
      </c>
      <c r="B1147" t="inlineStr">
        <is>
          <t>Sinisterra Ana Lucía</t>
        </is>
      </c>
      <c r="C1147" t="inlineStr">
        <is>
          <t>JUEVES</t>
        </is>
      </c>
      <c r="D1147" t="n">
        <v>6</v>
      </c>
      <c r="E1147" t="n">
        <v>3</v>
      </c>
      <c r="F1147" t="n">
        <v>2</v>
      </c>
      <c r="G1147" t="inlineStr">
        <is>
          <t>10:55</t>
        </is>
      </c>
      <c r="H1147" t="inlineStr">
        <is>
          <t>11:40</t>
        </is>
      </c>
      <c r="I1147" t="inlineStr">
        <is>
          <t>AREAS_MULTIPLES</t>
        </is>
      </c>
      <c r="J1147" t="inlineStr">
        <is>
          <t>0102</t>
        </is>
      </c>
      <c r="K1147" t="inlineStr">
        <is>
          <t>ÁREAS MÚLTIPLES</t>
        </is>
      </c>
      <c r="L1147" t="inlineStr"/>
      <c r="M1147" t="inlineStr"/>
      <c r="N1147" t="inlineStr"/>
      <c r="O1147" t="inlineStr">
        <is>
          <t>Maestro de aula: todas las áreas con su grupo</t>
        </is>
      </c>
      <c r="P1147" t="inlineStr"/>
      <c r="Q1147">
        <f>IF(I1147="ENFASIS","ÉNFASIS "&amp;M1147,IFERROR(VLOOKUP(J1147,Grupos!$A$2:$D$100,4,FALSE),J1147))</f>
        <v/>
      </c>
      <c r="R1147">
        <f>O1147&amp;IF(N1147&lt;&gt;"",IF(O1147&lt;&gt;""," · ","")&amp;"Con: "&amp;N1147,"")</f>
        <v/>
      </c>
      <c r="S1147">
        <f>C1147&amp;"|"&amp;D1147</f>
        <v/>
      </c>
      <c r="T1147">
        <f>COUNTIF($S$2:S1147,S1147)</f>
        <v/>
      </c>
      <c r="U1147">
        <f>S1147&amp;"|"&amp;T1147</f>
        <v/>
      </c>
      <c r="V1147">
        <f>IFERROR(VLOOKUP(IF(I1147="ENFASIS",LEFT(M1147,FIND("+",M1147&amp;"+")-1),J1147),Direccion_Grupo!$A$2:$G$100,7,FALSE),"")</f>
        <v/>
      </c>
    </row>
    <row r="1148">
      <c r="A1148" t="n">
        <v>13</v>
      </c>
      <c r="B1148" t="inlineStr">
        <is>
          <t>Cortés Salazar María Ebelice</t>
        </is>
      </c>
      <c r="C1148" t="inlineStr">
        <is>
          <t>JUEVES</t>
        </is>
      </c>
      <c r="D1148" t="n">
        <v>6</v>
      </c>
      <c r="E1148" t="n">
        <v>3</v>
      </c>
      <c r="F1148" t="n">
        <v>2</v>
      </c>
      <c r="G1148" t="inlineStr">
        <is>
          <t>10:55</t>
        </is>
      </c>
      <c r="H1148" t="inlineStr">
        <is>
          <t>11:40</t>
        </is>
      </c>
      <c r="I1148" t="inlineStr">
        <is>
          <t>AREAS_MULTIPLES</t>
        </is>
      </c>
      <c r="J1148" t="inlineStr">
        <is>
          <t>0201</t>
        </is>
      </c>
      <c r="K1148" t="inlineStr">
        <is>
          <t>ÁREAS MÚLTIPLES</t>
        </is>
      </c>
      <c r="L1148" t="inlineStr"/>
      <c r="M1148" t="inlineStr"/>
      <c r="N1148" t="inlineStr"/>
      <c r="O1148" t="inlineStr">
        <is>
          <t>Maestro de aula: todas las áreas con su grupo</t>
        </is>
      </c>
      <c r="P1148" t="inlineStr"/>
      <c r="Q1148">
        <f>IF(I1148="ENFASIS","ÉNFASIS "&amp;M1148,IFERROR(VLOOKUP(J1148,Grupos!$A$2:$D$100,4,FALSE),J1148))</f>
        <v/>
      </c>
      <c r="R1148">
        <f>O1148&amp;IF(N1148&lt;&gt;"",IF(O1148&lt;&gt;""," · ","")&amp;"Con: "&amp;N1148,"")</f>
        <v/>
      </c>
      <c r="S1148">
        <f>C1148&amp;"|"&amp;D1148</f>
        <v/>
      </c>
      <c r="T1148">
        <f>COUNTIF($S$2:S1148,S1148)</f>
        <v/>
      </c>
      <c r="U1148">
        <f>S1148&amp;"|"&amp;T1148</f>
        <v/>
      </c>
      <c r="V1148">
        <f>IFERROR(VLOOKUP(IF(I1148="ENFASIS",LEFT(M1148,FIND("+",M1148&amp;"+")-1),J1148),Direccion_Grupo!$A$2:$G$100,7,FALSE),"")</f>
        <v/>
      </c>
    </row>
    <row r="1149">
      <c r="A1149" t="n">
        <v>21</v>
      </c>
      <c r="B1149" t="inlineStr">
        <is>
          <t>Garzón Quiñones Sixta Janina</t>
        </is>
      </c>
      <c r="C1149" t="inlineStr">
        <is>
          <t>JUEVES</t>
        </is>
      </c>
      <c r="D1149" t="n">
        <v>6</v>
      </c>
      <c r="E1149" t="n">
        <v>3</v>
      </c>
      <c r="F1149" t="n">
        <v>2</v>
      </c>
      <c r="G1149" t="inlineStr">
        <is>
          <t>10:55</t>
        </is>
      </c>
      <c r="H1149" t="inlineStr">
        <is>
          <t>11:40</t>
        </is>
      </c>
      <c r="I1149" t="inlineStr">
        <is>
          <t>AREAS_MULTIPLES</t>
        </is>
      </c>
      <c r="J1149" t="inlineStr">
        <is>
          <t>0202</t>
        </is>
      </c>
      <c r="K1149" t="inlineStr">
        <is>
          <t>ÁREAS MÚLTIPLES</t>
        </is>
      </c>
      <c r="L1149" t="inlineStr"/>
      <c r="M1149" t="inlineStr"/>
      <c r="N1149" t="inlineStr"/>
      <c r="O1149" t="inlineStr">
        <is>
          <t>Maestro de aula: todas las áreas con su grupo</t>
        </is>
      </c>
      <c r="P1149" t="inlineStr"/>
      <c r="Q1149">
        <f>IF(I1149="ENFASIS","ÉNFASIS "&amp;M1149,IFERROR(VLOOKUP(J1149,Grupos!$A$2:$D$100,4,FALSE),J1149))</f>
        <v/>
      </c>
      <c r="R1149">
        <f>O1149&amp;IF(N1149&lt;&gt;"",IF(O1149&lt;&gt;""," · ","")&amp;"Con: "&amp;N1149,"")</f>
        <v/>
      </c>
      <c r="S1149">
        <f>C1149&amp;"|"&amp;D1149</f>
        <v/>
      </c>
      <c r="T1149">
        <f>COUNTIF($S$2:S1149,S1149)</f>
        <v/>
      </c>
      <c r="U1149">
        <f>S1149&amp;"|"&amp;T1149</f>
        <v/>
      </c>
      <c r="V1149">
        <f>IFERROR(VLOOKUP(IF(I1149="ENFASIS",LEFT(M1149,FIND("+",M1149&amp;"+")-1),J1149),Direccion_Grupo!$A$2:$G$100,7,FALSE),"")</f>
        <v/>
      </c>
    </row>
    <row r="1150">
      <c r="A1150" t="n">
        <v>46</v>
      </c>
      <c r="B1150" t="inlineStr">
        <is>
          <t>Tenorio Cuero Lucy Bivian</t>
        </is>
      </c>
      <c r="C1150" t="inlineStr">
        <is>
          <t>JUEVES</t>
        </is>
      </c>
      <c r="D1150" t="n">
        <v>6</v>
      </c>
      <c r="E1150" t="n">
        <v>3</v>
      </c>
      <c r="F1150" t="n">
        <v>2</v>
      </c>
      <c r="G1150" t="inlineStr">
        <is>
          <t>10:55</t>
        </is>
      </c>
      <c r="H1150" t="inlineStr">
        <is>
          <t>11:40</t>
        </is>
      </c>
      <c r="I1150" t="inlineStr">
        <is>
          <t>AREAS_MULTIPLES</t>
        </is>
      </c>
      <c r="J1150" t="inlineStr">
        <is>
          <t>0203</t>
        </is>
      </c>
      <c r="K1150" t="inlineStr">
        <is>
          <t>ÁREAS MÚLTIPLES</t>
        </is>
      </c>
      <c r="L1150" t="inlineStr"/>
      <c r="M1150" t="inlineStr"/>
      <c r="N1150" t="inlineStr"/>
      <c r="O1150" t="inlineStr">
        <is>
          <t>Maestro de aula: todas las áreas con su grupo</t>
        </is>
      </c>
      <c r="P1150" t="inlineStr"/>
      <c r="Q1150">
        <f>IF(I1150="ENFASIS","ÉNFASIS "&amp;M1150,IFERROR(VLOOKUP(J1150,Grupos!$A$2:$D$100,4,FALSE),J1150))</f>
        <v/>
      </c>
      <c r="R1150">
        <f>O1150&amp;IF(N1150&lt;&gt;"",IF(O1150&lt;&gt;""," · ","")&amp;"Con: "&amp;N1150,"")</f>
        <v/>
      </c>
      <c r="S1150">
        <f>C1150&amp;"|"&amp;D1150</f>
        <v/>
      </c>
      <c r="T1150">
        <f>COUNTIF($S$2:S1150,S1150)</f>
        <v/>
      </c>
      <c r="U1150">
        <f>S1150&amp;"|"&amp;T1150</f>
        <v/>
      </c>
      <c r="V1150">
        <f>IFERROR(VLOOKUP(IF(I1150="ENFASIS",LEFT(M1150,FIND("+",M1150&amp;"+")-1),J1150),Direccion_Grupo!$A$2:$G$100,7,FALSE),"")</f>
        <v/>
      </c>
    </row>
    <row r="1151">
      <c r="A1151" t="n">
        <v>48</v>
      </c>
      <c r="B1151" t="inlineStr">
        <is>
          <t>Torres Segura Encarnación</t>
        </is>
      </c>
      <c r="C1151" t="inlineStr">
        <is>
          <t>JUEVES</t>
        </is>
      </c>
      <c r="D1151" t="n">
        <v>6</v>
      </c>
      <c r="E1151" t="n">
        <v>3</v>
      </c>
      <c r="F1151" t="n">
        <v>2</v>
      </c>
      <c r="G1151" t="inlineStr">
        <is>
          <t>10:55</t>
        </is>
      </c>
      <c r="H1151" t="inlineStr">
        <is>
          <t>11:40</t>
        </is>
      </c>
      <c r="I1151" t="inlineStr">
        <is>
          <t>AREAS_MULTIPLES</t>
        </is>
      </c>
      <c r="J1151" t="inlineStr">
        <is>
          <t>0301</t>
        </is>
      </c>
      <c r="K1151" t="inlineStr">
        <is>
          <t>ÁREAS MÚLTIPLES</t>
        </is>
      </c>
      <c r="L1151" t="inlineStr"/>
      <c r="M1151" t="inlineStr"/>
      <c r="N1151" t="inlineStr"/>
      <c r="O1151" t="inlineStr">
        <is>
          <t>Maestro de aula: todas las áreas con su grupo</t>
        </is>
      </c>
      <c r="P1151" t="inlineStr"/>
      <c r="Q1151">
        <f>IF(I1151="ENFASIS","ÉNFASIS "&amp;M1151,IFERROR(VLOOKUP(J1151,Grupos!$A$2:$D$100,4,FALSE),J1151))</f>
        <v/>
      </c>
      <c r="R1151">
        <f>O1151&amp;IF(N1151&lt;&gt;"",IF(O1151&lt;&gt;""," · ","")&amp;"Con: "&amp;N1151,"")</f>
        <v/>
      </c>
      <c r="S1151">
        <f>C1151&amp;"|"&amp;D1151</f>
        <v/>
      </c>
      <c r="T1151">
        <f>COUNTIF($S$2:S1151,S1151)</f>
        <v/>
      </c>
      <c r="U1151">
        <f>S1151&amp;"|"&amp;T1151</f>
        <v/>
      </c>
      <c r="V1151">
        <f>IFERROR(VLOOKUP(IF(I1151="ENFASIS",LEFT(M1151,FIND("+",M1151&amp;"+")-1),J1151),Direccion_Grupo!$A$2:$G$100,7,FALSE),"")</f>
        <v/>
      </c>
    </row>
    <row r="1152">
      <c r="A1152" t="n">
        <v>24</v>
      </c>
      <c r="B1152" t="inlineStr">
        <is>
          <t>Landázuri Gallón Teresa</t>
        </is>
      </c>
      <c r="C1152" t="inlineStr">
        <is>
          <t>JUEVES</t>
        </is>
      </c>
      <c r="D1152" t="n">
        <v>6</v>
      </c>
      <c r="E1152" t="n">
        <v>3</v>
      </c>
      <c r="F1152" t="n">
        <v>2</v>
      </c>
      <c r="G1152" t="inlineStr">
        <is>
          <t>10:55</t>
        </is>
      </c>
      <c r="H1152" t="inlineStr">
        <is>
          <t>11:40</t>
        </is>
      </c>
      <c r="I1152" t="inlineStr">
        <is>
          <t>AREAS_MULTIPLES</t>
        </is>
      </c>
      <c r="J1152" t="inlineStr">
        <is>
          <t>0302</t>
        </is>
      </c>
      <c r="K1152" t="inlineStr">
        <is>
          <t>ÁREAS MÚLTIPLES</t>
        </is>
      </c>
      <c r="L1152" t="inlineStr"/>
      <c r="M1152" t="inlineStr"/>
      <c r="N1152" t="inlineStr"/>
      <c r="O1152" t="inlineStr">
        <is>
          <t>Maestro de aula: todas las áreas con su grupo</t>
        </is>
      </c>
      <c r="P1152" t="inlineStr"/>
      <c r="Q1152">
        <f>IF(I1152="ENFASIS","ÉNFASIS "&amp;M1152,IFERROR(VLOOKUP(J1152,Grupos!$A$2:$D$100,4,FALSE),J1152))</f>
        <v/>
      </c>
      <c r="R1152">
        <f>O1152&amp;IF(N1152&lt;&gt;"",IF(O1152&lt;&gt;""," · ","")&amp;"Con: "&amp;N1152,"")</f>
        <v/>
      </c>
      <c r="S1152">
        <f>C1152&amp;"|"&amp;D1152</f>
        <v/>
      </c>
      <c r="T1152">
        <f>COUNTIF($S$2:S1152,S1152)</f>
        <v/>
      </c>
      <c r="U1152">
        <f>S1152&amp;"|"&amp;T1152</f>
        <v/>
      </c>
      <c r="V1152">
        <f>IFERROR(VLOOKUP(IF(I1152="ENFASIS",LEFT(M1152,FIND("+",M1152&amp;"+")-1),J1152),Direccion_Grupo!$A$2:$G$100,7,FALSE),"")</f>
        <v/>
      </c>
    </row>
    <row r="1153">
      <c r="A1153" t="n">
        <v>55</v>
      </c>
      <c r="B1153" t="inlineStr">
        <is>
          <t>Zamora Ordóñez Celia Pastora</t>
        </is>
      </c>
      <c r="C1153" t="inlineStr">
        <is>
          <t>JUEVES</t>
        </is>
      </c>
      <c r="D1153" t="n">
        <v>6</v>
      </c>
      <c r="E1153" t="n">
        <v>3</v>
      </c>
      <c r="F1153" t="n">
        <v>2</v>
      </c>
      <c r="G1153" t="inlineStr">
        <is>
          <t>10:55</t>
        </is>
      </c>
      <c r="H1153" t="inlineStr">
        <is>
          <t>11:40</t>
        </is>
      </c>
      <c r="I1153" t="inlineStr">
        <is>
          <t>AREAS_MULTIPLES</t>
        </is>
      </c>
      <c r="J1153" t="inlineStr">
        <is>
          <t>0401</t>
        </is>
      </c>
      <c r="K1153" t="inlineStr">
        <is>
          <t>ÁREAS MÚLTIPLES</t>
        </is>
      </c>
      <c r="L1153" t="inlineStr"/>
      <c r="M1153" t="inlineStr"/>
      <c r="N1153" t="inlineStr"/>
      <c r="O1153" t="inlineStr">
        <is>
          <t>Maestro de aula: todas las áreas con su grupo</t>
        </is>
      </c>
      <c r="P1153" t="inlineStr"/>
      <c r="Q1153">
        <f>IF(I1153="ENFASIS","ÉNFASIS "&amp;M1153,IFERROR(VLOOKUP(J1153,Grupos!$A$2:$D$100,4,FALSE),J1153))</f>
        <v/>
      </c>
      <c r="R1153">
        <f>O1153&amp;IF(N1153&lt;&gt;"",IF(O1153&lt;&gt;""," · ","")&amp;"Con: "&amp;N1153,"")</f>
        <v/>
      </c>
      <c r="S1153">
        <f>C1153&amp;"|"&amp;D1153</f>
        <v/>
      </c>
      <c r="T1153">
        <f>COUNTIF($S$2:S1153,S1153)</f>
        <v/>
      </c>
      <c r="U1153">
        <f>S1153&amp;"|"&amp;T1153</f>
        <v/>
      </c>
      <c r="V1153">
        <f>IFERROR(VLOOKUP(IF(I1153="ENFASIS",LEFT(M1153,FIND("+",M1153&amp;"+")-1),J1153),Direccion_Grupo!$A$2:$G$100,7,FALSE),"")</f>
        <v/>
      </c>
    </row>
    <row r="1154">
      <c r="A1154" t="n">
        <v>33</v>
      </c>
      <c r="B1154" t="inlineStr">
        <is>
          <t>Núñez Perlaza Elcy</t>
        </is>
      </c>
      <c r="C1154" t="inlineStr">
        <is>
          <t>JUEVES</t>
        </is>
      </c>
      <c r="D1154" t="n">
        <v>6</v>
      </c>
      <c r="E1154" t="n">
        <v>3</v>
      </c>
      <c r="F1154" t="n">
        <v>2</v>
      </c>
      <c r="G1154" t="inlineStr">
        <is>
          <t>10:55</t>
        </is>
      </c>
      <c r="H1154" t="inlineStr">
        <is>
          <t>11:40</t>
        </is>
      </c>
      <c r="I1154" t="inlineStr">
        <is>
          <t>AREAS_MULTIPLES</t>
        </is>
      </c>
      <c r="J1154" t="inlineStr">
        <is>
          <t>0402</t>
        </is>
      </c>
      <c r="K1154" t="inlineStr">
        <is>
          <t>ÁREAS MÚLTIPLES</t>
        </is>
      </c>
      <c r="L1154" t="inlineStr"/>
      <c r="M1154" t="inlineStr"/>
      <c r="N1154" t="inlineStr"/>
      <c r="O1154" t="inlineStr">
        <is>
          <t>Maestro de aula: todas las áreas con su grupo</t>
        </is>
      </c>
      <c r="P1154" t="inlineStr"/>
      <c r="Q1154">
        <f>IF(I1154="ENFASIS","ÉNFASIS "&amp;M1154,IFERROR(VLOOKUP(J1154,Grupos!$A$2:$D$100,4,FALSE),J1154))</f>
        <v/>
      </c>
      <c r="R1154">
        <f>O1154&amp;IF(N1154&lt;&gt;"",IF(O1154&lt;&gt;""," · ","")&amp;"Con: "&amp;N1154,"")</f>
        <v/>
      </c>
      <c r="S1154">
        <f>C1154&amp;"|"&amp;D1154</f>
        <v/>
      </c>
      <c r="T1154">
        <f>COUNTIF($S$2:S1154,S1154)</f>
        <v/>
      </c>
      <c r="U1154">
        <f>S1154&amp;"|"&amp;T1154</f>
        <v/>
      </c>
      <c r="V1154">
        <f>IFERROR(VLOOKUP(IF(I1154="ENFASIS",LEFT(M1154,FIND("+",M1154&amp;"+")-1),J1154),Direccion_Grupo!$A$2:$G$100,7,FALSE),"")</f>
        <v/>
      </c>
    </row>
    <row r="1155">
      <c r="A1155" t="n">
        <v>14</v>
      </c>
      <c r="B1155" t="inlineStr">
        <is>
          <t>Cuéllar Gallo Nemesia</t>
        </is>
      </c>
      <c r="C1155" t="inlineStr">
        <is>
          <t>JUEVES</t>
        </is>
      </c>
      <c r="D1155" t="n">
        <v>6</v>
      </c>
      <c r="E1155" t="n">
        <v>3</v>
      </c>
      <c r="F1155" t="n">
        <v>2</v>
      </c>
      <c r="G1155" t="inlineStr">
        <is>
          <t>10:55</t>
        </is>
      </c>
      <c r="H1155" t="inlineStr">
        <is>
          <t>11:40</t>
        </is>
      </c>
      <c r="I1155" t="inlineStr">
        <is>
          <t>AREAS_MULTIPLES</t>
        </is>
      </c>
      <c r="J1155" t="inlineStr">
        <is>
          <t>0501</t>
        </is>
      </c>
      <c r="K1155" t="inlineStr">
        <is>
          <t>ÁREAS MÚLTIPLES</t>
        </is>
      </c>
      <c r="L1155" t="inlineStr"/>
      <c r="M1155" t="inlineStr"/>
      <c r="N1155" t="inlineStr"/>
      <c r="O1155" t="inlineStr">
        <is>
          <t>Maestro de aula: todas las áreas con su grupo</t>
        </is>
      </c>
      <c r="P1155" t="inlineStr"/>
      <c r="Q1155">
        <f>IF(I1155="ENFASIS","ÉNFASIS "&amp;M1155,IFERROR(VLOOKUP(J1155,Grupos!$A$2:$D$100,4,FALSE),J1155))</f>
        <v/>
      </c>
      <c r="R1155">
        <f>O1155&amp;IF(N1155&lt;&gt;"",IF(O1155&lt;&gt;""," · ","")&amp;"Con: "&amp;N1155,"")</f>
        <v/>
      </c>
      <c r="S1155">
        <f>C1155&amp;"|"&amp;D1155</f>
        <v/>
      </c>
      <c r="T1155">
        <f>COUNTIF($S$2:S1155,S1155)</f>
        <v/>
      </c>
      <c r="U1155">
        <f>S1155&amp;"|"&amp;T1155</f>
        <v/>
      </c>
      <c r="V1155">
        <f>IFERROR(VLOOKUP(IF(I1155="ENFASIS",LEFT(M1155,FIND("+",M1155&amp;"+")-1),J1155),Direccion_Grupo!$A$2:$G$100,7,FALSE),"")</f>
        <v/>
      </c>
    </row>
    <row r="1156">
      <c r="A1156" t="n">
        <v>11</v>
      </c>
      <c r="B1156" t="inlineStr">
        <is>
          <t>Centeno Zúñiga Claudia Patricia</t>
        </is>
      </c>
      <c r="C1156" t="inlineStr">
        <is>
          <t>JUEVES</t>
        </is>
      </c>
      <c r="D1156" t="n">
        <v>6</v>
      </c>
      <c r="E1156" t="n">
        <v>3</v>
      </c>
      <c r="F1156" t="n">
        <v>2</v>
      </c>
      <c r="G1156" t="inlineStr">
        <is>
          <t>10:55</t>
        </is>
      </c>
      <c r="H1156" t="inlineStr">
        <is>
          <t>11:40</t>
        </is>
      </c>
      <c r="I1156" t="inlineStr">
        <is>
          <t>AREAS_MULTIPLES</t>
        </is>
      </c>
      <c r="J1156" t="inlineStr">
        <is>
          <t>0502</t>
        </is>
      </c>
      <c r="K1156" t="inlineStr">
        <is>
          <t>ÁREAS MÚLTIPLES</t>
        </is>
      </c>
      <c r="L1156" t="inlineStr"/>
      <c r="M1156" t="inlineStr"/>
      <c r="N1156" t="inlineStr"/>
      <c r="O1156" t="inlineStr">
        <is>
          <t>Maestro de aula: todas las áreas con su grupo</t>
        </is>
      </c>
      <c r="P1156" t="inlineStr"/>
      <c r="Q1156">
        <f>IF(I1156="ENFASIS","ÉNFASIS "&amp;M1156,IFERROR(VLOOKUP(J1156,Grupos!$A$2:$D$100,4,FALSE),J1156))</f>
        <v/>
      </c>
      <c r="R1156">
        <f>O1156&amp;IF(N1156&lt;&gt;"",IF(O1156&lt;&gt;""," · ","")&amp;"Con: "&amp;N1156,"")</f>
        <v/>
      </c>
      <c r="S1156">
        <f>C1156&amp;"|"&amp;D1156</f>
        <v/>
      </c>
      <c r="T1156">
        <f>COUNTIF($S$2:S1156,S1156)</f>
        <v/>
      </c>
      <c r="U1156">
        <f>S1156&amp;"|"&amp;T1156</f>
        <v/>
      </c>
      <c r="V1156">
        <f>IFERROR(VLOOKUP(IF(I1156="ENFASIS",LEFT(M1156,FIND("+",M1156&amp;"+")-1),J1156),Direccion_Grupo!$A$2:$G$100,7,FALSE),"")</f>
        <v/>
      </c>
    </row>
    <row r="1157">
      <c r="A1157" t="n">
        <v>32</v>
      </c>
      <c r="B1157" t="inlineStr">
        <is>
          <t>Narváez Sánchez Dora Alejandra</t>
        </is>
      </c>
      <c r="C1157" t="inlineStr">
        <is>
          <t>JUEVES</t>
        </is>
      </c>
      <c r="D1157" t="n">
        <v>6</v>
      </c>
      <c r="E1157" t="n">
        <v>3</v>
      </c>
      <c r="F1157" t="n">
        <v>2</v>
      </c>
      <c r="G1157" t="inlineStr">
        <is>
          <t>10:55</t>
        </is>
      </c>
      <c r="H1157" t="inlineStr">
        <is>
          <t>11:40</t>
        </is>
      </c>
      <c r="I1157" t="inlineStr">
        <is>
          <t>AREAS_MULTIPLES</t>
        </is>
      </c>
      <c r="J1157" t="inlineStr">
        <is>
          <t>0503</t>
        </is>
      </c>
      <c r="K1157" t="inlineStr">
        <is>
          <t>ÁREAS MÚLTIPLES</t>
        </is>
      </c>
      <c r="L1157" t="inlineStr"/>
      <c r="M1157" t="inlineStr"/>
      <c r="N1157" t="inlineStr"/>
      <c r="O1157" t="inlineStr">
        <is>
          <t>Maestro de aula: todas las áreas con su grupo</t>
        </is>
      </c>
      <c r="P1157" t="inlineStr"/>
      <c r="Q1157">
        <f>IF(I1157="ENFASIS","ÉNFASIS "&amp;M1157,IFERROR(VLOOKUP(J1157,Grupos!$A$2:$D$100,4,FALSE),J1157))</f>
        <v/>
      </c>
      <c r="R1157">
        <f>O1157&amp;IF(N1157&lt;&gt;"",IF(O1157&lt;&gt;""," · ","")&amp;"Con: "&amp;N1157,"")</f>
        <v/>
      </c>
      <c r="S1157">
        <f>C1157&amp;"|"&amp;D1157</f>
        <v/>
      </c>
      <c r="T1157">
        <f>COUNTIF($S$2:S1157,S1157)</f>
        <v/>
      </c>
      <c r="U1157">
        <f>S1157&amp;"|"&amp;T1157</f>
        <v/>
      </c>
      <c r="V1157">
        <f>IFERROR(VLOOKUP(IF(I1157="ENFASIS",LEFT(M1157,FIND("+",M1157&amp;"+")-1),J1157),Direccion_Grupo!$A$2:$G$100,7,FALSE),"")</f>
        <v/>
      </c>
    </row>
    <row r="1158">
      <c r="A1158" t="n">
        <v>17</v>
      </c>
      <c r="B1158" t="inlineStr">
        <is>
          <t>Escobar Cortés Liliana</t>
        </is>
      </c>
      <c r="C1158" t="inlineStr">
        <is>
          <t>JUEVES</t>
        </is>
      </c>
      <c r="D1158" t="n">
        <v>6</v>
      </c>
      <c r="E1158" t="n">
        <v>3</v>
      </c>
      <c r="F1158" t="n">
        <v>2</v>
      </c>
      <c r="G1158" t="inlineStr">
        <is>
          <t>10:55</t>
        </is>
      </c>
      <c r="H1158" t="inlineStr">
        <is>
          <t>11:40</t>
        </is>
      </c>
      <c r="I1158" t="inlineStr">
        <is>
          <t>AREAS_MULTIPLES</t>
        </is>
      </c>
      <c r="J1158" t="inlineStr">
        <is>
          <t>0504</t>
        </is>
      </c>
      <c r="K1158" t="inlineStr">
        <is>
          <t>ÁREAS MÚLTIPLES</t>
        </is>
      </c>
      <c r="L1158" t="inlineStr"/>
      <c r="M1158" t="inlineStr"/>
      <c r="N1158" t="inlineStr"/>
      <c r="O1158" t="inlineStr">
        <is>
          <t>Maestro de aula: todas las áreas con su grupo</t>
        </is>
      </c>
      <c r="P1158" t="inlineStr"/>
      <c r="Q1158">
        <f>IF(I1158="ENFASIS","ÉNFASIS "&amp;M1158,IFERROR(VLOOKUP(J1158,Grupos!$A$2:$D$100,4,FALSE),J1158))</f>
        <v/>
      </c>
      <c r="R1158">
        <f>O1158&amp;IF(N1158&lt;&gt;"",IF(O1158&lt;&gt;""," · ","")&amp;"Con: "&amp;N1158,"")</f>
        <v/>
      </c>
      <c r="S1158">
        <f>C1158&amp;"|"&amp;D1158</f>
        <v/>
      </c>
      <c r="T1158">
        <f>COUNTIF($S$2:S1158,S1158)</f>
        <v/>
      </c>
      <c r="U1158">
        <f>S1158&amp;"|"&amp;T1158</f>
        <v/>
      </c>
      <c r="V1158">
        <f>IFERROR(VLOOKUP(IF(I1158="ENFASIS",LEFT(M1158,FIND("+",M1158&amp;"+")-1),J1158),Direccion_Grupo!$A$2:$G$100,7,FALSE),"")</f>
        <v/>
      </c>
    </row>
    <row r="1159">
      <c r="A1159" t="n">
        <v>20</v>
      </c>
      <c r="B1159" t="inlineStr">
        <is>
          <t>García Gobea Saydi Magali</t>
        </is>
      </c>
      <c r="C1159" t="inlineStr">
        <is>
          <t>JUEVES</t>
        </is>
      </c>
      <c r="D1159" t="n">
        <v>6</v>
      </c>
      <c r="E1159" t="n">
        <v>3</v>
      </c>
      <c r="F1159" t="n">
        <v>2</v>
      </c>
      <c r="G1159" t="inlineStr">
        <is>
          <t>10:55</t>
        </is>
      </c>
      <c r="H1159" t="inlineStr">
        <is>
          <t>11:40</t>
        </is>
      </c>
      <c r="I1159" t="inlineStr">
        <is>
          <t>CLASE</t>
        </is>
      </c>
      <c r="J1159" t="inlineStr">
        <is>
          <t>0601</t>
        </is>
      </c>
      <c r="K1159" t="inlineStr">
        <is>
          <t>CSI</t>
        </is>
      </c>
      <c r="L1159" t="inlineStr"/>
      <c r="M1159" t="inlineStr"/>
      <c r="N1159" t="inlineStr"/>
      <c r="O1159" t="inlineStr">
        <is>
          <t>Sociales / Inglés (alternan cada semana)</t>
        </is>
      </c>
      <c r="P1159" t="inlineStr">
        <is>
          <t>0601-CSI</t>
        </is>
      </c>
      <c r="Q1159">
        <f>IF(I1159="ENFASIS","ÉNFASIS "&amp;M1159,IFERROR(VLOOKUP(J1159,Grupos!$A$2:$D$100,4,FALSE),J1159))</f>
        <v/>
      </c>
      <c r="R1159">
        <f>O1159&amp;IF(N1159&lt;&gt;"",IF(O1159&lt;&gt;""," · ","")&amp;"Con: "&amp;N1159,"")</f>
        <v/>
      </c>
      <c r="S1159">
        <f>C1159&amp;"|"&amp;D1159</f>
        <v/>
      </c>
      <c r="T1159">
        <f>COUNTIF($S$2:S1159,S1159)</f>
        <v/>
      </c>
      <c r="U1159">
        <f>S1159&amp;"|"&amp;T1159</f>
        <v/>
      </c>
      <c r="V1159">
        <f>IFERROR(VLOOKUP(IF(I1159="ENFASIS",LEFT(M1159,FIND("+",M1159&amp;"+")-1),J1159),Direccion_Grupo!$A$2:$G$100,7,FALSE),"")</f>
        <v/>
      </c>
    </row>
    <row r="1160">
      <c r="A1160" t="n">
        <v>42</v>
      </c>
      <c r="B1160" t="inlineStr">
        <is>
          <t>Quiñones Cabezas Marcos Vidal</t>
        </is>
      </c>
      <c r="C1160" t="inlineStr">
        <is>
          <t>JUEVES</t>
        </is>
      </c>
      <c r="D1160" t="n">
        <v>6</v>
      </c>
      <c r="E1160" t="n">
        <v>3</v>
      </c>
      <c r="F1160" t="n">
        <v>2</v>
      </c>
      <c r="G1160" t="inlineStr">
        <is>
          <t>10:55</t>
        </is>
      </c>
      <c r="H1160" t="inlineStr">
        <is>
          <t>11:40</t>
        </is>
      </c>
      <c r="I1160" t="inlineStr">
        <is>
          <t>CLASE</t>
        </is>
      </c>
      <c r="J1160" t="inlineStr">
        <is>
          <t>0602</t>
        </is>
      </c>
      <c r="K1160" t="inlineStr">
        <is>
          <t>MAT</t>
        </is>
      </c>
      <c r="L1160" t="inlineStr"/>
      <c r="M1160" t="inlineStr"/>
      <c r="N1160" t="inlineStr"/>
      <c r="O1160" t="inlineStr"/>
      <c r="P1160" t="inlineStr">
        <is>
          <t>0602-MAT</t>
        </is>
      </c>
      <c r="Q1160">
        <f>IF(I1160="ENFASIS","ÉNFASIS "&amp;M1160,IFERROR(VLOOKUP(J1160,Grupos!$A$2:$D$100,4,FALSE),J1160))</f>
        <v/>
      </c>
      <c r="R1160">
        <f>O1160&amp;IF(N1160&lt;&gt;"",IF(O1160&lt;&gt;""," · ","")&amp;"Con: "&amp;N1160,"")</f>
        <v/>
      </c>
      <c r="S1160">
        <f>C1160&amp;"|"&amp;D1160</f>
        <v/>
      </c>
      <c r="T1160">
        <f>COUNTIF($S$2:S1160,S1160)</f>
        <v/>
      </c>
      <c r="U1160">
        <f>S1160&amp;"|"&amp;T1160</f>
        <v/>
      </c>
      <c r="V1160">
        <f>IFERROR(VLOOKUP(IF(I1160="ENFASIS",LEFT(M1160,FIND("+",M1160&amp;"+")-1),J1160),Direccion_Grupo!$A$2:$G$100,7,FALSE),"")</f>
        <v/>
      </c>
    </row>
    <row r="1161">
      <c r="A1161" t="n">
        <v>1</v>
      </c>
      <c r="B1161" t="inlineStr">
        <is>
          <t>Aguirre Riascos Jorge Andrés</t>
        </is>
      </c>
      <c r="C1161" t="inlineStr">
        <is>
          <t>JUEVES</t>
        </is>
      </c>
      <c r="D1161" t="n">
        <v>6</v>
      </c>
      <c r="E1161" t="n">
        <v>3</v>
      </c>
      <c r="F1161" t="n">
        <v>2</v>
      </c>
      <c r="G1161" t="inlineStr">
        <is>
          <t>10:55</t>
        </is>
      </c>
      <c r="H1161" t="inlineStr">
        <is>
          <t>11:40</t>
        </is>
      </c>
      <c r="I1161" t="inlineStr">
        <is>
          <t>CLASE</t>
        </is>
      </c>
      <c r="J1161" t="inlineStr">
        <is>
          <t>0701</t>
        </is>
      </c>
      <c r="K1161" t="inlineStr">
        <is>
          <t>TEI</t>
        </is>
      </c>
      <c r="L1161" t="inlineStr"/>
      <c r="M1161" t="inlineStr"/>
      <c r="N1161" t="inlineStr"/>
      <c r="O1161" t="inlineStr"/>
      <c r="P1161" t="inlineStr">
        <is>
          <t>0701-TEI</t>
        </is>
      </c>
      <c r="Q1161">
        <f>IF(I1161="ENFASIS","ÉNFASIS "&amp;M1161,IFERROR(VLOOKUP(J1161,Grupos!$A$2:$D$100,4,FALSE),J1161))</f>
        <v/>
      </c>
      <c r="R1161">
        <f>O1161&amp;IF(N1161&lt;&gt;"",IF(O1161&lt;&gt;""," · ","")&amp;"Con: "&amp;N1161,"")</f>
        <v/>
      </c>
      <c r="S1161">
        <f>C1161&amp;"|"&amp;D1161</f>
        <v/>
      </c>
      <c r="T1161">
        <f>COUNTIF($S$2:S1161,S1161)</f>
        <v/>
      </c>
      <c r="U1161">
        <f>S1161&amp;"|"&amp;T1161</f>
        <v/>
      </c>
      <c r="V1161">
        <f>IFERROR(VLOOKUP(IF(I1161="ENFASIS",LEFT(M1161,FIND("+",M1161&amp;"+")-1),J1161),Direccion_Grupo!$A$2:$G$100,7,FALSE),"")</f>
        <v/>
      </c>
    </row>
    <row r="1162">
      <c r="A1162" t="n">
        <v>4</v>
      </c>
      <c r="B1162" t="inlineStr">
        <is>
          <t>Arizala Castro Roberto Carlos</t>
        </is>
      </c>
      <c r="C1162" t="inlineStr">
        <is>
          <t>JUEVES</t>
        </is>
      </c>
      <c r="D1162" t="n">
        <v>6</v>
      </c>
      <c r="E1162" t="n">
        <v>3</v>
      </c>
      <c r="F1162" t="n">
        <v>2</v>
      </c>
      <c r="G1162" t="inlineStr">
        <is>
          <t>10:55</t>
        </is>
      </c>
      <c r="H1162" t="inlineStr">
        <is>
          <t>11:40</t>
        </is>
      </c>
      <c r="I1162" t="inlineStr">
        <is>
          <t>CLASE</t>
        </is>
      </c>
      <c r="J1162" t="inlineStr">
        <is>
          <t>0702</t>
        </is>
      </c>
      <c r="K1162" t="inlineStr">
        <is>
          <t>ERD</t>
        </is>
      </c>
      <c r="L1162" t="inlineStr"/>
      <c r="M1162" t="inlineStr"/>
      <c r="N1162" t="inlineStr"/>
      <c r="O1162" t="inlineStr"/>
      <c r="P1162" t="inlineStr">
        <is>
          <t>0702-ERD</t>
        </is>
      </c>
      <c r="Q1162">
        <f>IF(I1162="ENFASIS","ÉNFASIS "&amp;M1162,IFERROR(VLOOKUP(J1162,Grupos!$A$2:$D$100,4,FALSE),J1162))</f>
        <v/>
      </c>
      <c r="R1162">
        <f>O1162&amp;IF(N1162&lt;&gt;"",IF(O1162&lt;&gt;""," · ","")&amp;"Con: "&amp;N1162,"")</f>
        <v/>
      </c>
      <c r="S1162">
        <f>C1162&amp;"|"&amp;D1162</f>
        <v/>
      </c>
      <c r="T1162">
        <f>COUNTIF($S$2:S1162,S1162)</f>
        <v/>
      </c>
      <c r="U1162">
        <f>S1162&amp;"|"&amp;T1162</f>
        <v/>
      </c>
      <c r="V1162">
        <f>IFERROR(VLOOKUP(IF(I1162="ENFASIS",LEFT(M1162,FIND("+",M1162&amp;"+")-1),J1162),Direccion_Grupo!$A$2:$G$100,7,FALSE),"")</f>
        <v/>
      </c>
    </row>
    <row r="1163">
      <c r="A1163" t="n">
        <v>10</v>
      </c>
      <c r="B1163" t="inlineStr">
        <is>
          <t>Castillo Cuero Daira Eneida</t>
        </is>
      </c>
      <c r="C1163" t="inlineStr">
        <is>
          <t>JUEVES</t>
        </is>
      </c>
      <c r="D1163" t="n">
        <v>6</v>
      </c>
      <c r="E1163" t="n">
        <v>3</v>
      </c>
      <c r="F1163" t="n">
        <v>2</v>
      </c>
      <c r="G1163" t="inlineStr">
        <is>
          <t>10:55</t>
        </is>
      </c>
      <c r="H1163" t="inlineStr">
        <is>
          <t>11:40</t>
        </is>
      </c>
      <c r="I1163" t="inlineStr">
        <is>
          <t>CLASE</t>
        </is>
      </c>
      <c r="J1163" t="inlineStr">
        <is>
          <t>0703</t>
        </is>
      </c>
      <c r="K1163" t="inlineStr">
        <is>
          <t>CAS</t>
        </is>
      </c>
      <c r="L1163" t="inlineStr"/>
      <c r="M1163" t="inlineStr"/>
      <c r="N1163" t="inlineStr"/>
      <c r="O1163" t="inlineStr"/>
      <c r="P1163" t="inlineStr">
        <is>
          <t>0703-CAS</t>
        </is>
      </c>
      <c r="Q1163">
        <f>IF(I1163="ENFASIS","ÉNFASIS "&amp;M1163,IFERROR(VLOOKUP(J1163,Grupos!$A$2:$D$100,4,FALSE),J1163))</f>
        <v/>
      </c>
      <c r="R1163">
        <f>O1163&amp;IF(N1163&lt;&gt;"",IF(O1163&lt;&gt;""," · ","")&amp;"Con: "&amp;N1163,"")</f>
        <v/>
      </c>
      <c r="S1163">
        <f>C1163&amp;"|"&amp;D1163</f>
        <v/>
      </c>
      <c r="T1163">
        <f>COUNTIF($S$2:S1163,S1163)</f>
        <v/>
      </c>
      <c r="U1163">
        <f>S1163&amp;"|"&amp;T1163</f>
        <v/>
      </c>
      <c r="V1163">
        <f>IFERROR(VLOOKUP(IF(I1163="ENFASIS",LEFT(M1163,FIND("+",M1163&amp;"+")-1),J1163),Direccion_Grupo!$A$2:$G$100,7,FALSE),"")</f>
        <v/>
      </c>
    </row>
    <row r="1164">
      <c r="A1164" t="n">
        <v>9</v>
      </c>
      <c r="B1164" t="inlineStr">
        <is>
          <t>Castillo Angulo Martha Cecilia</t>
        </is>
      </c>
      <c r="C1164" t="inlineStr">
        <is>
          <t>JUEVES</t>
        </is>
      </c>
      <c r="D1164" t="n">
        <v>6</v>
      </c>
      <c r="E1164" t="n">
        <v>3</v>
      </c>
      <c r="F1164" t="n">
        <v>2</v>
      </c>
      <c r="G1164" t="inlineStr">
        <is>
          <t>10:55</t>
        </is>
      </c>
      <c r="H1164" t="inlineStr">
        <is>
          <t>11:40</t>
        </is>
      </c>
      <c r="I1164" t="inlineStr">
        <is>
          <t>CLASE</t>
        </is>
      </c>
      <c r="J1164" t="inlineStr">
        <is>
          <t>0802</t>
        </is>
      </c>
      <c r="K1164" t="inlineStr">
        <is>
          <t>ETR</t>
        </is>
      </c>
      <c r="L1164" t="inlineStr"/>
      <c r="M1164" t="inlineStr"/>
      <c r="N1164" t="inlineStr"/>
      <c r="O1164" t="inlineStr">
        <is>
          <t>Ética / Religión (alternan cada semana)</t>
        </is>
      </c>
      <c r="P1164" t="inlineStr">
        <is>
          <t>0802-ETR</t>
        </is>
      </c>
      <c r="Q1164">
        <f>IF(I1164="ENFASIS","ÉNFASIS "&amp;M1164,IFERROR(VLOOKUP(J1164,Grupos!$A$2:$D$100,4,FALSE),J1164))</f>
        <v/>
      </c>
      <c r="R1164">
        <f>O1164&amp;IF(N1164&lt;&gt;"",IF(O1164&lt;&gt;""," · ","")&amp;"Con: "&amp;N1164,"")</f>
        <v/>
      </c>
      <c r="S1164">
        <f>C1164&amp;"|"&amp;D1164</f>
        <v/>
      </c>
      <c r="T1164">
        <f>COUNTIF($S$2:S1164,S1164)</f>
        <v/>
      </c>
      <c r="U1164">
        <f>S1164&amp;"|"&amp;T1164</f>
        <v/>
      </c>
      <c r="V1164">
        <f>IFERROR(VLOOKUP(IF(I1164="ENFASIS",LEFT(M1164,FIND("+",M1164&amp;"+")-1),J1164),Direccion_Grupo!$A$2:$G$100,7,FALSE),"")</f>
        <v/>
      </c>
    </row>
    <row r="1165">
      <c r="A1165" t="n">
        <v>25</v>
      </c>
      <c r="B1165" t="inlineStr">
        <is>
          <t>Lemos Guancha Miriam</t>
        </is>
      </c>
      <c r="C1165" t="inlineStr">
        <is>
          <t>JUEVES</t>
        </is>
      </c>
      <c r="D1165" t="n">
        <v>6</v>
      </c>
      <c r="E1165" t="n">
        <v>3</v>
      </c>
      <c r="F1165" t="n">
        <v>2</v>
      </c>
      <c r="G1165" t="inlineStr">
        <is>
          <t>10:55</t>
        </is>
      </c>
      <c r="H1165" t="inlineStr">
        <is>
          <t>11:40</t>
        </is>
      </c>
      <c r="I1165" t="inlineStr">
        <is>
          <t>CLASE</t>
        </is>
      </c>
      <c r="J1165" t="inlineStr">
        <is>
          <t>0901</t>
        </is>
      </c>
      <c r="K1165" t="inlineStr">
        <is>
          <t>CNA</t>
        </is>
      </c>
      <c r="L1165" t="inlineStr"/>
      <c r="M1165" t="inlineStr"/>
      <c r="N1165" t="inlineStr"/>
      <c r="O1165" t="inlineStr"/>
      <c r="P1165" t="inlineStr">
        <is>
          <t>0901-CNA</t>
        </is>
      </c>
      <c r="Q1165">
        <f>IF(I1165="ENFASIS","ÉNFASIS "&amp;M1165,IFERROR(VLOOKUP(J1165,Grupos!$A$2:$D$100,4,FALSE),J1165))</f>
        <v/>
      </c>
      <c r="R1165">
        <f>O1165&amp;IF(N1165&lt;&gt;"",IF(O1165&lt;&gt;""," · ","")&amp;"Con: "&amp;N1165,"")</f>
        <v/>
      </c>
      <c r="S1165">
        <f>C1165&amp;"|"&amp;D1165</f>
        <v/>
      </c>
      <c r="T1165">
        <f>COUNTIF($S$2:S1165,S1165)</f>
        <v/>
      </c>
      <c r="U1165">
        <f>S1165&amp;"|"&amp;T1165</f>
        <v/>
      </c>
      <c r="V1165">
        <f>IFERROR(VLOOKUP(IF(I1165="ENFASIS",LEFT(M1165,FIND("+",M1165&amp;"+")-1),J1165),Direccion_Grupo!$A$2:$G$100,7,FALSE),"")</f>
        <v/>
      </c>
    </row>
    <row r="1166">
      <c r="A1166" t="n">
        <v>22</v>
      </c>
      <c r="B1166" t="inlineStr">
        <is>
          <t>González Castillo Jólmer Jimy</t>
        </is>
      </c>
      <c r="C1166" t="inlineStr">
        <is>
          <t>JUEVES</t>
        </is>
      </c>
      <c r="D1166" t="n">
        <v>6</v>
      </c>
      <c r="E1166" t="n">
        <v>3</v>
      </c>
      <c r="F1166" t="n">
        <v>2</v>
      </c>
      <c r="G1166" t="inlineStr">
        <is>
          <t>10:55</t>
        </is>
      </c>
      <c r="H1166" t="inlineStr">
        <is>
          <t>11:40</t>
        </is>
      </c>
      <c r="I1166" t="inlineStr">
        <is>
          <t>CLASE</t>
        </is>
      </c>
      <c r="J1166" t="inlineStr">
        <is>
          <t>0902</t>
        </is>
      </c>
      <c r="K1166" t="inlineStr">
        <is>
          <t>ERD</t>
        </is>
      </c>
      <c r="L1166" t="inlineStr"/>
      <c r="M1166" t="inlineStr"/>
      <c r="N1166" t="inlineStr"/>
      <c r="O1166" t="inlineStr"/>
      <c r="P1166" t="inlineStr">
        <is>
          <t>0902-ERD</t>
        </is>
      </c>
      <c r="Q1166">
        <f>IF(I1166="ENFASIS","ÉNFASIS "&amp;M1166,IFERROR(VLOOKUP(J1166,Grupos!$A$2:$D$100,4,FALSE),J1166))</f>
        <v/>
      </c>
      <c r="R1166">
        <f>O1166&amp;IF(N1166&lt;&gt;"",IF(O1166&lt;&gt;""," · ","")&amp;"Con: "&amp;N1166,"")</f>
        <v/>
      </c>
      <c r="S1166">
        <f>C1166&amp;"|"&amp;D1166</f>
        <v/>
      </c>
      <c r="T1166">
        <f>COUNTIF($S$2:S1166,S1166)</f>
        <v/>
      </c>
      <c r="U1166">
        <f>S1166&amp;"|"&amp;T1166</f>
        <v/>
      </c>
      <c r="V1166">
        <f>IFERROR(VLOOKUP(IF(I1166="ENFASIS",LEFT(M1166,FIND("+",M1166&amp;"+")-1),J1166),Direccion_Grupo!$A$2:$G$100,7,FALSE),"")</f>
        <v/>
      </c>
    </row>
    <row r="1167">
      <c r="A1167" t="n">
        <v>49</v>
      </c>
      <c r="B1167" t="inlineStr">
        <is>
          <t>Valencia Marínez Saidy Eufemia</t>
        </is>
      </c>
      <c r="C1167" t="inlineStr">
        <is>
          <t>JUEVES</t>
        </is>
      </c>
      <c r="D1167" t="n">
        <v>6</v>
      </c>
      <c r="E1167" t="n">
        <v>3</v>
      </c>
      <c r="F1167" t="n">
        <v>2</v>
      </c>
      <c r="G1167" t="inlineStr">
        <is>
          <t>10:55</t>
        </is>
      </c>
      <c r="H1167" t="inlineStr">
        <is>
          <t>11:40</t>
        </is>
      </c>
      <c r="I1167" t="inlineStr">
        <is>
          <t>CLASE</t>
        </is>
      </c>
      <c r="J1167" t="inlineStr">
        <is>
          <t>1001</t>
        </is>
      </c>
      <c r="K1167" t="inlineStr">
        <is>
          <t>ART</t>
        </is>
      </c>
      <c r="L1167" t="inlineStr"/>
      <c r="M1167" t="inlineStr"/>
      <c r="N1167" t="inlineStr"/>
      <c r="O1167" t="inlineStr"/>
      <c r="P1167" t="inlineStr">
        <is>
          <t>1001-ART</t>
        </is>
      </c>
      <c r="Q1167">
        <f>IF(I1167="ENFASIS","ÉNFASIS "&amp;M1167,IFERROR(VLOOKUP(J1167,Grupos!$A$2:$D$100,4,FALSE),J1167))</f>
        <v/>
      </c>
      <c r="R1167">
        <f>O1167&amp;IF(N1167&lt;&gt;"",IF(O1167&lt;&gt;""," · ","")&amp;"Con: "&amp;N1167,"")</f>
        <v/>
      </c>
      <c r="S1167">
        <f>C1167&amp;"|"&amp;D1167</f>
        <v/>
      </c>
      <c r="T1167">
        <f>COUNTIF($S$2:S1167,S1167)</f>
        <v/>
      </c>
      <c r="U1167">
        <f>S1167&amp;"|"&amp;T1167</f>
        <v/>
      </c>
      <c r="V1167">
        <f>IFERROR(VLOOKUP(IF(I1167="ENFASIS",LEFT(M1167,FIND("+",M1167&amp;"+")-1),J1167),Direccion_Grupo!$A$2:$G$100,7,FALSE),"")</f>
        <v/>
      </c>
    </row>
    <row r="1168">
      <c r="A1168" t="n">
        <v>53</v>
      </c>
      <c r="B1168" t="inlineStr">
        <is>
          <t>Villota Rubio Héctor Hugo</t>
        </is>
      </c>
      <c r="C1168" t="inlineStr">
        <is>
          <t>JUEVES</t>
        </is>
      </c>
      <c r="D1168" t="n">
        <v>6</v>
      </c>
      <c r="E1168" t="n">
        <v>3</v>
      </c>
      <c r="F1168" t="n">
        <v>2</v>
      </c>
      <c r="G1168" t="inlineStr">
        <is>
          <t>10:55</t>
        </is>
      </c>
      <c r="H1168" t="inlineStr">
        <is>
          <t>11:40</t>
        </is>
      </c>
      <c r="I1168" t="inlineStr">
        <is>
          <t>CLASE</t>
        </is>
      </c>
      <c r="J1168" t="inlineStr">
        <is>
          <t>1101</t>
        </is>
      </c>
      <c r="K1168" t="inlineStr">
        <is>
          <t>CNA</t>
        </is>
      </c>
      <c r="L1168" t="inlineStr"/>
      <c r="M1168" t="inlineStr"/>
      <c r="N1168" t="inlineStr"/>
      <c r="O1168" t="inlineStr"/>
      <c r="P1168" t="inlineStr">
        <is>
          <t>1101-CNA</t>
        </is>
      </c>
      <c r="Q1168">
        <f>IF(I1168="ENFASIS","ÉNFASIS "&amp;M1168,IFERROR(VLOOKUP(J1168,Grupos!$A$2:$D$100,4,FALSE),J1168))</f>
        <v/>
      </c>
      <c r="R1168">
        <f>O1168&amp;IF(N1168&lt;&gt;"",IF(O1168&lt;&gt;""," · ","")&amp;"Con: "&amp;N1168,"")</f>
        <v/>
      </c>
      <c r="S1168">
        <f>C1168&amp;"|"&amp;D1168</f>
        <v/>
      </c>
      <c r="T1168">
        <f>COUNTIF($S$2:S1168,S1168)</f>
        <v/>
      </c>
      <c r="U1168">
        <f>S1168&amp;"|"&amp;T1168</f>
        <v/>
      </c>
      <c r="V1168">
        <f>IFERROR(VLOOKUP(IF(I1168="ENFASIS",LEFT(M1168,FIND("+",M1168&amp;"+")-1),J1168),Direccion_Grupo!$A$2:$G$100,7,FALSE),"")</f>
        <v/>
      </c>
    </row>
    <row r="1169">
      <c r="A1169" t="n">
        <v>43</v>
      </c>
      <c r="B1169" t="inlineStr">
        <is>
          <t>Ramírez Guerra Jimmy Eduardo</t>
        </is>
      </c>
      <c r="C1169" t="inlineStr">
        <is>
          <t>JUEVES</t>
        </is>
      </c>
      <c r="D1169" t="n">
        <v>6</v>
      </c>
      <c r="E1169" t="n">
        <v>3</v>
      </c>
      <c r="F1169" t="n">
        <v>2</v>
      </c>
      <c r="G1169" t="inlineStr">
        <is>
          <t>10:55</t>
        </is>
      </c>
      <c r="H1169" t="inlineStr">
        <is>
          <t>11:40</t>
        </is>
      </c>
      <c r="I1169" t="inlineStr">
        <is>
          <t>CLASE</t>
        </is>
      </c>
      <c r="J1169" t="inlineStr">
        <is>
          <t>1102</t>
        </is>
      </c>
      <c r="K1169" t="inlineStr">
        <is>
          <t>ERD</t>
        </is>
      </c>
      <c r="L1169" t="inlineStr"/>
      <c r="M1169" t="inlineStr"/>
      <c r="N1169" t="inlineStr"/>
      <c r="O1169" t="inlineStr"/>
      <c r="P1169" t="inlineStr">
        <is>
          <t>1102-ERD</t>
        </is>
      </c>
      <c r="Q1169">
        <f>IF(I1169="ENFASIS","ÉNFASIS "&amp;M1169,IFERROR(VLOOKUP(J1169,Grupos!$A$2:$D$100,4,FALSE),J1169))</f>
        <v/>
      </c>
      <c r="R1169">
        <f>O1169&amp;IF(N1169&lt;&gt;"",IF(O1169&lt;&gt;""," · ","")&amp;"Con: "&amp;N1169,"")</f>
        <v/>
      </c>
      <c r="S1169">
        <f>C1169&amp;"|"&amp;D1169</f>
        <v/>
      </c>
      <c r="T1169">
        <f>COUNTIF($S$2:S1169,S1169)</f>
        <v/>
      </c>
      <c r="U1169">
        <f>S1169&amp;"|"&amp;T1169</f>
        <v/>
      </c>
      <c r="V1169">
        <f>IFERROR(VLOOKUP(IF(I1169="ENFASIS",LEFT(M1169,FIND("+",M1169&amp;"+")-1),J1169),Direccion_Grupo!$A$2:$G$100,7,FALSE),"")</f>
        <v/>
      </c>
    </row>
    <row r="1170">
      <c r="A1170" t="n">
        <v>16</v>
      </c>
      <c r="B1170" t="inlineStr">
        <is>
          <t>Cuero Rincón Hernando Jesús</t>
        </is>
      </c>
      <c r="C1170" t="inlineStr">
        <is>
          <t>JUEVES</t>
        </is>
      </c>
      <c r="D1170" t="n">
        <v>6</v>
      </c>
      <c r="E1170" t="n">
        <v>3</v>
      </c>
      <c r="F1170" t="n">
        <v>2</v>
      </c>
      <c r="G1170" t="inlineStr">
        <is>
          <t>10:55</t>
        </is>
      </c>
      <c r="H1170" t="inlineStr">
        <is>
          <t>11:40</t>
        </is>
      </c>
      <c r="I1170" t="inlineStr">
        <is>
          <t>CLASE</t>
        </is>
      </c>
      <c r="J1170" t="inlineStr">
        <is>
          <t>CS101</t>
        </is>
      </c>
      <c r="K1170" t="inlineStr">
        <is>
          <t>CAS</t>
        </is>
      </c>
      <c r="L1170" t="inlineStr"/>
      <c r="M1170" t="inlineStr"/>
      <c r="N1170" t="inlineStr"/>
      <c r="O1170" t="inlineStr"/>
      <c r="P1170" t="inlineStr">
        <is>
          <t>CS101-CAS</t>
        </is>
      </c>
      <c r="Q1170">
        <f>IF(I1170="ENFASIS","ÉNFASIS "&amp;M1170,IFERROR(VLOOKUP(J1170,Grupos!$A$2:$D$100,4,FALSE),J1170))</f>
        <v/>
      </c>
      <c r="R1170">
        <f>O1170&amp;IF(N1170&lt;&gt;"",IF(O1170&lt;&gt;""," · ","")&amp;"Con: "&amp;N1170,"")</f>
        <v/>
      </c>
      <c r="S1170">
        <f>C1170&amp;"|"&amp;D1170</f>
        <v/>
      </c>
      <c r="T1170">
        <f>COUNTIF($S$2:S1170,S1170)</f>
        <v/>
      </c>
      <c r="U1170">
        <f>S1170&amp;"|"&amp;T1170</f>
        <v/>
      </c>
      <c r="V1170">
        <f>IFERROR(VLOOKUP(IF(I1170="ENFASIS",LEFT(M1170,FIND("+",M1170&amp;"+")-1),J1170),Direccion_Grupo!$A$2:$G$100,7,FALSE),"")</f>
        <v/>
      </c>
    </row>
    <row r="1171">
      <c r="A1171" t="n">
        <v>57</v>
      </c>
      <c r="B1171" t="inlineStr">
        <is>
          <t>Armero Dájome Jesús</t>
        </is>
      </c>
      <c r="C1171" t="inlineStr">
        <is>
          <t>JUEVES</t>
        </is>
      </c>
      <c r="D1171" t="n">
        <v>6</v>
      </c>
      <c r="E1171" t="n">
        <v>3</v>
      </c>
      <c r="F1171" t="n">
        <v>2</v>
      </c>
      <c r="G1171" t="inlineStr">
        <is>
          <t>10:55</t>
        </is>
      </c>
      <c r="H1171" t="inlineStr">
        <is>
          <t>11:40</t>
        </is>
      </c>
      <c r="I1171" t="inlineStr">
        <is>
          <t>CLASE</t>
        </is>
      </c>
      <c r="J1171" t="inlineStr">
        <is>
          <t>CS102</t>
        </is>
      </c>
      <c r="K1171" t="inlineStr">
        <is>
          <t>CNA</t>
        </is>
      </c>
      <c r="L1171" t="inlineStr"/>
      <c r="M1171" t="inlineStr"/>
      <c r="N1171" t="inlineStr"/>
      <c r="O1171" t="inlineStr"/>
      <c r="P1171" t="inlineStr">
        <is>
          <t>CS102-CNA</t>
        </is>
      </c>
      <c r="Q1171">
        <f>IF(I1171="ENFASIS","ÉNFASIS "&amp;M1171,IFERROR(VLOOKUP(J1171,Grupos!$A$2:$D$100,4,FALSE),J1171))</f>
        <v/>
      </c>
      <c r="R1171">
        <f>O1171&amp;IF(N1171&lt;&gt;"",IF(O1171&lt;&gt;""," · ","")&amp;"Con: "&amp;N1171,"")</f>
        <v/>
      </c>
      <c r="S1171">
        <f>C1171&amp;"|"&amp;D1171</f>
        <v/>
      </c>
      <c r="T1171">
        <f>COUNTIF($S$2:S1171,S1171)</f>
        <v/>
      </c>
      <c r="U1171">
        <f>S1171&amp;"|"&amp;T1171</f>
        <v/>
      </c>
      <c r="V1171">
        <f>IFERROR(VLOOKUP(IF(I1171="ENFASIS",LEFT(M1171,FIND("+",M1171&amp;"+")-1),J1171),Direccion_Grupo!$A$2:$G$100,7,FALSE),"")</f>
        <v/>
      </c>
    </row>
    <row r="1172">
      <c r="A1172" t="n">
        <v>35</v>
      </c>
      <c r="B1172" t="inlineStr">
        <is>
          <t>Ortiz Araujo Adiela Carlota</t>
        </is>
      </c>
      <c r="C1172" t="inlineStr">
        <is>
          <t>JUEVES</t>
        </is>
      </c>
      <c r="D1172" t="n">
        <v>6</v>
      </c>
      <c r="E1172" t="n">
        <v>3</v>
      </c>
      <c r="F1172" t="n">
        <v>2</v>
      </c>
      <c r="G1172" t="inlineStr">
        <is>
          <t>10:55</t>
        </is>
      </c>
      <c r="H1172" t="inlineStr">
        <is>
          <t>11:40</t>
        </is>
      </c>
      <c r="I1172" t="inlineStr">
        <is>
          <t>CLASE</t>
        </is>
      </c>
      <c r="J1172" t="inlineStr">
        <is>
          <t>CS201</t>
        </is>
      </c>
      <c r="K1172" t="inlineStr">
        <is>
          <t>CSI</t>
        </is>
      </c>
      <c r="L1172" t="inlineStr"/>
      <c r="M1172" t="inlineStr"/>
      <c r="N1172" t="inlineStr"/>
      <c r="O1172" t="inlineStr">
        <is>
          <t>Sociales / Inglés (alternan cada semana)</t>
        </is>
      </c>
      <c r="P1172" t="inlineStr">
        <is>
          <t>CS201-CSI</t>
        </is>
      </c>
      <c r="Q1172">
        <f>IF(I1172="ENFASIS","ÉNFASIS "&amp;M1172,IFERROR(VLOOKUP(J1172,Grupos!$A$2:$D$100,4,FALSE),J1172))</f>
        <v/>
      </c>
      <c r="R1172">
        <f>O1172&amp;IF(N1172&lt;&gt;"",IF(O1172&lt;&gt;""," · ","")&amp;"Con: "&amp;N1172,"")</f>
        <v/>
      </c>
      <c r="S1172">
        <f>C1172&amp;"|"&amp;D1172</f>
        <v/>
      </c>
      <c r="T1172">
        <f>COUNTIF($S$2:S1172,S1172)</f>
        <v/>
      </c>
      <c r="U1172">
        <f>S1172&amp;"|"&amp;T1172</f>
        <v/>
      </c>
      <c r="V1172">
        <f>IFERROR(VLOOKUP(IF(I1172="ENFASIS",LEFT(M1172,FIND("+",M1172&amp;"+")-1),J1172),Direccion_Grupo!$A$2:$G$100,7,FALSE),"")</f>
        <v/>
      </c>
    </row>
    <row r="1173">
      <c r="A1173" t="n">
        <v>7</v>
      </c>
      <c r="B1173" t="inlineStr">
        <is>
          <t>Casanova Casanova Johana Andrea</t>
        </is>
      </c>
      <c r="C1173" t="inlineStr">
        <is>
          <t>JUEVES</t>
        </is>
      </c>
      <c r="D1173" t="n">
        <v>6</v>
      </c>
      <c r="E1173" t="n">
        <v>3</v>
      </c>
      <c r="F1173" t="n">
        <v>2</v>
      </c>
      <c r="G1173" t="inlineStr">
        <is>
          <t>10:55</t>
        </is>
      </c>
      <c r="H1173" t="inlineStr">
        <is>
          <t>11:40</t>
        </is>
      </c>
      <c r="I1173" t="inlineStr">
        <is>
          <t>ORIENTACION</t>
        </is>
      </c>
      <c r="J1173" t="inlineStr">
        <is>
          <t>ORIENT</t>
        </is>
      </c>
      <c r="K1173" t="inlineStr">
        <is>
          <t>ORIENTACIÓN ESCOLAR</t>
        </is>
      </c>
      <c r="L1173" t="inlineStr"/>
      <c r="M1173" t="inlineStr"/>
      <c r="N1173" t="inlineStr"/>
      <c r="O1173" t="inlineStr">
        <is>
          <t>Jornada 07:30 a 14:30</t>
        </is>
      </c>
      <c r="P1173" t="inlineStr"/>
      <c r="Q1173">
        <f>IF(I1173="ENFASIS","ÉNFASIS "&amp;M1173,IFERROR(VLOOKUP(J1173,Grupos!$A$2:$D$100,4,FALSE),J1173))</f>
        <v/>
      </c>
      <c r="R1173">
        <f>O1173&amp;IF(N1173&lt;&gt;"",IF(O1173&lt;&gt;""," · ","")&amp;"Con: "&amp;N1173,"")</f>
        <v/>
      </c>
      <c r="S1173">
        <f>C1173&amp;"|"&amp;D1173</f>
        <v/>
      </c>
      <c r="T1173">
        <f>COUNTIF($S$2:S1173,S1173)</f>
        <v/>
      </c>
      <c r="U1173">
        <f>S1173&amp;"|"&amp;T1173</f>
        <v/>
      </c>
      <c r="V1173">
        <f>IFERROR(VLOOKUP(IF(I1173="ENFASIS",LEFT(M1173,FIND("+",M1173&amp;"+")-1),J1173),Direccion_Grupo!$A$2:$G$100,7,FALSE),"")</f>
        <v/>
      </c>
    </row>
    <row r="1174">
      <c r="A1174" t="n">
        <v>36</v>
      </c>
      <c r="B1174" t="inlineStr">
        <is>
          <t>Ponce Moncayo Ángela Paola</t>
        </is>
      </c>
      <c r="C1174" t="inlineStr">
        <is>
          <t>JUEVES</t>
        </is>
      </c>
      <c r="D1174" t="n">
        <v>6</v>
      </c>
      <c r="E1174" t="n">
        <v>3</v>
      </c>
      <c r="F1174" t="n">
        <v>2</v>
      </c>
      <c r="G1174" t="inlineStr">
        <is>
          <t>10:55</t>
        </is>
      </c>
      <c r="H1174" t="inlineStr">
        <is>
          <t>11:40</t>
        </is>
      </c>
      <c r="I1174" t="inlineStr">
        <is>
          <t>ORIENTACION</t>
        </is>
      </c>
      <c r="J1174" t="inlineStr">
        <is>
          <t>ORIENT</t>
        </is>
      </c>
      <c r="K1174" t="inlineStr">
        <is>
          <t>ORIENTACIÓN ESCOLAR</t>
        </is>
      </c>
      <c r="L1174" t="inlineStr"/>
      <c r="M1174" t="inlineStr"/>
      <c r="N1174" t="inlineStr"/>
      <c r="O1174" t="inlineStr">
        <is>
          <t>Jornada 08:30 a 13:30</t>
        </is>
      </c>
      <c r="P1174" t="inlineStr"/>
      <c r="Q1174">
        <f>IF(I1174="ENFASIS","ÉNFASIS "&amp;M1174,IFERROR(VLOOKUP(J1174,Grupos!$A$2:$D$100,4,FALSE),J1174))</f>
        <v/>
      </c>
      <c r="R1174">
        <f>O1174&amp;IF(N1174&lt;&gt;"",IF(O1174&lt;&gt;""," · ","")&amp;"Con: "&amp;N1174,"")</f>
        <v/>
      </c>
      <c r="S1174">
        <f>C1174&amp;"|"&amp;D1174</f>
        <v/>
      </c>
      <c r="T1174">
        <f>COUNTIF($S$2:S1174,S1174)</f>
        <v/>
      </c>
      <c r="U1174">
        <f>S1174&amp;"|"&amp;T1174</f>
        <v/>
      </c>
      <c r="V1174">
        <f>IFERROR(VLOOKUP(IF(I1174="ENFASIS",LEFT(M1174,FIND("+",M1174&amp;"+")-1),J1174),Direccion_Grupo!$A$2:$G$100,7,FALSE),"")</f>
        <v/>
      </c>
    </row>
    <row r="1175">
      <c r="A1175" t="n">
        <v>56</v>
      </c>
      <c r="B1175" t="inlineStr">
        <is>
          <t>Ortiz Estacio Martha Cecilia</t>
        </is>
      </c>
      <c r="C1175" t="inlineStr">
        <is>
          <t>JUEVES</t>
        </is>
      </c>
      <c r="D1175" t="n">
        <v>6</v>
      </c>
      <c r="E1175" t="n">
        <v>3</v>
      </c>
      <c r="F1175" t="n">
        <v>2</v>
      </c>
      <c r="G1175" t="inlineStr">
        <is>
          <t>10:55</t>
        </is>
      </c>
      <c r="H1175" t="inlineStr">
        <is>
          <t>11:40</t>
        </is>
      </c>
      <c r="I1175" t="inlineStr">
        <is>
          <t>TUTORIA</t>
        </is>
      </c>
      <c r="J1175" t="inlineStr">
        <is>
          <t>PTAFI</t>
        </is>
      </c>
      <c r="K1175" t="inlineStr">
        <is>
          <t>TUTORÍA PTAFI</t>
        </is>
      </c>
      <c r="L1175" t="inlineStr"/>
      <c r="M1175" t="inlineStr"/>
      <c r="N1175" t="inlineStr"/>
      <c r="O1175" t="inlineStr">
        <is>
          <t>Jornada 06:30 a 12:00</t>
        </is>
      </c>
      <c r="P1175" t="inlineStr"/>
      <c r="Q1175">
        <f>IF(I1175="ENFASIS","ÉNFASIS "&amp;M1175,IFERROR(VLOOKUP(J1175,Grupos!$A$2:$D$100,4,FALSE),J1175))</f>
        <v/>
      </c>
      <c r="R1175">
        <f>O1175&amp;IF(N1175&lt;&gt;"",IF(O1175&lt;&gt;""," · ","")&amp;"Con: "&amp;N1175,"")</f>
        <v/>
      </c>
      <c r="S1175">
        <f>C1175&amp;"|"&amp;D1175</f>
        <v/>
      </c>
      <c r="T1175">
        <f>COUNTIF($S$2:S1175,S1175)</f>
        <v/>
      </c>
      <c r="U1175">
        <f>S1175&amp;"|"&amp;T1175</f>
        <v/>
      </c>
      <c r="V1175">
        <f>IFERROR(VLOOKUP(IF(I1175="ENFASIS",LEFT(M1175,FIND("+",M1175&amp;"+")-1),J1175),Direccion_Grupo!$A$2:$G$100,7,FALSE),"")</f>
        <v/>
      </c>
    </row>
    <row r="1176">
      <c r="A1176" t="n">
        <v>19</v>
      </c>
      <c r="B1176" t="inlineStr">
        <is>
          <t>Fernández Vélez Alfredo Enrique</t>
        </is>
      </c>
      <c r="C1176" t="inlineStr">
        <is>
          <t>JUEVES</t>
        </is>
      </c>
      <c r="D1176" t="n">
        <v>6</v>
      </c>
      <c r="E1176" t="n">
        <v>3</v>
      </c>
      <c r="F1176" t="n">
        <v>2</v>
      </c>
      <c r="G1176" t="inlineStr">
        <is>
          <t>10:55</t>
        </is>
      </c>
      <c r="H1176" t="inlineStr">
        <is>
          <t>11:40</t>
        </is>
      </c>
      <c r="I1176" t="inlineStr">
        <is>
          <t>ENFASIS</t>
        </is>
      </c>
      <c r="J1176" t="inlineStr"/>
      <c r="K1176" t="inlineStr">
        <is>
          <t>TEI</t>
        </is>
      </c>
      <c r="L1176" t="inlineStr">
        <is>
          <t>0704</t>
        </is>
      </c>
      <c r="M1176" t="inlineStr">
        <is>
          <t>0704</t>
        </is>
      </c>
      <c r="N1176" t="inlineStr">
        <is>
          <t>Preciado Torres Oleisa (MAT)</t>
        </is>
      </c>
      <c r="O1176" t="inlineStr">
        <is>
          <t>PAREJA: comparten el énfasis y alternan por semana</t>
        </is>
      </c>
      <c r="P1176" t="inlineStr">
        <is>
          <t>ENFASIS-0704</t>
        </is>
      </c>
      <c r="Q1176">
        <f>IF(I1176="ENFASIS","ÉNFASIS "&amp;M1176,IFERROR(VLOOKUP(J1176,Grupos!$A$2:$D$100,4,FALSE),J1176))</f>
        <v/>
      </c>
      <c r="R1176">
        <f>O1176&amp;IF(N1176&lt;&gt;"",IF(O1176&lt;&gt;""," · ","")&amp;"Con: "&amp;N1176,"")</f>
        <v/>
      </c>
      <c r="S1176">
        <f>C1176&amp;"|"&amp;D1176</f>
        <v/>
      </c>
      <c r="T1176">
        <f>COUNTIF($S$2:S1176,S1176)</f>
        <v/>
      </c>
      <c r="U1176">
        <f>S1176&amp;"|"&amp;T1176</f>
        <v/>
      </c>
      <c r="V1176">
        <f>IFERROR(VLOOKUP(IF(I1176="ENFASIS",LEFT(M1176,FIND("+",M1176&amp;"+")-1),J1176),Direccion_Grupo!$A$2:$G$100,7,FALSE),"")</f>
        <v/>
      </c>
    </row>
    <row r="1177">
      <c r="A1177" t="n">
        <v>38</v>
      </c>
      <c r="B1177" t="inlineStr">
        <is>
          <t>Preciado Torres Oleisa</t>
        </is>
      </c>
      <c r="C1177" t="inlineStr">
        <is>
          <t>JUEVES</t>
        </is>
      </c>
      <c r="D1177" t="n">
        <v>6</v>
      </c>
      <c r="E1177" t="n">
        <v>3</v>
      </c>
      <c r="F1177" t="n">
        <v>2</v>
      </c>
      <c r="G1177" t="inlineStr">
        <is>
          <t>10:55</t>
        </is>
      </c>
      <c r="H1177" t="inlineStr">
        <is>
          <t>11:40</t>
        </is>
      </c>
      <c r="I1177" t="inlineStr">
        <is>
          <t>ENFASIS</t>
        </is>
      </c>
      <c r="J1177" t="inlineStr"/>
      <c r="K1177" t="inlineStr">
        <is>
          <t>MAT</t>
        </is>
      </c>
      <c r="L1177" t="inlineStr">
        <is>
          <t>0704</t>
        </is>
      </c>
      <c r="M1177" t="inlineStr">
        <is>
          <t>0704</t>
        </is>
      </c>
      <c r="N1177" t="inlineStr">
        <is>
          <t>Fernández Vélez Alfredo Enrique (TEI)</t>
        </is>
      </c>
      <c r="O1177" t="inlineStr">
        <is>
          <t>PAREJA: comparten el énfasis y alternan por semana</t>
        </is>
      </c>
      <c r="P1177" t="inlineStr">
        <is>
          <t>ENFASIS-0704</t>
        </is>
      </c>
      <c r="Q1177">
        <f>IF(I1177="ENFASIS","ÉNFASIS "&amp;M1177,IFERROR(VLOOKUP(J1177,Grupos!$A$2:$D$100,4,FALSE),J1177))</f>
        <v/>
      </c>
      <c r="R1177">
        <f>O1177&amp;IF(N1177&lt;&gt;"",IF(O1177&lt;&gt;""," · ","")&amp;"Con: "&amp;N1177,"")</f>
        <v/>
      </c>
      <c r="S1177">
        <f>C1177&amp;"|"&amp;D1177</f>
        <v/>
      </c>
      <c r="T1177">
        <f>COUNTIF($S$2:S1177,S1177)</f>
        <v/>
      </c>
      <c r="U1177">
        <f>S1177&amp;"|"&amp;T1177</f>
        <v/>
      </c>
      <c r="V1177">
        <f>IFERROR(VLOOKUP(IF(I1177="ENFASIS",LEFT(M1177,FIND("+",M1177&amp;"+")-1),J1177),Direccion_Grupo!$A$2:$G$100,7,FALSE),"")</f>
        <v/>
      </c>
    </row>
    <row r="1178">
      <c r="A1178" t="n">
        <v>12</v>
      </c>
      <c r="B1178" t="inlineStr">
        <is>
          <t>Chillambo Quiñones María Rocío</t>
        </is>
      </c>
      <c r="C1178" t="inlineStr">
        <is>
          <t>JUEVES</t>
        </is>
      </c>
      <c r="D1178" t="n">
        <v>6</v>
      </c>
      <c r="E1178" t="n">
        <v>3</v>
      </c>
      <c r="F1178" t="n">
        <v>2</v>
      </c>
      <c r="G1178" t="inlineStr">
        <is>
          <t>10:55</t>
        </is>
      </c>
      <c r="H1178" t="inlineStr">
        <is>
          <t>11:40</t>
        </is>
      </c>
      <c r="I1178" t="inlineStr">
        <is>
          <t>ENFASIS</t>
        </is>
      </c>
      <c r="J1178" t="inlineStr"/>
      <c r="K1178" t="inlineStr">
        <is>
          <t>CNA</t>
        </is>
      </c>
      <c r="L1178" t="inlineStr">
        <is>
          <t>0801</t>
        </is>
      </c>
      <c r="M1178" t="inlineStr">
        <is>
          <t>0801</t>
        </is>
      </c>
      <c r="N1178" t="inlineStr">
        <is>
          <t>Samaniego Angulo Flor Mireya (ART); Valverde Montaño María Teresa (CAS); Cuero Bamba Berte Levi (ERD)</t>
        </is>
      </c>
      <c r="O1178" t="inlineStr">
        <is>
          <t>EQUIPO DE 4: cada docente atiende un grupo de estudiantes en su área</t>
        </is>
      </c>
      <c r="P1178" t="inlineStr">
        <is>
          <t>ENFASIS-0801</t>
        </is>
      </c>
      <c r="Q1178">
        <f>IF(I1178="ENFASIS","ÉNFASIS "&amp;M1178,IFERROR(VLOOKUP(J1178,Grupos!$A$2:$D$100,4,FALSE),J1178))</f>
        <v/>
      </c>
      <c r="R1178">
        <f>O1178&amp;IF(N1178&lt;&gt;"",IF(O1178&lt;&gt;""," · ","")&amp;"Con: "&amp;N1178,"")</f>
        <v/>
      </c>
      <c r="S1178">
        <f>C1178&amp;"|"&amp;D1178</f>
        <v/>
      </c>
      <c r="T1178">
        <f>COUNTIF($S$2:S1178,S1178)</f>
        <v/>
      </c>
      <c r="U1178">
        <f>S1178&amp;"|"&amp;T1178</f>
        <v/>
      </c>
      <c r="V1178">
        <f>IFERROR(VLOOKUP(IF(I1178="ENFASIS",LEFT(M1178,FIND("+",M1178&amp;"+")-1),J1178),Direccion_Grupo!$A$2:$G$100,7,FALSE),"")</f>
        <v/>
      </c>
    </row>
    <row r="1179">
      <c r="A1179" t="n">
        <v>15</v>
      </c>
      <c r="B1179" t="inlineStr">
        <is>
          <t>Cuero Bamba Berte Levi</t>
        </is>
      </c>
      <c r="C1179" t="inlineStr">
        <is>
          <t>JUEVES</t>
        </is>
      </c>
      <c r="D1179" t="n">
        <v>6</v>
      </c>
      <c r="E1179" t="n">
        <v>3</v>
      </c>
      <c r="F1179" t="n">
        <v>2</v>
      </c>
      <c r="G1179" t="inlineStr">
        <is>
          <t>10:55</t>
        </is>
      </c>
      <c r="H1179" t="inlineStr">
        <is>
          <t>11:40</t>
        </is>
      </c>
      <c r="I1179" t="inlineStr">
        <is>
          <t>ENFASIS</t>
        </is>
      </c>
      <c r="J1179" t="inlineStr"/>
      <c r="K1179" t="inlineStr">
        <is>
          <t>ERD</t>
        </is>
      </c>
      <c r="L1179" t="inlineStr">
        <is>
          <t>0801</t>
        </is>
      </c>
      <c r="M1179" t="inlineStr">
        <is>
          <t>0801</t>
        </is>
      </c>
      <c r="N1179" t="inlineStr">
        <is>
          <t>Samaniego Angulo Flor Mireya (ART); Valverde Montaño María Teresa (CAS); Chillambo Quiñones María Rocío (CNA)</t>
        </is>
      </c>
      <c r="O1179" t="inlineStr">
        <is>
          <t>EQUIPO DE 4: cada docente atiende un grupo de estudiantes en su área</t>
        </is>
      </c>
      <c r="P1179" t="inlineStr">
        <is>
          <t>ENFASIS-0801</t>
        </is>
      </c>
      <c r="Q1179">
        <f>IF(I1179="ENFASIS","ÉNFASIS "&amp;M1179,IFERROR(VLOOKUP(J1179,Grupos!$A$2:$D$100,4,FALSE),J1179))</f>
        <v/>
      </c>
      <c r="R1179">
        <f>O1179&amp;IF(N1179&lt;&gt;"",IF(O1179&lt;&gt;""," · ","")&amp;"Con: "&amp;N1179,"")</f>
        <v/>
      </c>
      <c r="S1179">
        <f>C1179&amp;"|"&amp;D1179</f>
        <v/>
      </c>
      <c r="T1179">
        <f>COUNTIF($S$2:S1179,S1179)</f>
        <v/>
      </c>
      <c r="U1179">
        <f>S1179&amp;"|"&amp;T1179</f>
        <v/>
      </c>
      <c r="V1179">
        <f>IFERROR(VLOOKUP(IF(I1179="ENFASIS",LEFT(M1179,FIND("+",M1179&amp;"+")-1),J1179),Direccion_Grupo!$A$2:$G$100,7,FALSE),"")</f>
        <v/>
      </c>
    </row>
    <row r="1180">
      <c r="A1180" t="n">
        <v>44</v>
      </c>
      <c r="B1180" t="inlineStr">
        <is>
          <t>Samaniego Angulo Flor Mireya</t>
        </is>
      </c>
      <c r="C1180" t="inlineStr">
        <is>
          <t>JUEVES</t>
        </is>
      </c>
      <c r="D1180" t="n">
        <v>6</v>
      </c>
      <c r="E1180" t="n">
        <v>3</v>
      </c>
      <c r="F1180" t="n">
        <v>2</v>
      </c>
      <c r="G1180" t="inlineStr">
        <is>
          <t>10:55</t>
        </is>
      </c>
      <c r="H1180" t="inlineStr">
        <is>
          <t>11:40</t>
        </is>
      </c>
      <c r="I1180" t="inlineStr">
        <is>
          <t>ENFASIS</t>
        </is>
      </c>
      <c r="J1180" t="inlineStr"/>
      <c r="K1180" t="inlineStr">
        <is>
          <t>ART</t>
        </is>
      </c>
      <c r="L1180" t="inlineStr">
        <is>
          <t>0801</t>
        </is>
      </c>
      <c r="M1180" t="inlineStr">
        <is>
          <t>0801</t>
        </is>
      </c>
      <c r="N1180" t="inlineStr">
        <is>
          <t>Valverde Montaño María Teresa (CAS); Cuero Bamba Berte Levi (ERD); Chillambo Quiñones María Rocío (CNA)</t>
        </is>
      </c>
      <c r="O1180" t="inlineStr">
        <is>
          <t>EQUIPO DE 4: cada docente atiende un grupo de estudiantes en su área</t>
        </is>
      </c>
      <c r="P1180" t="inlineStr">
        <is>
          <t>ENFASIS-0801</t>
        </is>
      </c>
      <c r="Q1180">
        <f>IF(I1180="ENFASIS","ÉNFASIS "&amp;M1180,IFERROR(VLOOKUP(J1180,Grupos!$A$2:$D$100,4,FALSE),J1180))</f>
        <v/>
      </c>
      <c r="R1180">
        <f>O1180&amp;IF(N1180&lt;&gt;"",IF(O1180&lt;&gt;""," · ","")&amp;"Con: "&amp;N1180,"")</f>
        <v/>
      </c>
      <c r="S1180">
        <f>C1180&amp;"|"&amp;D1180</f>
        <v/>
      </c>
      <c r="T1180">
        <f>COUNTIF($S$2:S1180,S1180)</f>
        <v/>
      </c>
      <c r="U1180">
        <f>S1180&amp;"|"&amp;T1180</f>
        <v/>
      </c>
      <c r="V1180">
        <f>IFERROR(VLOOKUP(IF(I1180="ENFASIS",LEFT(M1180,FIND("+",M1180&amp;"+")-1),J1180),Direccion_Grupo!$A$2:$G$100,7,FALSE),"")</f>
        <v/>
      </c>
    </row>
    <row r="1181">
      <c r="A1181" t="n">
        <v>51</v>
      </c>
      <c r="B1181" t="inlineStr">
        <is>
          <t>Valverde Montaño María Teresa</t>
        </is>
      </c>
      <c r="C1181" t="inlineStr">
        <is>
          <t>JUEVES</t>
        </is>
      </c>
      <c r="D1181" t="n">
        <v>6</v>
      </c>
      <c r="E1181" t="n">
        <v>3</v>
      </c>
      <c r="F1181" t="n">
        <v>2</v>
      </c>
      <c r="G1181" t="inlineStr">
        <is>
          <t>10:55</t>
        </is>
      </c>
      <c r="H1181" t="inlineStr">
        <is>
          <t>11:40</t>
        </is>
      </c>
      <c r="I1181" t="inlineStr">
        <is>
          <t>ENFASIS</t>
        </is>
      </c>
      <c r="J1181" t="inlineStr"/>
      <c r="K1181" t="inlineStr">
        <is>
          <t>CAS</t>
        </is>
      </c>
      <c r="L1181" t="inlineStr">
        <is>
          <t>0801</t>
        </is>
      </c>
      <c r="M1181" t="inlineStr">
        <is>
          <t>0801</t>
        </is>
      </c>
      <c r="N1181" t="inlineStr">
        <is>
          <t>Samaniego Angulo Flor Mireya (ART); Cuero Bamba Berte Levi (ERD); Chillambo Quiñones María Rocío (CNA)</t>
        </is>
      </c>
      <c r="O1181" t="inlineStr">
        <is>
          <t>EQUIPO DE 4: cada docente atiende un grupo de estudiantes en su área</t>
        </is>
      </c>
      <c r="P1181" t="inlineStr">
        <is>
          <t>ENFASIS-0801</t>
        </is>
      </c>
      <c r="Q1181">
        <f>IF(I1181="ENFASIS","ÉNFASIS "&amp;M1181,IFERROR(VLOOKUP(J1181,Grupos!$A$2:$D$100,4,FALSE),J1181))</f>
        <v/>
      </c>
      <c r="R1181">
        <f>O1181&amp;IF(N1181&lt;&gt;"",IF(O1181&lt;&gt;""," · ","")&amp;"Con: "&amp;N1181,"")</f>
        <v/>
      </c>
      <c r="S1181">
        <f>C1181&amp;"|"&amp;D1181</f>
        <v/>
      </c>
      <c r="T1181">
        <f>COUNTIF($S$2:S1181,S1181)</f>
        <v/>
      </c>
      <c r="U1181">
        <f>S1181&amp;"|"&amp;T1181</f>
        <v/>
      </c>
      <c r="V1181">
        <f>IFERROR(VLOOKUP(IF(I1181="ENFASIS",LEFT(M1181,FIND("+",M1181&amp;"+")-1),J1181),Direccion_Grupo!$A$2:$G$100,7,FALSE),"")</f>
        <v/>
      </c>
    </row>
    <row r="1182">
      <c r="A1182" t="n">
        <v>2</v>
      </c>
      <c r="B1182" t="inlineStr">
        <is>
          <t>Angulo Lucero Andrés Mauricio</t>
        </is>
      </c>
      <c r="C1182" t="inlineStr">
        <is>
          <t>JUEVES</t>
        </is>
      </c>
      <c r="D1182" t="n">
        <v>6</v>
      </c>
      <c r="E1182" t="n">
        <v>3</v>
      </c>
      <c r="F1182" t="n">
        <v>2</v>
      </c>
      <c r="G1182" t="inlineStr">
        <is>
          <t>10:55</t>
        </is>
      </c>
      <c r="H1182" t="inlineStr">
        <is>
          <t>11:40</t>
        </is>
      </c>
      <c r="I1182" t="inlineStr">
        <is>
          <t>ENFASIS</t>
        </is>
      </c>
      <c r="J1182" t="inlineStr"/>
      <c r="K1182" t="inlineStr">
        <is>
          <t>TEI</t>
        </is>
      </c>
      <c r="L1182" t="inlineStr">
        <is>
          <t>D5-10°</t>
        </is>
      </c>
      <c r="M1182" t="inlineStr">
        <is>
          <t>1002</t>
        </is>
      </c>
      <c r="N1182" t="inlineStr">
        <is>
          <t>Pulgarín Ortiz César Marino (CSI); Montaño Arizala Leidis Claudina (ETR); Villota Rubio Janeth del Carmen (MAT)</t>
        </is>
      </c>
      <c r="O1182" t="inlineStr">
        <is>
          <t>EQUIPO DE 4: cada docente atiende un grupo de estudiantes en su área</t>
        </is>
      </c>
      <c r="P1182" t="inlineStr">
        <is>
          <t>ENFASIS-D5-10°</t>
        </is>
      </c>
      <c r="Q1182">
        <f>IF(I1182="ENFASIS","ÉNFASIS "&amp;M1182,IFERROR(VLOOKUP(J1182,Grupos!$A$2:$D$100,4,FALSE),J1182))</f>
        <v/>
      </c>
      <c r="R1182">
        <f>O1182&amp;IF(N1182&lt;&gt;"",IF(O1182&lt;&gt;""," · ","")&amp;"Con: "&amp;N1182,"")</f>
        <v/>
      </c>
      <c r="S1182">
        <f>C1182&amp;"|"&amp;D1182</f>
        <v/>
      </c>
      <c r="T1182">
        <f>COUNTIF($S$2:S1182,S1182)</f>
        <v/>
      </c>
      <c r="U1182">
        <f>S1182&amp;"|"&amp;T1182</f>
        <v/>
      </c>
      <c r="V1182">
        <f>IFERROR(VLOOKUP(IF(I1182="ENFASIS",LEFT(M1182,FIND("+",M1182&amp;"+")-1),J1182),Direccion_Grupo!$A$2:$G$100,7,FALSE),"")</f>
        <v/>
      </c>
    </row>
    <row r="1183">
      <c r="A1183" t="n">
        <v>31</v>
      </c>
      <c r="B1183" t="inlineStr">
        <is>
          <t>Montaño Arizala Leidis Claudina</t>
        </is>
      </c>
      <c r="C1183" t="inlineStr">
        <is>
          <t>JUEVES</t>
        </is>
      </c>
      <c r="D1183" t="n">
        <v>6</v>
      </c>
      <c r="E1183" t="n">
        <v>3</v>
      </c>
      <c r="F1183" t="n">
        <v>2</v>
      </c>
      <c r="G1183" t="inlineStr">
        <is>
          <t>10:55</t>
        </is>
      </c>
      <c r="H1183" t="inlineStr">
        <is>
          <t>11:40</t>
        </is>
      </c>
      <c r="I1183" t="inlineStr">
        <is>
          <t>ENFASIS</t>
        </is>
      </c>
      <c r="J1183" t="inlineStr"/>
      <c r="K1183" t="inlineStr">
        <is>
          <t>ETR</t>
        </is>
      </c>
      <c r="L1183" t="inlineStr">
        <is>
          <t>D5-10°</t>
        </is>
      </c>
      <c r="M1183" t="inlineStr">
        <is>
          <t>1002</t>
        </is>
      </c>
      <c r="N1183" t="inlineStr">
        <is>
          <t>Pulgarín Ortiz César Marino (CSI); Villota Rubio Janeth del Carmen (MAT); Angulo Lucero Andrés Mauricio (TEI)</t>
        </is>
      </c>
      <c r="O1183" t="inlineStr">
        <is>
          <t>EQUIPO DE 4: cada docente atiende un grupo de estudiantes en su área</t>
        </is>
      </c>
      <c r="P1183" t="inlineStr">
        <is>
          <t>ENFASIS-D5-10°</t>
        </is>
      </c>
      <c r="Q1183">
        <f>IF(I1183="ENFASIS","ÉNFASIS "&amp;M1183,IFERROR(VLOOKUP(J1183,Grupos!$A$2:$D$100,4,FALSE),J1183))</f>
        <v/>
      </c>
      <c r="R1183">
        <f>O1183&amp;IF(N1183&lt;&gt;"",IF(O1183&lt;&gt;""," · ","")&amp;"Con: "&amp;N1183,"")</f>
        <v/>
      </c>
      <c r="S1183">
        <f>C1183&amp;"|"&amp;D1183</f>
        <v/>
      </c>
      <c r="T1183">
        <f>COUNTIF($S$2:S1183,S1183)</f>
        <v/>
      </c>
      <c r="U1183">
        <f>S1183&amp;"|"&amp;T1183</f>
        <v/>
      </c>
      <c r="V1183">
        <f>IFERROR(VLOOKUP(IF(I1183="ENFASIS",LEFT(M1183,FIND("+",M1183&amp;"+")-1),J1183),Direccion_Grupo!$A$2:$G$100,7,FALSE),"")</f>
        <v/>
      </c>
    </row>
    <row r="1184">
      <c r="A1184" t="n">
        <v>40</v>
      </c>
      <c r="B1184" t="inlineStr">
        <is>
          <t>Pulgarín Ortiz César Marino</t>
        </is>
      </c>
      <c r="C1184" t="inlineStr">
        <is>
          <t>JUEVES</t>
        </is>
      </c>
      <c r="D1184" t="n">
        <v>6</v>
      </c>
      <c r="E1184" t="n">
        <v>3</v>
      </c>
      <c r="F1184" t="n">
        <v>2</v>
      </c>
      <c r="G1184" t="inlineStr">
        <is>
          <t>10:55</t>
        </is>
      </c>
      <c r="H1184" t="inlineStr">
        <is>
          <t>11:40</t>
        </is>
      </c>
      <c r="I1184" t="inlineStr">
        <is>
          <t>ENFASIS</t>
        </is>
      </c>
      <c r="J1184" t="inlineStr"/>
      <c r="K1184" t="inlineStr">
        <is>
          <t>CSI</t>
        </is>
      </c>
      <c r="L1184" t="inlineStr">
        <is>
          <t>D5-10°</t>
        </is>
      </c>
      <c r="M1184" t="inlineStr">
        <is>
          <t>1002</t>
        </is>
      </c>
      <c r="N1184" t="inlineStr">
        <is>
          <t>Montaño Arizala Leidis Claudina (ETR); Villota Rubio Janeth del Carmen (MAT); Angulo Lucero Andrés Mauricio (TEI)</t>
        </is>
      </c>
      <c r="O1184" t="inlineStr">
        <is>
          <t>EQUIPO DE 4: cada docente atiende un grupo de estudiantes en su área</t>
        </is>
      </c>
      <c r="P1184" t="inlineStr">
        <is>
          <t>ENFASIS-D5-10°</t>
        </is>
      </c>
      <c r="Q1184">
        <f>IF(I1184="ENFASIS","ÉNFASIS "&amp;M1184,IFERROR(VLOOKUP(J1184,Grupos!$A$2:$D$100,4,FALSE),J1184))</f>
        <v/>
      </c>
      <c r="R1184">
        <f>O1184&amp;IF(N1184&lt;&gt;"",IF(O1184&lt;&gt;""," · ","")&amp;"Con: "&amp;N1184,"")</f>
        <v/>
      </c>
      <c r="S1184">
        <f>C1184&amp;"|"&amp;D1184</f>
        <v/>
      </c>
      <c r="T1184">
        <f>COUNTIF($S$2:S1184,S1184)</f>
        <v/>
      </c>
      <c r="U1184">
        <f>S1184&amp;"|"&amp;T1184</f>
        <v/>
      </c>
      <c r="V1184">
        <f>IFERROR(VLOOKUP(IF(I1184="ENFASIS",LEFT(M1184,FIND("+",M1184&amp;"+")-1),J1184),Direccion_Grupo!$A$2:$G$100,7,FALSE),"")</f>
        <v/>
      </c>
    </row>
    <row r="1185">
      <c r="A1185" t="n">
        <v>54</v>
      </c>
      <c r="B1185" t="inlineStr">
        <is>
          <t>Villota Rubio Janeth del Carmen</t>
        </is>
      </c>
      <c r="C1185" t="inlineStr">
        <is>
          <t>JUEVES</t>
        </is>
      </c>
      <c r="D1185" t="n">
        <v>6</v>
      </c>
      <c r="E1185" t="n">
        <v>3</v>
      </c>
      <c r="F1185" t="n">
        <v>2</v>
      </c>
      <c r="G1185" t="inlineStr">
        <is>
          <t>10:55</t>
        </is>
      </c>
      <c r="H1185" t="inlineStr">
        <is>
          <t>11:40</t>
        </is>
      </c>
      <c r="I1185" t="inlineStr">
        <is>
          <t>ENFASIS</t>
        </is>
      </c>
      <c r="J1185" t="inlineStr"/>
      <c r="K1185" t="inlineStr">
        <is>
          <t>MAT</t>
        </is>
      </c>
      <c r="L1185" t="inlineStr">
        <is>
          <t>D5-10°</t>
        </is>
      </c>
      <c r="M1185" t="inlineStr">
        <is>
          <t>1002</t>
        </is>
      </c>
      <c r="N1185" t="inlineStr">
        <is>
          <t>Pulgarín Ortiz César Marino (CSI); Montaño Arizala Leidis Claudina (ETR); Angulo Lucero Andrés Mauricio (TEI)</t>
        </is>
      </c>
      <c r="O1185" t="inlineStr">
        <is>
          <t>EQUIPO DE 4: cada docente atiende un grupo de estudiantes en su área</t>
        </is>
      </c>
      <c r="P1185" t="inlineStr">
        <is>
          <t>ENFASIS-D5-10°</t>
        </is>
      </c>
      <c r="Q1185">
        <f>IF(I1185="ENFASIS","ÉNFASIS "&amp;M1185,IFERROR(VLOOKUP(J1185,Grupos!$A$2:$D$100,4,FALSE),J1185))</f>
        <v/>
      </c>
      <c r="R1185">
        <f>O1185&amp;IF(N1185&lt;&gt;"",IF(O1185&lt;&gt;""," · ","")&amp;"Con: "&amp;N1185,"")</f>
        <v/>
      </c>
      <c r="S1185">
        <f>C1185&amp;"|"&amp;D1185</f>
        <v/>
      </c>
      <c r="T1185">
        <f>COUNTIF($S$2:S1185,S1185)</f>
        <v/>
      </c>
      <c r="U1185">
        <f>S1185&amp;"|"&amp;T1185</f>
        <v/>
      </c>
      <c r="V1185">
        <f>IFERROR(VLOOKUP(IF(I1185="ENFASIS",LEFT(M1185,FIND("+",M1185&amp;"+")-1),J1185),Direccion_Grupo!$A$2:$G$100,7,FALSE),"")</f>
        <v/>
      </c>
    </row>
    <row r="1186">
      <c r="A1186" t="n">
        <v>5</v>
      </c>
      <c r="B1186" t="inlineStr">
        <is>
          <t>Bastidas Valencia Zeneida Judith</t>
        </is>
      </c>
      <c r="C1186" t="inlineStr">
        <is>
          <t>JUEVES</t>
        </is>
      </c>
      <c r="D1186" t="n">
        <v>6</v>
      </c>
      <c r="E1186" t="n">
        <v>3</v>
      </c>
      <c r="F1186" t="n">
        <v>2</v>
      </c>
      <c r="G1186" t="inlineStr">
        <is>
          <t>10:55</t>
        </is>
      </c>
      <c r="H1186" t="inlineStr">
        <is>
          <t>11:40</t>
        </is>
      </c>
      <c r="I1186" t="inlineStr">
        <is>
          <t>ENFASIS</t>
        </is>
      </c>
      <c r="J1186" t="inlineStr"/>
      <c r="K1186" t="inlineStr">
        <is>
          <t>MAT</t>
        </is>
      </c>
      <c r="L1186" t="inlineStr">
        <is>
          <t>CS202</t>
        </is>
      </c>
      <c r="M1186" t="inlineStr">
        <is>
          <t>CS202</t>
        </is>
      </c>
      <c r="N1186" t="inlineStr">
        <is>
          <t>Betancourth Ocampo Yohana Patricia (CSI); Estacio Estupiñán Rosario (ETR); Mindineros Satizábal John Jáver (TEI)</t>
        </is>
      </c>
      <c r="O1186" t="inlineStr">
        <is>
          <t>EQUIPO DE 4: cada docente atiende un grupo de estudiantes en su área</t>
        </is>
      </c>
      <c r="P1186" t="inlineStr">
        <is>
          <t>ENFASIS-CS202</t>
        </is>
      </c>
      <c r="Q1186">
        <f>IF(I1186="ENFASIS","ÉNFASIS "&amp;M1186,IFERROR(VLOOKUP(J1186,Grupos!$A$2:$D$100,4,FALSE),J1186))</f>
        <v/>
      </c>
      <c r="R1186">
        <f>O1186&amp;IF(N1186&lt;&gt;"",IF(O1186&lt;&gt;""," · ","")&amp;"Con: "&amp;N1186,"")</f>
        <v/>
      </c>
      <c r="S1186">
        <f>C1186&amp;"|"&amp;D1186</f>
        <v/>
      </c>
      <c r="T1186">
        <f>COUNTIF($S$2:S1186,S1186)</f>
        <v/>
      </c>
      <c r="U1186">
        <f>S1186&amp;"|"&amp;T1186</f>
        <v/>
      </c>
      <c r="V1186">
        <f>IFERROR(VLOOKUP(IF(I1186="ENFASIS",LEFT(M1186,FIND("+",M1186&amp;"+")-1),J1186),Direccion_Grupo!$A$2:$G$100,7,FALSE),"")</f>
        <v/>
      </c>
    </row>
    <row r="1187">
      <c r="A1187" t="n">
        <v>6</v>
      </c>
      <c r="B1187" t="inlineStr">
        <is>
          <t>Betancourth Ocampo Yohana Patricia</t>
        </is>
      </c>
      <c r="C1187" t="inlineStr">
        <is>
          <t>JUEVES</t>
        </is>
      </c>
      <c r="D1187" t="n">
        <v>6</v>
      </c>
      <c r="E1187" t="n">
        <v>3</v>
      </c>
      <c r="F1187" t="n">
        <v>2</v>
      </c>
      <c r="G1187" t="inlineStr">
        <is>
          <t>10:55</t>
        </is>
      </c>
      <c r="H1187" t="inlineStr">
        <is>
          <t>11:40</t>
        </is>
      </c>
      <c r="I1187" t="inlineStr">
        <is>
          <t>ENFASIS</t>
        </is>
      </c>
      <c r="J1187" t="inlineStr"/>
      <c r="K1187" t="inlineStr">
        <is>
          <t>CSI</t>
        </is>
      </c>
      <c r="L1187" t="inlineStr">
        <is>
          <t>CS202</t>
        </is>
      </c>
      <c r="M1187" t="inlineStr">
        <is>
          <t>CS202</t>
        </is>
      </c>
      <c r="N1187" t="inlineStr">
        <is>
          <t>Estacio Estupiñán Rosario (ETR); Bastidas Valencia Zeneida Judith (MAT); Mindineros Satizábal John Jáver (TEI)</t>
        </is>
      </c>
      <c r="O1187" t="inlineStr">
        <is>
          <t>EQUIPO DE 4: cada docente atiende un grupo de estudiantes en su área</t>
        </is>
      </c>
      <c r="P1187" t="inlineStr">
        <is>
          <t>ENFASIS-CS202</t>
        </is>
      </c>
      <c r="Q1187">
        <f>IF(I1187="ENFASIS","ÉNFASIS "&amp;M1187,IFERROR(VLOOKUP(J1187,Grupos!$A$2:$D$100,4,FALSE),J1187))</f>
        <v/>
      </c>
      <c r="R1187">
        <f>O1187&amp;IF(N1187&lt;&gt;"",IF(O1187&lt;&gt;""," · ","")&amp;"Con: "&amp;N1187,"")</f>
        <v/>
      </c>
      <c r="S1187">
        <f>C1187&amp;"|"&amp;D1187</f>
        <v/>
      </c>
      <c r="T1187">
        <f>COUNTIF($S$2:S1187,S1187)</f>
        <v/>
      </c>
      <c r="U1187">
        <f>S1187&amp;"|"&amp;T1187</f>
        <v/>
      </c>
      <c r="V1187">
        <f>IFERROR(VLOOKUP(IF(I1187="ENFASIS",LEFT(M1187,FIND("+",M1187&amp;"+")-1),J1187),Direccion_Grupo!$A$2:$G$100,7,FALSE),"")</f>
        <v/>
      </c>
    </row>
    <row r="1188">
      <c r="A1188" t="n">
        <v>18</v>
      </c>
      <c r="B1188" t="inlineStr">
        <is>
          <t>Estacio Estupiñán Rosario</t>
        </is>
      </c>
      <c r="C1188" t="inlineStr">
        <is>
          <t>JUEVES</t>
        </is>
      </c>
      <c r="D1188" t="n">
        <v>6</v>
      </c>
      <c r="E1188" t="n">
        <v>3</v>
      </c>
      <c r="F1188" t="n">
        <v>2</v>
      </c>
      <c r="G1188" t="inlineStr">
        <is>
          <t>10:55</t>
        </is>
      </c>
      <c r="H1188" t="inlineStr">
        <is>
          <t>11:40</t>
        </is>
      </c>
      <c r="I1188" t="inlineStr">
        <is>
          <t>ENFASIS</t>
        </is>
      </c>
      <c r="J1188" t="inlineStr"/>
      <c r="K1188" t="inlineStr">
        <is>
          <t>ETR</t>
        </is>
      </c>
      <c r="L1188" t="inlineStr">
        <is>
          <t>CS202</t>
        </is>
      </c>
      <c r="M1188" t="inlineStr">
        <is>
          <t>CS202</t>
        </is>
      </c>
      <c r="N1188" t="inlineStr">
        <is>
          <t>Betancourth Ocampo Yohana Patricia (CSI); Bastidas Valencia Zeneida Judith (MAT); Mindineros Satizábal John Jáver (TEI)</t>
        </is>
      </c>
      <c r="O1188" t="inlineStr">
        <is>
          <t>EQUIPO DE 4: cada docente atiende un grupo de estudiantes en su área</t>
        </is>
      </c>
      <c r="P1188" t="inlineStr">
        <is>
          <t>ENFASIS-CS202</t>
        </is>
      </c>
      <c r="Q1188">
        <f>IF(I1188="ENFASIS","ÉNFASIS "&amp;M1188,IFERROR(VLOOKUP(J1188,Grupos!$A$2:$D$100,4,FALSE),J1188))</f>
        <v/>
      </c>
      <c r="R1188">
        <f>O1188&amp;IF(N1188&lt;&gt;"",IF(O1188&lt;&gt;""," · ","")&amp;"Con: "&amp;N1188,"")</f>
        <v/>
      </c>
      <c r="S1188">
        <f>C1188&amp;"|"&amp;D1188</f>
        <v/>
      </c>
      <c r="T1188">
        <f>COUNTIF($S$2:S1188,S1188)</f>
        <v/>
      </c>
      <c r="U1188">
        <f>S1188&amp;"|"&amp;T1188</f>
        <v/>
      </c>
      <c r="V1188">
        <f>IFERROR(VLOOKUP(IF(I1188="ENFASIS",LEFT(M1188,FIND("+",M1188&amp;"+")-1),J1188),Direccion_Grupo!$A$2:$G$100,7,FALSE),"")</f>
        <v/>
      </c>
    </row>
    <row r="1189">
      <c r="A1189" t="n">
        <v>29</v>
      </c>
      <c r="B1189" t="inlineStr">
        <is>
          <t>Mindineros Satizábal John Jáver</t>
        </is>
      </c>
      <c r="C1189" t="inlineStr">
        <is>
          <t>JUEVES</t>
        </is>
      </c>
      <c r="D1189" t="n">
        <v>6</v>
      </c>
      <c r="E1189" t="n">
        <v>3</v>
      </c>
      <c r="F1189" t="n">
        <v>2</v>
      </c>
      <c r="G1189" t="inlineStr">
        <is>
          <t>10:55</t>
        </is>
      </c>
      <c r="H1189" t="inlineStr">
        <is>
          <t>11:40</t>
        </is>
      </c>
      <c r="I1189" t="inlineStr">
        <is>
          <t>ENFASIS</t>
        </is>
      </c>
      <c r="J1189" t="inlineStr"/>
      <c r="K1189" t="inlineStr">
        <is>
          <t>TEI</t>
        </is>
      </c>
      <c r="L1189" t="inlineStr">
        <is>
          <t>CS202</t>
        </is>
      </c>
      <c r="M1189" t="inlineStr">
        <is>
          <t>CS202</t>
        </is>
      </c>
      <c r="N1189" t="inlineStr">
        <is>
          <t>Betancourth Ocampo Yohana Patricia (CSI); Estacio Estupiñán Rosario (ETR); Bastidas Valencia Zeneida Judith (MAT)</t>
        </is>
      </c>
      <c r="O1189" t="inlineStr">
        <is>
          <t>EQUIPO DE 4: cada docente atiende un grupo de estudiantes en su área</t>
        </is>
      </c>
      <c r="P1189" t="inlineStr">
        <is>
          <t>ENFASIS-CS202</t>
        </is>
      </c>
      <c r="Q1189">
        <f>IF(I1189="ENFASIS","ÉNFASIS "&amp;M1189,IFERROR(VLOOKUP(J1189,Grupos!$A$2:$D$100,4,FALSE),J1189))</f>
        <v/>
      </c>
      <c r="R1189">
        <f>O1189&amp;IF(N1189&lt;&gt;"",IF(O1189&lt;&gt;""," · ","")&amp;"Con: "&amp;N1189,"")</f>
        <v/>
      </c>
      <c r="S1189">
        <f>C1189&amp;"|"&amp;D1189</f>
        <v/>
      </c>
      <c r="T1189">
        <f>COUNTIF($S$2:S1189,S1189)</f>
        <v/>
      </c>
      <c r="U1189">
        <f>S1189&amp;"|"&amp;T1189</f>
        <v/>
      </c>
      <c r="V1189">
        <f>IFERROR(VLOOKUP(IF(I1189="ENFASIS",LEFT(M1189,FIND("+",M1189&amp;"+")-1),J1189),Direccion_Grupo!$A$2:$G$100,7,FALSE),"")</f>
        <v/>
      </c>
    </row>
    <row r="1190">
      <c r="A1190" t="n">
        <v>8</v>
      </c>
      <c r="B1190" t="inlineStr">
        <is>
          <t>Casanova Quiñones Yoli del Carmen</t>
        </is>
      </c>
      <c r="C1190" t="inlineStr">
        <is>
          <t>JUEVES</t>
        </is>
      </c>
      <c r="D1190" t="n">
        <v>7</v>
      </c>
      <c r="E1190" t="n">
        <v>4</v>
      </c>
      <c r="F1190" t="n">
        <v>1</v>
      </c>
      <c r="G1190" t="inlineStr">
        <is>
          <t>12:00</t>
        </is>
      </c>
      <c r="H1190" t="inlineStr">
        <is>
          <t>12:45</t>
        </is>
      </c>
      <c r="I1190" t="inlineStr">
        <is>
          <t>CLASE</t>
        </is>
      </c>
      <c r="J1190" t="inlineStr">
        <is>
          <t>0701</t>
        </is>
      </c>
      <c r="K1190" t="inlineStr">
        <is>
          <t>ETR</t>
        </is>
      </c>
      <c r="L1190" t="inlineStr"/>
      <c r="M1190" t="inlineStr"/>
      <c r="N1190" t="inlineStr"/>
      <c r="O1190" t="inlineStr">
        <is>
          <t>Ética / Religión (alternan cada semana)</t>
        </is>
      </c>
      <c r="P1190" t="inlineStr">
        <is>
          <t>0701-ETR</t>
        </is>
      </c>
      <c r="Q1190">
        <f>IF(I1190="ENFASIS","ÉNFASIS "&amp;M1190,IFERROR(VLOOKUP(J1190,Grupos!$A$2:$D$100,4,FALSE),J1190))</f>
        <v/>
      </c>
      <c r="R1190">
        <f>O1190&amp;IF(N1190&lt;&gt;"",IF(O1190&lt;&gt;""," · ","")&amp;"Con: "&amp;N1190,"")</f>
        <v/>
      </c>
      <c r="S1190">
        <f>C1190&amp;"|"&amp;D1190</f>
        <v/>
      </c>
      <c r="T1190">
        <f>COUNTIF($S$2:S1190,S1190)</f>
        <v/>
      </c>
      <c r="U1190">
        <f>S1190&amp;"|"&amp;T1190</f>
        <v/>
      </c>
      <c r="V1190">
        <f>IFERROR(VLOOKUP(IF(I1190="ENFASIS",LEFT(M1190,FIND("+",M1190&amp;"+")-1),J1190),Direccion_Grupo!$A$2:$G$100,7,FALSE),"")</f>
        <v/>
      </c>
    </row>
    <row r="1191">
      <c r="A1191" t="n">
        <v>41</v>
      </c>
      <c r="B1191" t="inlineStr">
        <is>
          <t>Quintero Ramírez María del Carmen</t>
        </is>
      </c>
      <c r="C1191" t="inlineStr">
        <is>
          <t>JUEVES</t>
        </is>
      </c>
      <c r="D1191" t="n">
        <v>7</v>
      </c>
      <c r="E1191" t="n">
        <v>4</v>
      </c>
      <c r="F1191" t="n">
        <v>1</v>
      </c>
      <c r="G1191" t="inlineStr">
        <is>
          <t>12:00</t>
        </is>
      </c>
      <c r="H1191" t="inlineStr">
        <is>
          <t>12:45</t>
        </is>
      </c>
      <c r="I1191" t="inlineStr">
        <is>
          <t>CLASE</t>
        </is>
      </c>
      <c r="J1191" t="inlineStr">
        <is>
          <t>0702</t>
        </is>
      </c>
      <c r="K1191" t="inlineStr">
        <is>
          <t>CSI</t>
        </is>
      </c>
      <c r="L1191" t="inlineStr"/>
      <c r="M1191" t="inlineStr"/>
      <c r="N1191" t="inlineStr"/>
      <c r="O1191" t="inlineStr">
        <is>
          <t>Sociales / Inglés (alternan cada semana)</t>
        </is>
      </c>
      <c r="P1191" t="inlineStr">
        <is>
          <t>0702-CSI</t>
        </is>
      </c>
      <c r="Q1191">
        <f>IF(I1191="ENFASIS","ÉNFASIS "&amp;M1191,IFERROR(VLOOKUP(J1191,Grupos!$A$2:$D$100,4,FALSE),J1191))</f>
        <v/>
      </c>
      <c r="R1191">
        <f>O1191&amp;IF(N1191&lt;&gt;"",IF(O1191&lt;&gt;""," · ","")&amp;"Con: "&amp;N1191,"")</f>
        <v/>
      </c>
      <c r="S1191">
        <f>C1191&amp;"|"&amp;D1191</f>
        <v/>
      </c>
      <c r="T1191">
        <f>COUNTIF($S$2:S1191,S1191)</f>
        <v/>
      </c>
      <c r="U1191">
        <f>S1191&amp;"|"&amp;T1191</f>
        <v/>
      </c>
      <c r="V1191">
        <f>IFERROR(VLOOKUP(IF(I1191="ENFASIS",LEFT(M1191,FIND("+",M1191&amp;"+")-1),J1191),Direccion_Grupo!$A$2:$G$100,7,FALSE),"")</f>
        <v/>
      </c>
    </row>
    <row r="1192">
      <c r="A1192" t="n">
        <v>1</v>
      </c>
      <c r="B1192" t="inlineStr">
        <is>
          <t>Aguirre Riascos Jorge Andrés</t>
        </is>
      </c>
      <c r="C1192" t="inlineStr">
        <is>
          <t>JUEVES</t>
        </is>
      </c>
      <c r="D1192" t="n">
        <v>7</v>
      </c>
      <c r="E1192" t="n">
        <v>4</v>
      </c>
      <c r="F1192" t="n">
        <v>1</v>
      </c>
      <c r="G1192" t="inlineStr">
        <is>
          <t>12:00</t>
        </is>
      </c>
      <c r="H1192" t="inlineStr">
        <is>
          <t>12:45</t>
        </is>
      </c>
      <c r="I1192" t="inlineStr">
        <is>
          <t>CLASE</t>
        </is>
      </c>
      <c r="J1192" t="inlineStr">
        <is>
          <t>0703</t>
        </is>
      </c>
      <c r="K1192" t="inlineStr">
        <is>
          <t>TEI</t>
        </is>
      </c>
      <c r="L1192" t="inlineStr"/>
      <c r="M1192" t="inlineStr"/>
      <c r="N1192" t="inlineStr"/>
      <c r="O1192" t="inlineStr"/>
      <c r="P1192" t="inlineStr">
        <is>
          <t>0703-TEI</t>
        </is>
      </c>
      <c r="Q1192">
        <f>IF(I1192="ENFASIS","ÉNFASIS "&amp;M1192,IFERROR(VLOOKUP(J1192,Grupos!$A$2:$D$100,4,FALSE),J1192))</f>
        <v/>
      </c>
      <c r="R1192">
        <f>O1192&amp;IF(N1192&lt;&gt;"",IF(O1192&lt;&gt;""," · ","")&amp;"Con: "&amp;N1192,"")</f>
        <v/>
      </c>
      <c r="S1192">
        <f>C1192&amp;"|"&amp;D1192</f>
        <v/>
      </c>
      <c r="T1192">
        <f>COUNTIF($S$2:S1192,S1192)</f>
        <v/>
      </c>
      <c r="U1192">
        <f>S1192&amp;"|"&amp;T1192</f>
        <v/>
      </c>
      <c r="V1192">
        <f>IFERROR(VLOOKUP(IF(I1192="ENFASIS",LEFT(M1192,FIND("+",M1192&amp;"+")-1),J1192),Direccion_Grupo!$A$2:$G$100,7,FALSE),"")</f>
        <v/>
      </c>
    </row>
    <row r="1193">
      <c r="A1193" t="n">
        <v>52</v>
      </c>
      <c r="B1193" t="inlineStr">
        <is>
          <t>Vásquez Valencia Segundo Leoncio</t>
        </is>
      </c>
      <c r="C1193" t="inlineStr">
        <is>
          <t>JUEVES</t>
        </is>
      </c>
      <c r="D1193" t="n">
        <v>7</v>
      </c>
      <c r="E1193" t="n">
        <v>4</v>
      </c>
      <c r="F1193" t="n">
        <v>1</v>
      </c>
      <c r="G1193" t="inlineStr">
        <is>
          <t>12:00</t>
        </is>
      </c>
      <c r="H1193" t="inlineStr">
        <is>
          <t>12:45</t>
        </is>
      </c>
      <c r="I1193" t="inlineStr">
        <is>
          <t>CLASE</t>
        </is>
      </c>
      <c r="J1193" t="inlineStr">
        <is>
          <t>0704</t>
        </is>
      </c>
      <c r="K1193" t="inlineStr">
        <is>
          <t>MAT</t>
        </is>
      </c>
      <c r="L1193" t="inlineStr"/>
      <c r="M1193" t="inlineStr"/>
      <c r="N1193" t="inlineStr"/>
      <c r="O1193" t="inlineStr"/>
      <c r="P1193" t="inlineStr">
        <is>
          <t>0704-MAT</t>
        </is>
      </c>
      <c r="Q1193">
        <f>IF(I1193="ENFASIS","ÉNFASIS "&amp;M1193,IFERROR(VLOOKUP(J1193,Grupos!$A$2:$D$100,4,FALSE),J1193))</f>
        <v/>
      </c>
      <c r="R1193">
        <f>O1193&amp;IF(N1193&lt;&gt;"",IF(O1193&lt;&gt;""," · ","")&amp;"Con: "&amp;N1193,"")</f>
        <v/>
      </c>
      <c r="S1193">
        <f>C1193&amp;"|"&amp;D1193</f>
        <v/>
      </c>
      <c r="T1193">
        <f>COUNTIF($S$2:S1193,S1193)</f>
        <v/>
      </c>
      <c r="U1193">
        <f>S1193&amp;"|"&amp;T1193</f>
        <v/>
      </c>
      <c r="V1193">
        <f>IFERROR(VLOOKUP(IF(I1193="ENFASIS",LEFT(M1193,FIND("+",M1193&amp;"+")-1),J1193),Direccion_Grupo!$A$2:$G$100,7,FALSE),"")</f>
        <v/>
      </c>
    </row>
    <row r="1194">
      <c r="A1194" t="n">
        <v>12</v>
      </c>
      <c r="B1194" t="inlineStr">
        <is>
          <t>Chillambo Quiñones María Rocío</t>
        </is>
      </c>
      <c r="C1194" t="inlineStr">
        <is>
          <t>JUEVES</t>
        </is>
      </c>
      <c r="D1194" t="n">
        <v>7</v>
      </c>
      <c r="E1194" t="n">
        <v>4</v>
      </c>
      <c r="F1194" t="n">
        <v>1</v>
      </c>
      <c r="G1194" t="inlineStr">
        <is>
          <t>12:00</t>
        </is>
      </c>
      <c r="H1194" t="inlineStr">
        <is>
          <t>12:45</t>
        </is>
      </c>
      <c r="I1194" t="inlineStr">
        <is>
          <t>CLASE</t>
        </is>
      </c>
      <c r="J1194" t="inlineStr">
        <is>
          <t>0801</t>
        </is>
      </c>
      <c r="K1194" t="inlineStr">
        <is>
          <t>CNA</t>
        </is>
      </c>
      <c r="L1194" t="inlineStr"/>
      <c r="M1194" t="inlineStr"/>
      <c r="N1194" t="inlineStr"/>
      <c r="O1194" t="inlineStr"/>
      <c r="P1194" t="inlineStr">
        <is>
          <t>0801-CNA</t>
        </is>
      </c>
      <c r="Q1194">
        <f>IF(I1194="ENFASIS","ÉNFASIS "&amp;M1194,IFERROR(VLOOKUP(J1194,Grupos!$A$2:$D$100,4,FALSE),J1194))</f>
        <v/>
      </c>
      <c r="R1194">
        <f>O1194&amp;IF(N1194&lt;&gt;"",IF(O1194&lt;&gt;""," · ","")&amp;"Con: "&amp;N1194,"")</f>
        <v/>
      </c>
      <c r="S1194">
        <f>C1194&amp;"|"&amp;D1194</f>
        <v/>
      </c>
      <c r="T1194">
        <f>COUNTIF($S$2:S1194,S1194)</f>
        <v/>
      </c>
      <c r="U1194">
        <f>S1194&amp;"|"&amp;T1194</f>
        <v/>
      </c>
      <c r="V1194">
        <f>IFERROR(VLOOKUP(IF(I1194="ENFASIS",LEFT(M1194,FIND("+",M1194&amp;"+")-1),J1194),Direccion_Grupo!$A$2:$G$100,7,FALSE),"")</f>
        <v/>
      </c>
    </row>
    <row r="1195">
      <c r="A1195" t="n">
        <v>29</v>
      </c>
      <c r="B1195" t="inlineStr">
        <is>
          <t>Mindineros Satizábal John Jáver</t>
        </is>
      </c>
      <c r="C1195" t="inlineStr">
        <is>
          <t>JUEVES</t>
        </is>
      </c>
      <c r="D1195" t="n">
        <v>7</v>
      </c>
      <c r="E1195" t="n">
        <v>4</v>
      </c>
      <c r="F1195" t="n">
        <v>1</v>
      </c>
      <c r="G1195" t="inlineStr">
        <is>
          <t>12:00</t>
        </is>
      </c>
      <c r="H1195" t="inlineStr">
        <is>
          <t>12:45</t>
        </is>
      </c>
      <c r="I1195" t="inlineStr">
        <is>
          <t>CLASE</t>
        </is>
      </c>
      <c r="J1195" t="inlineStr">
        <is>
          <t>0901</t>
        </is>
      </c>
      <c r="K1195" t="inlineStr">
        <is>
          <t>TEI</t>
        </is>
      </c>
      <c r="L1195" t="inlineStr"/>
      <c r="M1195" t="inlineStr"/>
      <c r="N1195" t="inlineStr"/>
      <c r="O1195" t="inlineStr"/>
      <c r="P1195" t="inlineStr">
        <is>
          <t>0901-TEI</t>
        </is>
      </c>
      <c r="Q1195">
        <f>IF(I1195="ENFASIS","ÉNFASIS "&amp;M1195,IFERROR(VLOOKUP(J1195,Grupos!$A$2:$D$100,4,FALSE),J1195))</f>
        <v/>
      </c>
      <c r="R1195">
        <f>O1195&amp;IF(N1195&lt;&gt;"",IF(O1195&lt;&gt;""," · ","")&amp;"Con: "&amp;N1195,"")</f>
        <v/>
      </c>
      <c r="S1195">
        <f>C1195&amp;"|"&amp;D1195</f>
        <v/>
      </c>
      <c r="T1195">
        <f>COUNTIF($S$2:S1195,S1195)</f>
        <v/>
      </c>
      <c r="U1195">
        <f>S1195&amp;"|"&amp;T1195</f>
        <v/>
      </c>
      <c r="V1195">
        <f>IFERROR(VLOOKUP(IF(I1195="ENFASIS",LEFT(M1195,FIND("+",M1195&amp;"+")-1),J1195),Direccion_Grupo!$A$2:$G$100,7,FALSE),"")</f>
        <v/>
      </c>
    </row>
    <row r="1196">
      <c r="A1196" t="n">
        <v>6</v>
      </c>
      <c r="B1196" t="inlineStr">
        <is>
          <t>Betancourth Ocampo Yohana Patricia</t>
        </is>
      </c>
      <c r="C1196" t="inlineStr">
        <is>
          <t>JUEVES</t>
        </is>
      </c>
      <c r="D1196" t="n">
        <v>7</v>
      </c>
      <c r="E1196" t="n">
        <v>4</v>
      </c>
      <c r="F1196" t="n">
        <v>1</v>
      </c>
      <c r="G1196" t="inlineStr">
        <is>
          <t>12:00</t>
        </is>
      </c>
      <c r="H1196" t="inlineStr">
        <is>
          <t>12:45</t>
        </is>
      </c>
      <c r="I1196" t="inlineStr">
        <is>
          <t>CLASE</t>
        </is>
      </c>
      <c r="J1196" t="inlineStr">
        <is>
          <t>0902</t>
        </is>
      </c>
      <c r="K1196" t="inlineStr">
        <is>
          <t>CSI</t>
        </is>
      </c>
      <c r="L1196" t="inlineStr"/>
      <c r="M1196" t="inlineStr"/>
      <c r="N1196" t="inlineStr"/>
      <c r="O1196" t="inlineStr">
        <is>
          <t>Sociales / Inglés (alternan cada semana)</t>
        </is>
      </c>
      <c r="P1196" t="inlineStr">
        <is>
          <t>0902-CSI</t>
        </is>
      </c>
      <c r="Q1196">
        <f>IF(I1196="ENFASIS","ÉNFASIS "&amp;M1196,IFERROR(VLOOKUP(J1196,Grupos!$A$2:$D$100,4,FALSE),J1196))</f>
        <v/>
      </c>
      <c r="R1196">
        <f>O1196&amp;IF(N1196&lt;&gt;"",IF(O1196&lt;&gt;""," · ","")&amp;"Con: "&amp;N1196,"")</f>
        <v/>
      </c>
      <c r="S1196">
        <f>C1196&amp;"|"&amp;D1196</f>
        <v/>
      </c>
      <c r="T1196">
        <f>COUNTIF($S$2:S1196,S1196)</f>
        <v/>
      </c>
      <c r="U1196">
        <f>S1196&amp;"|"&amp;T1196</f>
        <v/>
      </c>
      <c r="V1196">
        <f>IFERROR(VLOOKUP(IF(I1196="ENFASIS",LEFT(M1196,FIND("+",M1196&amp;"+")-1),J1196),Direccion_Grupo!$A$2:$G$100,7,FALSE),"")</f>
        <v/>
      </c>
    </row>
    <row r="1197">
      <c r="A1197" t="n">
        <v>5</v>
      </c>
      <c r="B1197" t="inlineStr">
        <is>
          <t>Bastidas Valencia Zeneida Judith</t>
        </is>
      </c>
      <c r="C1197" t="inlineStr">
        <is>
          <t>JUEVES</t>
        </is>
      </c>
      <c r="D1197" t="n">
        <v>7</v>
      </c>
      <c r="E1197" t="n">
        <v>4</v>
      </c>
      <c r="F1197" t="n">
        <v>1</v>
      </c>
      <c r="G1197" t="inlineStr">
        <is>
          <t>12:00</t>
        </is>
      </c>
      <c r="H1197" t="inlineStr">
        <is>
          <t>12:45</t>
        </is>
      </c>
      <c r="I1197" t="inlineStr">
        <is>
          <t>CLASE</t>
        </is>
      </c>
      <c r="J1197" t="inlineStr">
        <is>
          <t>1001</t>
        </is>
      </c>
      <c r="K1197" t="inlineStr">
        <is>
          <t>MAT</t>
        </is>
      </c>
      <c r="L1197" t="inlineStr"/>
      <c r="M1197" t="inlineStr"/>
      <c r="N1197" t="inlineStr"/>
      <c r="O1197" t="inlineStr"/>
      <c r="P1197" t="inlineStr">
        <is>
          <t>1001-MAT</t>
        </is>
      </c>
      <c r="Q1197">
        <f>IF(I1197="ENFASIS","ÉNFASIS "&amp;M1197,IFERROR(VLOOKUP(J1197,Grupos!$A$2:$D$100,4,FALSE),J1197))</f>
        <v/>
      </c>
      <c r="R1197">
        <f>O1197&amp;IF(N1197&lt;&gt;"",IF(O1197&lt;&gt;""," · ","")&amp;"Con: "&amp;N1197,"")</f>
        <v/>
      </c>
      <c r="S1197">
        <f>C1197&amp;"|"&amp;D1197</f>
        <v/>
      </c>
      <c r="T1197">
        <f>COUNTIF($S$2:S1197,S1197)</f>
        <v/>
      </c>
      <c r="U1197">
        <f>S1197&amp;"|"&amp;T1197</f>
        <v/>
      </c>
      <c r="V1197">
        <f>IFERROR(VLOOKUP(IF(I1197="ENFASIS",LEFT(M1197,FIND("+",M1197&amp;"+")-1),J1197),Direccion_Grupo!$A$2:$G$100,7,FALSE),"")</f>
        <v/>
      </c>
    </row>
    <row r="1198">
      <c r="A1198" t="n">
        <v>53</v>
      </c>
      <c r="B1198" t="inlineStr">
        <is>
          <t>Villota Rubio Héctor Hugo</t>
        </is>
      </c>
      <c r="C1198" t="inlineStr">
        <is>
          <t>JUEVES</t>
        </is>
      </c>
      <c r="D1198" t="n">
        <v>7</v>
      </c>
      <c r="E1198" t="n">
        <v>4</v>
      </c>
      <c r="F1198" t="n">
        <v>1</v>
      </c>
      <c r="G1198" t="inlineStr">
        <is>
          <t>12:00</t>
        </is>
      </c>
      <c r="H1198" t="inlineStr">
        <is>
          <t>12:45</t>
        </is>
      </c>
      <c r="I1198" t="inlineStr">
        <is>
          <t>CLASE</t>
        </is>
      </c>
      <c r="J1198" t="inlineStr">
        <is>
          <t>1002</t>
        </is>
      </c>
      <c r="K1198" t="inlineStr">
        <is>
          <t>CNA</t>
        </is>
      </c>
      <c r="L1198" t="inlineStr"/>
      <c r="M1198" t="inlineStr"/>
      <c r="N1198" t="inlineStr"/>
      <c r="O1198" t="inlineStr"/>
      <c r="P1198" t="inlineStr">
        <is>
          <t>1002-CNA</t>
        </is>
      </c>
      <c r="Q1198">
        <f>IF(I1198="ENFASIS","ÉNFASIS "&amp;M1198,IFERROR(VLOOKUP(J1198,Grupos!$A$2:$D$100,4,FALSE),J1198))</f>
        <v/>
      </c>
      <c r="R1198">
        <f>O1198&amp;IF(N1198&lt;&gt;"",IF(O1198&lt;&gt;""," · ","")&amp;"Con: "&amp;N1198,"")</f>
        <v/>
      </c>
      <c r="S1198">
        <f>C1198&amp;"|"&amp;D1198</f>
        <v/>
      </c>
      <c r="T1198">
        <f>COUNTIF($S$2:S1198,S1198)</f>
        <v/>
      </c>
      <c r="U1198">
        <f>S1198&amp;"|"&amp;T1198</f>
        <v/>
      </c>
      <c r="V1198">
        <f>IFERROR(VLOOKUP(IF(I1198="ENFASIS",LEFT(M1198,FIND("+",M1198&amp;"+")-1),J1198),Direccion_Grupo!$A$2:$G$100,7,FALSE),"")</f>
        <v/>
      </c>
    </row>
    <row r="1199">
      <c r="A1199" t="n">
        <v>54</v>
      </c>
      <c r="B1199" t="inlineStr">
        <is>
          <t>Villota Rubio Janeth del Carmen</t>
        </is>
      </c>
      <c r="C1199" t="inlineStr">
        <is>
          <t>JUEVES</t>
        </is>
      </c>
      <c r="D1199" t="n">
        <v>7</v>
      </c>
      <c r="E1199" t="n">
        <v>4</v>
      </c>
      <c r="F1199" t="n">
        <v>1</v>
      </c>
      <c r="G1199" t="inlineStr">
        <is>
          <t>12:00</t>
        </is>
      </c>
      <c r="H1199" t="inlineStr">
        <is>
          <t>12:45</t>
        </is>
      </c>
      <c r="I1199" t="inlineStr">
        <is>
          <t>CLASE</t>
        </is>
      </c>
      <c r="J1199" t="inlineStr">
        <is>
          <t>1101</t>
        </is>
      </c>
      <c r="K1199" t="inlineStr">
        <is>
          <t>MAT</t>
        </is>
      </c>
      <c r="L1199" t="inlineStr"/>
      <c r="M1199" t="inlineStr"/>
      <c r="N1199" t="inlineStr"/>
      <c r="O1199" t="inlineStr"/>
      <c r="P1199" t="inlineStr">
        <is>
          <t>1101-MAT</t>
        </is>
      </c>
      <c r="Q1199">
        <f>IF(I1199="ENFASIS","ÉNFASIS "&amp;M1199,IFERROR(VLOOKUP(J1199,Grupos!$A$2:$D$100,4,FALSE),J1199))</f>
        <v/>
      </c>
      <c r="R1199">
        <f>O1199&amp;IF(N1199&lt;&gt;"",IF(O1199&lt;&gt;""," · ","")&amp;"Con: "&amp;N1199,"")</f>
        <v/>
      </c>
      <c r="S1199">
        <f>C1199&amp;"|"&amp;D1199</f>
        <v/>
      </c>
      <c r="T1199">
        <f>COUNTIF($S$2:S1199,S1199)</f>
        <v/>
      </c>
      <c r="U1199">
        <f>S1199&amp;"|"&amp;T1199</f>
        <v/>
      </c>
      <c r="V1199">
        <f>IFERROR(VLOOKUP(IF(I1199="ENFASIS",LEFT(M1199,FIND("+",M1199&amp;"+")-1),J1199),Direccion_Grupo!$A$2:$G$100,7,FALSE),"")</f>
        <v/>
      </c>
    </row>
    <row r="1200">
      <c r="A1200" t="n">
        <v>30</v>
      </c>
      <c r="B1200" t="inlineStr">
        <is>
          <t>Montaño Anchico Favio Héctor</t>
        </is>
      </c>
      <c r="C1200" t="inlineStr">
        <is>
          <t>JUEVES</t>
        </is>
      </c>
      <c r="D1200" t="n">
        <v>7</v>
      </c>
      <c r="E1200" t="n">
        <v>4</v>
      </c>
      <c r="F1200" t="n">
        <v>1</v>
      </c>
      <c r="G1200" t="inlineStr">
        <is>
          <t>12:00</t>
        </is>
      </c>
      <c r="H1200" t="inlineStr">
        <is>
          <t>12:45</t>
        </is>
      </c>
      <c r="I1200" t="inlineStr">
        <is>
          <t>CLASE</t>
        </is>
      </c>
      <c r="J1200" t="inlineStr">
        <is>
          <t>1102</t>
        </is>
      </c>
      <c r="K1200" t="inlineStr">
        <is>
          <t>CAS</t>
        </is>
      </c>
      <c r="L1200" t="inlineStr"/>
      <c r="M1200" t="inlineStr"/>
      <c r="N1200" t="inlineStr"/>
      <c r="O1200" t="inlineStr"/>
      <c r="P1200" t="inlineStr">
        <is>
          <t>1102-CAS</t>
        </is>
      </c>
      <c r="Q1200">
        <f>IF(I1200="ENFASIS","ÉNFASIS "&amp;M1200,IFERROR(VLOOKUP(J1200,Grupos!$A$2:$D$100,4,FALSE),J1200))</f>
        <v/>
      </c>
      <c r="R1200">
        <f>O1200&amp;IF(N1200&lt;&gt;"",IF(O1200&lt;&gt;""," · ","")&amp;"Con: "&amp;N1200,"")</f>
        <v/>
      </c>
      <c r="S1200">
        <f>C1200&amp;"|"&amp;D1200</f>
        <v/>
      </c>
      <c r="T1200">
        <f>COUNTIF($S$2:S1200,S1200)</f>
        <v/>
      </c>
      <c r="U1200">
        <f>S1200&amp;"|"&amp;T1200</f>
        <v/>
      </c>
      <c r="V1200">
        <f>IFERROR(VLOOKUP(IF(I1200="ENFASIS",LEFT(M1200,FIND("+",M1200&amp;"+")-1),J1200),Direccion_Grupo!$A$2:$G$100,7,FALSE),"")</f>
        <v/>
      </c>
    </row>
    <row r="1201">
      <c r="A1201" t="n">
        <v>20</v>
      </c>
      <c r="B1201" t="inlineStr">
        <is>
          <t>García Gobea Saydi Magali</t>
        </is>
      </c>
      <c r="C1201" t="inlineStr">
        <is>
          <t>JUEVES</t>
        </is>
      </c>
      <c r="D1201" t="n">
        <v>7</v>
      </c>
      <c r="E1201" t="n">
        <v>4</v>
      </c>
      <c r="F1201" t="n">
        <v>1</v>
      </c>
      <c r="G1201" t="inlineStr">
        <is>
          <t>12:00</t>
        </is>
      </c>
      <c r="H1201" t="inlineStr">
        <is>
          <t>12:45</t>
        </is>
      </c>
      <c r="I1201" t="inlineStr">
        <is>
          <t>CLASE</t>
        </is>
      </c>
      <c r="J1201" t="inlineStr">
        <is>
          <t>CS101</t>
        </is>
      </c>
      <c r="K1201" t="inlineStr">
        <is>
          <t>CSI</t>
        </is>
      </c>
      <c r="L1201" t="inlineStr"/>
      <c r="M1201" t="inlineStr"/>
      <c r="N1201" t="inlineStr"/>
      <c r="O1201" t="inlineStr">
        <is>
          <t>Sociales / Inglés (alternan cada semana)</t>
        </is>
      </c>
      <c r="P1201" t="inlineStr">
        <is>
          <t>CS101-CSI</t>
        </is>
      </c>
      <c r="Q1201">
        <f>IF(I1201="ENFASIS","ÉNFASIS "&amp;M1201,IFERROR(VLOOKUP(J1201,Grupos!$A$2:$D$100,4,FALSE),J1201))</f>
        <v/>
      </c>
      <c r="R1201">
        <f>O1201&amp;IF(N1201&lt;&gt;"",IF(O1201&lt;&gt;""," · ","")&amp;"Con: "&amp;N1201,"")</f>
        <v/>
      </c>
      <c r="S1201">
        <f>C1201&amp;"|"&amp;D1201</f>
        <v/>
      </c>
      <c r="T1201">
        <f>COUNTIF($S$2:S1201,S1201)</f>
        <v/>
      </c>
      <c r="U1201">
        <f>S1201&amp;"|"&amp;T1201</f>
        <v/>
      </c>
      <c r="V1201">
        <f>IFERROR(VLOOKUP(IF(I1201="ENFASIS",LEFT(M1201,FIND("+",M1201&amp;"+")-1),J1201),Direccion_Grupo!$A$2:$G$100,7,FALSE),"")</f>
        <v/>
      </c>
    </row>
    <row r="1202">
      <c r="A1202" t="n">
        <v>37</v>
      </c>
      <c r="B1202" t="inlineStr">
        <is>
          <t>Prado Quiñones Genís Maribel</t>
        </is>
      </c>
      <c r="C1202" t="inlineStr">
        <is>
          <t>JUEVES</t>
        </is>
      </c>
      <c r="D1202" t="n">
        <v>7</v>
      </c>
      <c r="E1202" t="n">
        <v>4</v>
      </c>
      <c r="F1202" t="n">
        <v>1</v>
      </c>
      <c r="G1202" t="inlineStr">
        <is>
          <t>12:00</t>
        </is>
      </c>
      <c r="H1202" t="inlineStr">
        <is>
          <t>12:45</t>
        </is>
      </c>
      <c r="I1202" t="inlineStr">
        <is>
          <t>CLASE</t>
        </is>
      </c>
      <c r="J1202" t="inlineStr">
        <is>
          <t>CS102</t>
        </is>
      </c>
      <c r="K1202" t="inlineStr">
        <is>
          <t>ART</t>
        </is>
      </c>
      <c r="L1202" t="inlineStr"/>
      <c r="M1202" t="inlineStr"/>
      <c r="N1202" t="inlineStr"/>
      <c r="O1202" t="inlineStr"/>
      <c r="P1202" t="inlineStr">
        <is>
          <t>CS102-ART</t>
        </is>
      </c>
      <c r="Q1202">
        <f>IF(I1202="ENFASIS","ÉNFASIS "&amp;M1202,IFERROR(VLOOKUP(J1202,Grupos!$A$2:$D$100,4,FALSE),J1202))</f>
        <v/>
      </c>
      <c r="R1202">
        <f>O1202&amp;IF(N1202&lt;&gt;"",IF(O1202&lt;&gt;""," · ","")&amp;"Con: "&amp;N1202,"")</f>
        <v/>
      </c>
      <c r="S1202">
        <f>C1202&amp;"|"&amp;D1202</f>
        <v/>
      </c>
      <c r="T1202">
        <f>COUNTIF($S$2:S1202,S1202)</f>
        <v/>
      </c>
      <c r="U1202">
        <f>S1202&amp;"|"&amp;T1202</f>
        <v/>
      </c>
      <c r="V1202">
        <f>IFERROR(VLOOKUP(IF(I1202="ENFASIS",LEFT(M1202,FIND("+",M1202&amp;"+")-1),J1202),Direccion_Grupo!$A$2:$G$100,7,FALSE),"")</f>
        <v/>
      </c>
    </row>
    <row r="1203">
      <c r="A1203" t="n">
        <v>15</v>
      </c>
      <c r="B1203" t="inlineStr">
        <is>
          <t>Cuero Bamba Berte Levi</t>
        </is>
      </c>
      <c r="C1203" t="inlineStr">
        <is>
          <t>JUEVES</t>
        </is>
      </c>
      <c r="D1203" t="n">
        <v>7</v>
      </c>
      <c r="E1203" t="n">
        <v>4</v>
      </c>
      <c r="F1203" t="n">
        <v>1</v>
      </c>
      <c r="G1203" t="inlineStr">
        <is>
          <t>12:00</t>
        </is>
      </c>
      <c r="H1203" t="inlineStr">
        <is>
          <t>12:45</t>
        </is>
      </c>
      <c r="I1203" t="inlineStr">
        <is>
          <t>CLASE</t>
        </is>
      </c>
      <c r="J1203" t="inlineStr">
        <is>
          <t>CS202</t>
        </is>
      </c>
      <c r="K1203" t="inlineStr">
        <is>
          <t>ERD</t>
        </is>
      </c>
      <c r="L1203" t="inlineStr"/>
      <c r="M1203" t="inlineStr"/>
      <c r="N1203" t="inlineStr"/>
      <c r="O1203" t="inlineStr"/>
      <c r="P1203" t="inlineStr">
        <is>
          <t>CS202-ERD</t>
        </is>
      </c>
      <c r="Q1203">
        <f>IF(I1203="ENFASIS","ÉNFASIS "&amp;M1203,IFERROR(VLOOKUP(J1203,Grupos!$A$2:$D$100,4,FALSE),J1203))</f>
        <v/>
      </c>
      <c r="R1203">
        <f>O1203&amp;IF(N1203&lt;&gt;"",IF(O1203&lt;&gt;""," · ","")&amp;"Con: "&amp;N1203,"")</f>
        <v/>
      </c>
      <c r="S1203">
        <f>C1203&amp;"|"&amp;D1203</f>
        <v/>
      </c>
      <c r="T1203">
        <f>COUNTIF($S$2:S1203,S1203)</f>
        <v/>
      </c>
      <c r="U1203">
        <f>S1203&amp;"|"&amp;T1203</f>
        <v/>
      </c>
      <c r="V1203">
        <f>IFERROR(VLOOKUP(IF(I1203="ENFASIS",LEFT(M1203,FIND("+",M1203&amp;"+")-1),J1203),Direccion_Grupo!$A$2:$G$100,7,FALSE),"")</f>
        <v/>
      </c>
    </row>
    <row r="1204">
      <c r="A1204" t="n">
        <v>7</v>
      </c>
      <c r="B1204" t="inlineStr">
        <is>
          <t>Casanova Casanova Johana Andrea</t>
        </is>
      </c>
      <c r="C1204" t="inlineStr">
        <is>
          <t>JUEVES</t>
        </is>
      </c>
      <c r="D1204" t="n">
        <v>7</v>
      </c>
      <c r="E1204" t="n">
        <v>4</v>
      </c>
      <c r="F1204" t="n">
        <v>1</v>
      </c>
      <c r="G1204" t="inlineStr">
        <is>
          <t>12:00</t>
        </is>
      </c>
      <c r="H1204" t="inlineStr">
        <is>
          <t>12:45</t>
        </is>
      </c>
      <c r="I1204" t="inlineStr">
        <is>
          <t>ORIENTACION</t>
        </is>
      </c>
      <c r="J1204" t="inlineStr">
        <is>
          <t>ORIENT</t>
        </is>
      </c>
      <c r="K1204" t="inlineStr">
        <is>
          <t>ORIENTACIÓN ESCOLAR</t>
        </is>
      </c>
      <c r="L1204" t="inlineStr"/>
      <c r="M1204" t="inlineStr"/>
      <c r="N1204" t="inlineStr"/>
      <c r="O1204" t="inlineStr">
        <is>
          <t>Jornada 07:30 a 14:30</t>
        </is>
      </c>
      <c r="P1204" t="inlineStr"/>
      <c r="Q1204">
        <f>IF(I1204="ENFASIS","ÉNFASIS "&amp;M1204,IFERROR(VLOOKUP(J1204,Grupos!$A$2:$D$100,4,FALSE),J1204))</f>
        <v/>
      </c>
      <c r="R1204">
        <f>O1204&amp;IF(N1204&lt;&gt;"",IF(O1204&lt;&gt;""," · ","")&amp;"Con: "&amp;N1204,"")</f>
        <v/>
      </c>
      <c r="S1204">
        <f>C1204&amp;"|"&amp;D1204</f>
        <v/>
      </c>
      <c r="T1204">
        <f>COUNTIF($S$2:S1204,S1204)</f>
        <v/>
      </c>
      <c r="U1204">
        <f>S1204&amp;"|"&amp;T1204</f>
        <v/>
      </c>
      <c r="V1204">
        <f>IFERROR(VLOOKUP(IF(I1204="ENFASIS",LEFT(M1204,FIND("+",M1204&amp;"+")-1),J1204),Direccion_Grupo!$A$2:$G$100,7,FALSE),"")</f>
        <v/>
      </c>
    </row>
    <row r="1205">
      <c r="A1205" t="n">
        <v>36</v>
      </c>
      <c r="B1205" t="inlineStr">
        <is>
          <t>Ponce Moncayo Ángela Paola</t>
        </is>
      </c>
      <c r="C1205" t="inlineStr">
        <is>
          <t>JUEVES</t>
        </is>
      </c>
      <c r="D1205" t="n">
        <v>7</v>
      </c>
      <c r="E1205" t="n">
        <v>4</v>
      </c>
      <c r="F1205" t="n">
        <v>1</v>
      </c>
      <c r="G1205" t="inlineStr">
        <is>
          <t>12:00</t>
        </is>
      </c>
      <c r="H1205" t="inlineStr">
        <is>
          <t>12:45</t>
        </is>
      </c>
      <c r="I1205" t="inlineStr">
        <is>
          <t>ORIENTACION</t>
        </is>
      </c>
      <c r="J1205" t="inlineStr">
        <is>
          <t>ORIENT</t>
        </is>
      </c>
      <c r="K1205" t="inlineStr">
        <is>
          <t>ORIENTACIÓN ESCOLAR</t>
        </is>
      </c>
      <c r="L1205" t="inlineStr"/>
      <c r="M1205" t="inlineStr"/>
      <c r="N1205" t="inlineStr"/>
      <c r="O1205" t="inlineStr">
        <is>
          <t>Jornada 08:30 a 13:30</t>
        </is>
      </c>
      <c r="P1205" t="inlineStr"/>
      <c r="Q1205">
        <f>IF(I1205="ENFASIS","ÉNFASIS "&amp;M1205,IFERROR(VLOOKUP(J1205,Grupos!$A$2:$D$100,4,FALSE),J1205))</f>
        <v/>
      </c>
      <c r="R1205">
        <f>O1205&amp;IF(N1205&lt;&gt;"",IF(O1205&lt;&gt;""," · ","")&amp;"Con: "&amp;N1205,"")</f>
        <v/>
      </c>
      <c r="S1205">
        <f>C1205&amp;"|"&amp;D1205</f>
        <v/>
      </c>
      <c r="T1205">
        <f>COUNTIF($S$2:S1205,S1205)</f>
        <v/>
      </c>
      <c r="U1205">
        <f>S1205&amp;"|"&amp;T1205</f>
        <v/>
      </c>
      <c r="V1205">
        <f>IFERROR(VLOOKUP(IF(I1205="ENFASIS",LEFT(M1205,FIND("+",M1205&amp;"+")-1),J1205),Direccion_Grupo!$A$2:$G$100,7,FALSE),"")</f>
        <v/>
      </c>
    </row>
    <row r="1206">
      <c r="A1206" t="n">
        <v>10</v>
      </c>
      <c r="B1206" t="inlineStr">
        <is>
          <t>Castillo Cuero Daira Eneida</t>
        </is>
      </c>
      <c r="C1206" t="inlineStr">
        <is>
          <t>JUEVES</t>
        </is>
      </c>
      <c r="D1206" t="n">
        <v>7</v>
      </c>
      <c r="E1206" t="n">
        <v>4</v>
      </c>
      <c r="F1206" t="n">
        <v>1</v>
      </c>
      <c r="G1206" t="inlineStr">
        <is>
          <t>12:00</t>
        </is>
      </c>
      <c r="H1206" t="inlineStr">
        <is>
          <t>12:45</t>
        </is>
      </c>
      <c r="I1206" t="inlineStr">
        <is>
          <t>ENFASIS</t>
        </is>
      </c>
      <c r="J1206" t="inlineStr"/>
      <c r="K1206" t="inlineStr">
        <is>
          <t>CAS</t>
        </is>
      </c>
      <c r="L1206" t="inlineStr">
        <is>
          <t>0601</t>
        </is>
      </c>
      <c r="M1206" t="inlineStr">
        <is>
          <t>0601</t>
        </is>
      </c>
      <c r="N1206" t="inlineStr">
        <is>
          <t>Puches Ana Milena (ART)</t>
        </is>
      </c>
      <c r="O1206" t="inlineStr">
        <is>
          <t>PAREJA: comparten el énfasis y alternan por semana</t>
        </is>
      </c>
      <c r="P1206" t="inlineStr">
        <is>
          <t>ENFASIS-0601</t>
        </is>
      </c>
      <c r="Q1206">
        <f>IF(I1206="ENFASIS","ÉNFASIS "&amp;M1206,IFERROR(VLOOKUP(J1206,Grupos!$A$2:$D$100,4,FALSE),J1206))</f>
        <v/>
      </c>
      <c r="R1206">
        <f>O1206&amp;IF(N1206&lt;&gt;"",IF(O1206&lt;&gt;""," · ","")&amp;"Con: "&amp;N1206,"")</f>
        <v/>
      </c>
      <c r="S1206">
        <f>C1206&amp;"|"&amp;D1206</f>
        <v/>
      </c>
      <c r="T1206">
        <f>COUNTIF($S$2:S1206,S1206)</f>
        <v/>
      </c>
      <c r="U1206">
        <f>S1206&amp;"|"&amp;T1206</f>
        <v/>
      </c>
      <c r="V1206">
        <f>IFERROR(VLOOKUP(IF(I1206="ENFASIS",LEFT(M1206,FIND("+",M1206&amp;"+")-1),J1206),Direccion_Grupo!$A$2:$G$100,7,FALSE),"")</f>
        <v/>
      </c>
    </row>
    <row r="1207">
      <c r="A1207" t="n">
        <v>39</v>
      </c>
      <c r="B1207" t="inlineStr">
        <is>
          <t>Puches Ana Milena</t>
        </is>
      </c>
      <c r="C1207" t="inlineStr">
        <is>
          <t>JUEVES</t>
        </is>
      </c>
      <c r="D1207" t="n">
        <v>7</v>
      </c>
      <c r="E1207" t="n">
        <v>4</v>
      </c>
      <c r="F1207" t="n">
        <v>1</v>
      </c>
      <c r="G1207" t="inlineStr">
        <is>
          <t>12:00</t>
        </is>
      </c>
      <c r="H1207" t="inlineStr">
        <is>
          <t>12:45</t>
        </is>
      </c>
      <c r="I1207" t="inlineStr">
        <is>
          <t>ENFASIS</t>
        </is>
      </c>
      <c r="J1207" t="inlineStr"/>
      <c r="K1207" t="inlineStr">
        <is>
          <t>ART</t>
        </is>
      </c>
      <c r="L1207" t="inlineStr">
        <is>
          <t>0601</t>
        </is>
      </c>
      <c r="M1207" t="inlineStr">
        <is>
          <t>0601</t>
        </is>
      </c>
      <c r="N1207" t="inlineStr">
        <is>
          <t>Castillo Cuero Daira Eneida (CAS)</t>
        </is>
      </c>
      <c r="O1207" t="inlineStr">
        <is>
          <t>PAREJA: comparten el énfasis y alternan por semana</t>
        </is>
      </c>
      <c r="P1207" t="inlineStr">
        <is>
          <t>ENFASIS-0601</t>
        </is>
      </c>
      <c r="Q1207">
        <f>IF(I1207="ENFASIS","ÉNFASIS "&amp;M1207,IFERROR(VLOOKUP(J1207,Grupos!$A$2:$D$100,4,FALSE),J1207))</f>
        <v/>
      </c>
      <c r="R1207">
        <f>O1207&amp;IF(N1207&lt;&gt;"",IF(O1207&lt;&gt;""," · ","")&amp;"Con: "&amp;N1207,"")</f>
        <v/>
      </c>
      <c r="S1207">
        <f>C1207&amp;"|"&amp;D1207</f>
        <v/>
      </c>
      <c r="T1207">
        <f>COUNTIF($S$2:S1207,S1207)</f>
        <v/>
      </c>
      <c r="U1207">
        <f>S1207&amp;"|"&amp;T1207</f>
        <v/>
      </c>
      <c r="V1207">
        <f>IFERROR(VLOOKUP(IF(I1207="ENFASIS",LEFT(M1207,FIND("+",M1207&amp;"+")-1),J1207),Direccion_Grupo!$A$2:$G$100,7,FALSE),"")</f>
        <v/>
      </c>
    </row>
    <row r="1208">
      <c r="A1208" t="n">
        <v>34</v>
      </c>
      <c r="B1208" t="inlineStr">
        <is>
          <t>Ordóñez Tenorio Jaime Marcial</t>
        </is>
      </c>
      <c r="C1208" t="inlineStr">
        <is>
          <t>JUEVES</t>
        </is>
      </c>
      <c r="D1208" t="n">
        <v>7</v>
      </c>
      <c r="E1208" t="n">
        <v>4</v>
      </c>
      <c r="F1208" t="n">
        <v>1</v>
      </c>
      <c r="G1208" t="inlineStr">
        <is>
          <t>12:00</t>
        </is>
      </c>
      <c r="H1208" t="inlineStr">
        <is>
          <t>12:45</t>
        </is>
      </c>
      <c r="I1208" t="inlineStr">
        <is>
          <t>ENFASIS</t>
        </is>
      </c>
      <c r="J1208" t="inlineStr"/>
      <c r="K1208" t="inlineStr">
        <is>
          <t>CNA</t>
        </is>
      </c>
      <c r="L1208" t="inlineStr">
        <is>
          <t>0602</t>
        </is>
      </c>
      <c r="M1208" t="inlineStr">
        <is>
          <t>0602</t>
        </is>
      </c>
      <c r="N1208" t="inlineStr">
        <is>
          <t>Armero Dájome Jesús (ERD)</t>
        </is>
      </c>
      <c r="O1208" t="inlineStr">
        <is>
          <t>PAREJA: comparten el énfasis y alternan por semana</t>
        </is>
      </c>
      <c r="P1208" t="inlineStr">
        <is>
          <t>ENFASIS-0602</t>
        </is>
      </c>
      <c r="Q1208">
        <f>IF(I1208="ENFASIS","ÉNFASIS "&amp;M1208,IFERROR(VLOOKUP(J1208,Grupos!$A$2:$D$100,4,FALSE),J1208))</f>
        <v/>
      </c>
      <c r="R1208">
        <f>O1208&amp;IF(N1208&lt;&gt;"",IF(O1208&lt;&gt;""," · ","")&amp;"Con: "&amp;N1208,"")</f>
        <v/>
      </c>
      <c r="S1208">
        <f>C1208&amp;"|"&amp;D1208</f>
        <v/>
      </c>
      <c r="T1208">
        <f>COUNTIF($S$2:S1208,S1208)</f>
        <v/>
      </c>
      <c r="U1208">
        <f>S1208&amp;"|"&amp;T1208</f>
        <v/>
      </c>
      <c r="V1208">
        <f>IFERROR(VLOOKUP(IF(I1208="ENFASIS",LEFT(M1208,FIND("+",M1208&amp;"+")-1),J1208),Direccion_Grupo!$A$2:$G$100,7,FALSE),"")</f>
        <v/>
      </c>
    </row>
    <row r="1209">
      <c r="A1209" t="n">
        <v>4</v>
      </c>
      <c r="B1209" t="inlineStr">
        <is>
          <t>Arizala Castro Roberto Carlos</t>
        </is>
      </c>
      <c r="C1209" t="inlineStr">
        <is>
          <t>JUEVES</t>
        </is>
      </c>
      <c r="D1209" t="n">
        <v>7</v>
      </c>
      <c r="E1209" t="n">
        <v>4</v>
      </c>
      <c r="F1209" t="n">
        <v>1</v>
      </c>
      <c r="G1209" t="inlineStr">
        <is>
          <t>12:00</t>
        </is>
      </c>
      <c r="H1209" t="inlineStr">
        <is>
          <t>12:45</t>
        </is>
      </c>
      <c r="I1209" t="inlineStr">
        <is>
          <t>ENFASIS</t>
        </is>
      </c>
      <c r="J1209" t="inlineStr"/>
      <c r="K1209" t="inlineStr">
        <is>
          <t>ERD</t>
        </is>
      </c>
      <c r="L1209" t="inlineStr">
        <is>
          <t>0602</t>
        </is>
      </c>
      <c r="M1209" t="inlineStr">
        <is>
          <t>0602</t>
        </is>
      </c>
      <c r="N1209" t="inlineStr">
        <is>
          <t>Ordóñez Tenorio Jaime Marcial (CNA)</t>
        </is>
      </c>
      <c r="O1209" t="inlineStr">
        <is>
          <t>PAREJA: comparten el énfasis y alternan por semana</t>
        </is>
      </c>
      <c r="P1209" t="inlineStr">
        <is>
          <t>ENFASIS-0602</t>
        </is>
      </c>
      <c r="Q1209">
        <f>IF(I1209="ENFASIS","ÉNFASIS "&amp;M1209,IFERROR(VLOOKUP(J1209,Grupos!$A$2:$D$100,4,FALSE),J1209))</f>
        <v/>
      </c>
      <c r="R1209">
        <f>O1209&amp;IF(N1209&lt;&gt;"",IF(O1209&lt;&gt;""," · ","")&amp;"Con: "&amp;N1209,"")</f>
        <v/>
      </c>
      <c r="S1209">
        <f>C1209&amp;"|"&amp;D1209</f>
        <v/>
      </c>
      <c r="T1209">
        <f>COUNTIF($S$2:S1209,S1209)</f>
        <v/>
      </c>
      <c r="U1209">
        <f>S1209&amp;"|"&amp;T1209</f>
        <v/>
      </c>
      <c r="V1209">
        <f>IFERROR(VLOOKUP(IF(I1209="ENFASIS",LEFT(M1209,FIND("+",M1209&amp;"+")-1),J1209),Direccion_Grupo!$A$2:$G$100,7,FALSE),"")</f>
        <v/>
      </c>
    </row>
    <row r="1210">
      <c r="A1210" t="n">
        <v>9</v>
      </c>
      <c r="B1210" t="inlineStr">
        <is>
          <t>Castillo Angulo Martha Cecilia</t>
        </is>
      </c>
      <c r="C1210" t="inlineStr">
        <is>
          <t>JUEVES</t>
        </is>
      </c>
      <c r="D1210" t="n">
        <v>7</v>
      </c>
      <c r="E1210" t="n">
        <v>4</v>
      </c>
      <c r="F1210" t="n">
        <v>1</v>
      </c>
      <c r="G1210" t="inlineStr">
        <is>
          <t>12:00</t>
        </is>
      </c>
      <c r="H1210" t="inlineStr">
        <is>
          <t>12:45</t>
        </is>
      </c>
      <c r="I1210" t="inlineStr">
        <is>
          <t>ENFASIS</t>
        </is>
      </c>
      <c r="J1210" t="inlineStr"/>
      <c r="K1210" t="inlineStr">
        <is>
          <t>ETR</t>
        </is>
      </c>
      <c r="L1210" t="inlineStr">
        <is>
          <t>0802</t>
        </is>
      </c>
      <c r="M1210" t="inlineStr">
        <is>
          <t>0802</t>
        </is>
      </c>
      <c r="N1210" t="inlineStr">
        <is>
          <t>Ortiz Araujo Adiela Carlota (CSI)</t>
        </is>
      </c>
      <c r="O1210" t="inlineStr">
        <is>
          <t>PAREJA: comparten el énfasis y alternan por semana</t>
        </is>
      </c>
      <c r="P1210" t="inlineStr">
        <is>
          <t>ENFASIS-0802</t>
        </is>
      </c>
      <c r="Q1210">
        <f>IF(I1210="ENFASIS","ÉNFASIS "&amp;M1210,IFERROR(VLOOKUP(J1210,Grupos!$A$2:$D$100,4,FALSE),J1210))</f>
        <v/>
      </c>
      <c r="R1210">
        <f>O1210&amp;IF(N1210&lt;&gt;"",IF(O1210&lt;&gt;""," · ","")&amp;"Con: "&amp;N1210,"")</f>
        <v/>
      </c>
      <c r="S1210">
        <f>C1210&amp;"|"&amp;D1210</f>
        <v/>
      </c>
      <c r="T1210">
        <f>COUNTIF($S$2:S1210,S1210)</f>
        <v/>
      </c>
      <c r="U1210">
        <f>S1210&amp;"|"&amp;T1210</f>
        <v/>
      </c>
      <c r="V1210">
        <f>IFERROR(VLOOKUP(IF(I1210="ENFASIS",LEFT(M1210,FIND("+",M1210&amp;"+")-1),J1210),Direccion_Grupo!$A$2:$G$100,7,FALSE),"")</f>
        <v/>
      </c>
    </row>
    <row r="1211">
      <c r="A1211" t="n">
        <v>19</v>
      </c>
      <c r="B1211" t="inlineStr">
        <is>
          <t>Fernández Vélez Alfredo Enrique</t>
        </is>
      </c>
      <c r="C1211" t="inlineStr">
        <is>
          <t>JUEVES</t>
        </is>
      </c>
      <c r="D1211" t="n">
        <v>7</v>
      </c>
      <c r="E1211" t="n">
        <v>4</v>
      </c>
      <c r="F1211" t="n">
        <v>1</v>
      </c>
      <c r="G1211" t="inlineStr">
        <is>
          <t>12:00</t>
        </is>
      </c>
      <c r="H1211" t="inlineStr">
        <is>
          <t>12:45</t>
        </is>
      </c>
      <c r="I1211" t="inlineStr">
        <is>
          <t>ENFASIS</t>
        </is>
      </c>
      <c r="J1211" t="inlineStr"/>
      <c r="K1211" t="inlineStr">
        <is>
          <t>TEI</t>
        </is>
      </c>
      <c r="L1211" t="inlineStr">
        <is>
          <t>D3-8°</t>
        </is>
      </c>
      <c r="M1211" t="inlineStr">
        <is>
          <t>0802</t>
        </is>
      </c>
      <c r="N1211" t="inlineStr">
        <is>
          <t>Preciado Torres Oleisa (MAT)</t>
        </is>
      </c>
      <c r="O1211" t="inlineStr">
        <is>
          <t>PAREJA: comparten el énfasis y alternan por semana</t>
        </is>
      </c>
      <c r="P1211" t="inlineStr">
        <is>
          <t>ENFASIS-D3-8°</t>
        </is>
      </c>
      <c r="Q1211">
        <f>IF(I1211="ENFASIS","ÉNFASIS "&amp;M1211,IFERROR(VLOOKUP(J1211,Grupos!$A$2:$D$100,4,FALSE),J1211))</f>
        <v/>
      </c>
      <c r="R1211">
        <f>O1211&amp;IF(N1211&lt;&gt;"",IF(O1211&lt;&gt;""," · ","")&amp;"Con: "&amp;N1211,"")</f>
        <v/>
      </c>
      <c r="S1211">
        <f>C1211&amp;"|"&amp;D1211</f>
        <v/>
      </c>
      <c r="T1211">
        <f>COUNTIF($S$2:S1211,S1211)</f>
        <v/>
      </c>
      <c r="U1211">
        <f>S1211&amp;"|"&amp;T1211</f>
        <v/>
      </c>
      <c r="V1211">
        <f>IFERROR(VLOOKUP(IF(I1211="ENFASIS",LEFT(M1211,FIND("+",M1211&amp;"+")-1),J1211),Direccion_Grupo!$A$2:$G$100,7,FALSE),"")</f>
        <v/>
      </c>
    </row>
    <row r="1212">
      <c r="A1212" t="n">
        <v>35</v>
      </c>
      <c r="B1212" t="inlineStr">
        <is>
          <t>Ortiz Araujo Adiela Carlota</t>
        </is>
      </c>
      <c r="C1212" t="inlineStr">
        <is>
          <t>JUEVES</t>
        </is>
      </c>
      <c r="D1212" t="n">
        <v>7</v>
      </c>
      <c r="E1212" t="n">
        <v>4</v>
      </c>
      <c r="F1212" t="n">
        <v>1</v>
      </c>
      <c r="G1212" t="inlineStr">
        <is>
          <t>12:00</t>
        </is>
      </c>
      <c r="H1212" t="inlineStr">
        <is>
          <t>12:45</t>
        </is>
      </c>
      <c r="I1212" t="inlineStr">
        <is>
          <t>ENFASIS</t>
        </is>
      </c>
      <c r="J1212" t="inlineStr"/>
      <c r="K1212" t="inlineStr">
        <is>
          <t>CSI</t>
        </is>
      </c>
      <c r="L1212" t="inlineStr">
        <is>
          <t>0802</t>
        </is>
      </c>
      <c r="M1212" t="inlineStr">
        <is>
          <t>0802</t>
        </is>
      </c>
      <c r="N1212" t="inlineStr">
        <is>
          <t>Castillo Angulo Martha Cecilia (ETR)</t>
        </is>
      </c>
      <c r="O1212" t="inlineStr">
        <is>
          <t>PAREJA: comparten el énfasis y alternan por semana</t>
        </is>
      </c>
      <c r="P1212" t="inlineStr">
        <is>
          <t>ENFASIS-0802</t>
        </is>
      </c>
      <c r="Q1212">
        <f>IF(I1212="ENFASIS","ÉNFASIS "&amp;M1212,IFERROR(VLOOKUP(J1212,Grupos!$A$2:$D$100,4,FALSE),J1212))</f>
        <v/>
      </c>
      <c r="R1212">
        <f>O1212&amp;IF(N1212&lt;&gt;"",IF(O1212&lt;&gt;""," · ","")&amp;"Con: "&amp;N1212,"")</f>
        <v/>
      </c>
      <c r="S1212">
        <f>C1212&amp;"|"&amp;D1212</f>
        <v/>
      </c>
      <c r="T1212">
        <f>COUNTIF($S$2:S1212,S1212)</f>
        <v/>
      </c>
      <c r="U1212">
        <f>S1212&amp;"|"&amp;T1212</f>
        <v/>
      </c>
      <c r="V1212">
        <f>IFERROR(VLOOKUP(IF(I1212="ENFASIS",LEFT(M1212,FIND("+",M1212&amp;"+")-1),J1212),Direccion_Grupo!$A$2:$G$100,7,FALSE),"")</f>
        <v/>
      </c>
    </row>
    <row r="1213">
      <c r="A1213" t="n">
        <v>38</v>
      </c>
      <c r="B1213" t="inlineStr">
        <is>
          <t>Preciado Torres Oleisa</t>
        </is>
      </c>
      <c r="C1213" t="inlineStr">
        <is>
          <t>JUEVES</t>
        </is>
      </c>
      <c r="D1213" t="n">
        <v>7</v>
      </c>
      <c r="E1213" t="n">
        <v>4</v>
      </c>
      <c r="F1213" t="n">
        <v>1</v>
      </c>
      <c r="G1213" t="inlineStr">
        <is>
          <t>12:00</t>
        </is>
      </c>
      <c r="H1213" t="inlineStr">
        <is>
          <t>12:45</t>
        </is>
      </c>
      <c r="I1213" t="inlineStr">
        <is>
          <t>ENFASIS</t>
        </is>
      </c>
      <c r="J1213" t="inlineStr"/>
      <c r="K1213" t="inlineStr">
        <is>
          <t>MAT</t>
        </is>
      </c>
      <c r="L1213" t="inlineStr">
        <is>
          <t>D3-8°</t>
        </is>
      </c>
      <c r="M1213" t="inlineStr">
        <is>
          <t>0802</t>
        </is>
      </c>
      <c r="N1213" t="inlineStr">
        <is>
          <t>Fernández Vélez Alfredo Enrique (TEI)</t>
        </is>
      </c>
      <c r="O1213" t="inlineStr">
        <is>
          <t>PAREJA: comparten el énfasis y alternan por semana</t>
        </is>
      </c>
      <c r="P1213" t="inlineStr">
        <is>
          <t>ENFASIS-D3-8°</t>
        </is>
      </c>
      <c r="Q1213">
        <f>IF(I1213="ENFASIS","ÉNFASIS "&amp;M1213,IFERROR(VLOOKUP(J1213,Grupos!$A$2:$D$100,4,FALSE),J1213))</f>
        <v/>
      </c>
      <c r="R1213">
        <f>O1213&amp;IF(N1213&lt;&gt;"",IF(O1213&lt;&gt;""," · ","")&amp;"Con: "&amp;N1213,"")</f>
        <v/>
      </c>
      <c r="S1213">
        <f>C1213&amp;"|"&amp;D1213</f>
        <v/>
      </c>
      <c r="T1213">
        <f>COUNTIF($S$2:S1213,S1213)</f>
        <v/>
      </c>
      <c r="U1213">
        <f>S1213&amp;"|"&amp;T1213</f>
        <v/>
      </c>
      <c r="V1213">
        <f>IFERROR(VLOOKUP(IF(I1213="ENFASIS",LEFT(M1213,FIND("+",M1213&amp;"+")-1),J1213),Direccion_Grupo!$A$2:$G$100,7,FALSE),"")</f>
        <v/>
      </c>
    </row>
    <row r="1214">
      <c r="A1214" t="n">
        <v>22</v>
      </c>
      <c r="B1214" t="inlineStr">
        <is>
          <t>González Castillo Jólmer Jimy</t>
        </is>
      </c>
      <c r="C1214" t="inlineStr">
        <is>
          <t>JUEVES</t>
        </is>
      </c>
      <c r="D1214" t="n">
        <v>7</v>
      </c>
      <c r="E1214" t="n">
        <v>4</v>
      </c>
      <c r="F1214" t="n">
        <v>1</v>
      </c>
      <c r="G1214" t="inlineStr">
        <is>
          <t>12:00</t>
        </is>
      </c>
      <c r="H1214" t="inlineStr">
        <is>
          <t>12:45</t>
        </is>
      </c>
      <c r="I1214" t="inlineStr">
        <is>
          <t>ENFASIS</t>
        </is>
      </c>
      <c r="J1214" t="inlineStr"/>
      <c r="K1214" t="inlineStr">
        <is>
          <t>ERD</t>
        </is>
      </c>
      <c r="L1214" t="inlineStr">
        <is>
          <t>CS201</t>
        </is>
      </c>
      <c r="M1214" t="inlineStr">
        <is>
          <t>CS201</t>
        </is>
      </c>
      <c r="N1214" t="inlineStr">
        <is>
          <t>Valencia Marínez Saidy Eufemia (ART); Meza Banguera Gladys Alicia (CAS); Lemos Guancha Miriam (CNA)</t>
        </is>
      </c>
      <c r="O1214" t="inlineStr">
        <is>
          <t>EQUIPO DE 4: cada docente atiende un grupo de estudiantes en su área</t>
        </is>
      </c>
      <c r="P1214" t="inlineStr">
        <is>
          <t>ENFASIS-CS201</t>
        </is>
      </c>
      <c r="Q1214">
        <f>IF(I1214="ENFASIS","ÉNFASIS "&amp;M1214,IFERROR(VLOOKUP(J1214,Grupos!$A$2:$D$100,4,FALSE),J1214))</f>
        <v/>
      </c>
      <c r="R1214">
        <f>O1214&amp;IF(N1214&lt;&gt;"",IF(O1214&lt;&gt;""," · ","")&amp;"Con: "&amp;N1214,"")</f>
        <v/>
      </c>
      <c r="S1214">
        <f>C1214&amp;"|"&amp;D1214</f>
        <v/>
      </c>
      <c r="T1214">
        <f>COUNTIF($S$2:S1214,S1214)</f>
        <v/>
      </c>
      <c r="U1214">
        <f>S1214&amp;"|"&amp;T1214</f>
        <v/>
      </c>
      <c r="V1214">
        <f>IFERROR(VLOOKUP(IF(I1214="ENFASIS",LEFT(M1214,FIND("+",M1214&amp;"+")-1),J1214),Direccion_Grupo!$A$2:$G$100,7,FALSE),"")</f>
        <v/>
      </c>
    </row>
    <row r="1215">
      <c r="A1215" t="n">
        <v>25</v>
      </c>
      <c r="B1215" t="inlineStr">
        <is>
          <t>Lemos Guancha Miriam</t>
        </is>
      </c>
      <c r="C1215" t="inlineStr">
        <is>
          <t>JUEVES</t>
        </is>
      </c>
      <c r="D1215" t="n">
        <v>7</v>
      </c>
      <c r="E1215" t="n">
        <v>4</v>
      </c>
      <c r="F1215" t="n">
        <v>1</v>
      </c>
      <c r="G1215" t="inlineStr">
        <is>
          <t>12:00</t>
        </is>
      </c>
      <c r="H1215" t="inlineStr">
        <is>
          <t>12:45</t>
        </is>
      </c>
      <c r="I1215" t="inlineStr">
        <is>
          <t>ENFASIS</t>
        </is>
      </c>
      <c r="J1215" t="inlineStr"/>
      <c r="K1215" t="inlineStr">
        <is>
          <t>CNA</t>
        </is>
      </c>
      <c r="L1215" t="inlineStr">
        <is>
          <t>CS201</t>
        </is>
      </c>
      <c r="M1215" t="inlineStr">
        <is>
          <t>CS201</t>
        </is>
      </c>
      <c r="N1215" t="inlineStr">
        <is>
          <t>Valencia Marínez Saidy Eufemia (ART); Meza Banguera Gladys Alicia (CAS); González Castillo Jólmer Jimy (ERD)</t>
        </is>
      </c>
      <c r="O1215" t="inlineStr">
        <is>
          <t>EQUIPO DE 4: cada docente atiende un grupo de estudiantes en su área</t>
        </is>
      </c>
      <c r="P1215" t="inlineStr">
        <is>
          <t>ENFASIS-CS201</t>
        </is>
      </c>
      <c r="Q1215">
        <f>IF(I1215="ENFASIS","ÉNFASIS "&amp;M1215,IFERROR(VLOOKUP(J1215,Grupos!$A$2:$D$100,4,FALSE),J1215))</f>
        <v/>
      </c>
      <c r="R1215">
        <f>O1215&amp;IF(N1215&lt;&gt;"",IF(O1215&lt;&gt;""," · ","")&amp;"Con: "&amp;N1215,"")</f>
        <v/>
      </c>
      <c r="S1215">
        <f>C1215&amp;"|"&amp;D1215</f>
        <v/>
      </c>
      <c r="T1215">
        <f>COUNTIF($S$2:S1215,S1215)</f>
        <v/>
      </c>
      <c r="U1215">
        <f>S1215&amp;"|"&amp;T1215</f>
        <v/>
      </c>
      <c r="V1215">
        <f>IFERROR(VLOOKUP(IF(I1215="ENFASIS",LEFT(M1215,FIND("+",M1215&amp;"+")-1),J1215),Direccion_Grupo!$A$2:$G$100,7,FALSE),"")</f>
        <v/>
      </c>
    </row>
    <row r="1216">
      <c r="A1216" t="n">
        <v>28</v>
      </c>
      <c r="B1216" t="inlineStr">
        <is>
          <t>Meza Banguera Gladys Alicia</t>
        </is>
      </c>
      <c r="C1216" t="inlineStr">
        <is>
          <t>JUEVES</t>
        </is>
      </c>
      <c r="D1216" t="n">
        <v>7</v>
      </c>
      <c r="E1216" t="n">
        <v>4</v>
      </c>
      <c r="F1216" t="n">
        <v>1</v>
      </c>
      <c r="G1216" t="inlineStr">
        <is>
          <t>12:00</t>
        </is>
      </c>
      <c r="H1216" t="inlineStr">
        <is>
          <t>12:45</t>
        </is>
      </c>
      <c r="I1216" t="inlineStr">
        <is>
          <t>ENFASIS</t>
        </is>
      </c>
      <c r="J1216" t="inlineStr"/>
      <c r="K1216" t="inlineStr">
        <is>
          <t>CAS</t>
        </is>
      </c>
      <c r="L1216" t="inlineStr">
        <is>
          <t>CS201</t>
        </is>
      </c>
      <c r="M1216" t="inlineStr">
        <is>
          <t>CS201</t>
        </is>
      </c>
      <c r="N1216" t="inlineStr">
        <is>
          <t>Valencia Marínez Saidy Eufemia (ART); González Castillo Jólmer Jimy (ERD); Lemos Guancha Miriam (CNA)</t>
        </is>
      </c>
      <c r="O1216" t="inlineStr">
        <is>
          <t>EQUIPO DE 4: cada docente atiende un grupo de estudiantes en su área</t>
        </is>
      </c>
      <c r="P1216" t="inlineStr">
        <is>
          <t>ENFASIS-CS201</t>
        </is>
      </c>
      <c r="Q1216">
        <f>IF(I1216="ENFASIS","ÉNFASIS "&amp;M1216,IFERROR(VLOOKUP(J1216,Grupos!$A$2:$D$100,4,FALSE),J1216))</f>
        <v/>
      </c>
      <c r="R1216">
        <f>O1216&amp;IF(N1216&lt;&gt;"",IF(O1216&lt;&gt;""," · ","")&amp;"Con: "&amp;N1216,"")</f>
        <v/>
      </c>
      <c r="S1216">
        <f>C1216&amp;"|"&amp;D1216</f>
        <v/>
      </c>
      <c r="T1216">
        <f>COUNTIF($S$2:S1216,S1216)</f>
        <v/>
      </c>
      <c r="U1216">
        <f>S1216&amp;"|"&amp;T1216</f>
        <v/>
      </c>
      <c r="V1216">
        <f>IFERROR(VLOOKUP(IF(I1216="ENFASIS",LEFT(M1216,FIND("+",M1216&amp;"+")-1),J1216),Direccion_Grupo!$A$2:$G$100,7,FALSE),"")</f>
        <v/>
      </c>
    </row>
    <row r="1217">
      <c r="A1217" t="n">
        <v>49</v>
      </c>
      <c r="B1217" t="inlineStr">
        <is>
          <t>Valencia Marínez Saidy Eufemia</t>
        </is>
      </c>
      <c r="C1217" t="inlineStr">
        <is>
          <t>JUEVES</t>
        </is>
      </c>
      <c r="D1217" t="n">
        <v>7</v>
      </c>
      <c r="E1217" t="n">
        <v>4</v>
      </c>
      <c r="F1217" t="n">
        <v>1</v>
      </c>
      <c r="G1217" t="inlineStr">
        <is>
          <t>12:00</t>
        </is>
      </c>
      <c r="H1217" t="inlineStr">
        <is>
          <t>12:45</t>
        </is>
      </c>
      <c r="I1217" t="inlineStr">
        <is>
          <t>ENFASIS</t>
        </is>
      </c>
      <c r="J1217" t="inlineStr"/>
      <c r="K1217" t="inlineStr">
        <is>
          <t>ART</t>
        </is>
      </c>
      <c r="L1217" t="inlineStr">
        <is>
          <t>CS201</t>
        </is>
      </c>
      <c r="M1217" t="inlineStr">
        <is>
          <t>CS201</t>
        </is>
      </c>
      <c r="N1217" t="inlineStr">
        <is>
          <t>Meza Banguera Gladys Alicia (CAS); González Castillo Jólmer Jimy (ERD); Lemos Guancha Miriam (CNA)</t>
        </is>
      </c>
      <c r="O1217" t="inlineStr">
        <is>
          <t>EQUIPO DE 4: cada docente atiende un grupo de estudiantes en su área</t>
        </is>
      </c>
      <c r="P1217" t="inlineStr">
        <is>
          <t>ENFASIS-CS201</t>
        </is>
      </c>
      <c r="Q1217">
        <f>IF(I1217="ENFASIS","ÉNFASIS "&amp;M1217,IFERROR(VLOOKUP(J1217,Grupos!$A$2:$D$100,4,FALSE),J1217))</f>
        <v/>
      </c>
      <c r="R1217">
        <f>O1217&amp;IF(N1217&lt;&gt;"",IF(O1217&lt;&gt;""," · ","")&amp;"Con: "&amp;N1217,"")</f>
        <v/>
      </c>
      <c r="S1217">
        <f>C1217&amp;"|"&amp;D1217</f>
        <v/>
      </c>
      <c r="T1217">
        <f>COUNTIF($S$2:S1217,S1217)</f>
        <v/>
      </c>
      <c r="U1217">
        <f>S1217&amp;"|"&amp;T1217</f>
        <v/>
      </c>
      <c r="V1217">
        <f>IFERROR(VLOOKUP(IF(I1217="ENFASIS",LEFT(M1217,FIND("+",M1217&amp;"+")-1),J1217),Direccion_Grupo!$A$2:$G$100,7,FALSE),"")</f>
        <v/>
      </c>
    </row>
    <row r="1218">
      <c r="A1218" t="n">
        <v>8</v>
      </c>
      <c r="B1218" t="inlineStr">
        <is>
          <t>Casanova Quiñones Yoli del Carmen</t>
        </is>
      </c>
      <c r="C1218" t="inlineStr">
        <is>
          <t>JUEVES</t>
        </is>
      </c>
      <c r="D1218" t="n">
        <v>8</v>
      </c>
      <c r="E1218" t="n">
        <v>4</v>
      </c>
      <c r="F1218" t="n">
        <v>2</v>
      </c>
      <c r="G1218" t="inlineStr">
        <is>
          <t>12:45</t>
        </is>
      </c>
      <c r="H1218" t="inlineStr">
        <is>
          <t>13:30</t>
        </is>
      </c>
      <c r="I1218" t="inlineStr">
        <is>
          <t>CLASE</t>
        </is>
      </c>
      <c r="J1218" t="inlineStr">
        <is>
          <t>0701</t>
        </is>
      </c>
      <c r="K1218" t="inlineStr">
        <is>
          <t>ETR</t>
        </is>
      </c>
      <c r="L1218" t="inlineStr"/>
      <c r="M1218" t="inlineStr"/>
      <c r="N1218" t="inlineStr"/>
      <c r="O1218" t="inlineStr">
        <is>
          <t>Ética / Religión (alternan cada semana)</t>
        </is>
      </c>
      <c r="P1218" t="inlineStr">
        <is>
          <t>0701-ETR</t>
        </is>
      </c>
      <c r="Q1218">
        <f>IF(I1218="ENFASIS","ÉNFASIS "&amp;M1218,IFERROR(VLOOKUP(J1218,Grupos!$A$2:$D$100,4,FALSE),J1218))</f>
        <v/>
      </c>
      <c r="R1218">
        <f>O1218&amp;IF(N1218&lt;&gt;"",IF(O1218&lt;&gt;""," · ","")&amp;"Con: "&amp;N1218,"")</f>
        <v/>
      </c>
      <c r="S1218">
        <f>C1218&amp;"|"&amp;D1218</f>
        <v/>
      </c>
      <c r="T1218">
        <f>COUNTIF($S$2:S1218,S1218)</f>
        <v/>
      </c>
      <c r="U1218">
        <f>S1218&amp;"|"&amp;T1218</f>
        <v/>
      </c>
      <c r="V1218">
        <f>IFERROR(VLOOKUP(IF(I1218="ENFASIS",LEFT(M1218,FIND("+",M1218&amp;"+")-1),J1218),Direccion_Grupo!$A$2:$G$100,7,FALSE),"")</f>
        <v/>
      </c>
    </row>
    <row r="1219">
      <c r="A1219" t="n">
        <v>41</v>
      </c>
      <c r="B1219" t="inlineStr">
        <is>
          <t>Quintero Ramírez María del Carmen</t>
        </is>
      </c>
      <c r="C1219" t="inlineStr">
        <is>
          <t>JUEVES</t>
        </is>
      </c>
      <c r="D1219" t="n">
        <v>8</v>
      </c>
      <c r="E1219" t="n">
        <v>4</v>
      </c>
      <c r="F1219" t="n">
        <v>2</v>
      </c>
      <c r="G1219" t="inlineStr">
        <is>
          <t>12:45</t>
        </is>
      </c>
      <c r="H1219" t="inlineStr">
        <is>
          <t>13:30</t>
        </is>
      </c>
      <c r="I1219" t="inlineStr">
        <is>
          <t>CLASE</t>
        </is>
      </c>
      <c r="J1219" t="inlineStr">
        <is>
          <t>0702</t>
        </is>
      </c>
      <c r="K1219" t="inlineStr">
        <is>
          <t>CSI</t>
        </is>
      </c>
      <c r="L1219" t="inlineStr"/>
      <c r="M1219" t="inlineStr"/>
      <c r="N1219" t="inlineStr"/>
      <c r="O1219" t="inlineStr">
        <is>
          <t>Sociales / Inglés (alternan cada semana)</t>
        </is>
      </c>
      <c r="P1219" t="inlineStr">
        <is>
          <t>0702-CSI</t>
        </is>
      </c>
      <c r="Q1219">
        <f>IF(I1219="ENFASIS","ÉNFASIS "&amp;M1219,IFERROR(VLOOKUP(J1219,Grupos!$A$2:$D$100,4,FALSE),J1219))</f>
        <v/>
      </c>
      <c r="R1219">
        <f>O1219&amp;IF(N1219&lt;&gt;"",IF(O1219&lt;&gt;""," · ","")&amp;"Con: "&amp;N1219,"")</f>
        <v/>
      </c>
      <c r="S1219">
        <f>C1219&amp;"|"&amp;D1219</f>
        <v/>
      </c>
      <c r="T1219">
        <f>COUNTIF($S$2:S1219,S1219)</f>
        <v/>
      </c>
      <c r="U1219">
        <f>S1219&amp;"|"&amp;T1219</f>
        <v/>
      </c>
      <c r="V1219">
        <f>IFERROR(VLOOKUP(IF(I1219="ENFASIS",LEFT(M1219,FIND("+",M1219&amp;"+")-1),J1219),Direccion_Grupo!$A$2:$G$100,7,FALSE),"")</f>
        <v/>
      </c>
    </row>
    <row r="1220">
      <c r="A1220" t="n">
        <v>1</v>
      </c>
      <c r="B1220" t="inlineStr">
        <is>
          <t>Aguirre Riascos Jorge Andrés</t>
        </is>
      </c>
      <c r="C1220" t="inlineStr">
        <is>
          <t>JUEVES</t>
        </is>
      </c>
      <c r="D1220" t="n">
        <v>8</v>
      </c>
      <c r="E1220" t="n">
        <v>4</v>
      </c>
      <c r="F1220" t="n">
        <v>2</v>
      </c>
      <c r="G1220" t="inlineStr">
        <is>
          <t>12:45</t>
        </is>
      </c>
      <c r="H1220" t="inlineStr">
        <is>
          <t>13:30</t>
        </is>
      </c>
      <c r="I1220" t="inlineStr">
        <is>
          <t>CLASE</t>
        </is>
      </c>
      <c r="J1220" t="inlineStr">
        <is>
          <t>0703</t>
        </is>
      </c>
      <c r="K1220" t="inlineStr">
        <is>
          <t>TEI</t>
        </is>
      </c>
      <c r="L1220" t="inlineStr"/>
      <c r="M1220" t="inlineStr"/>
      <c r="N1220" t="inlineStr"/>
      <c r="O1220" t="inlineStr"/>
      <c r="P1220" t="inlineStr">
        <is>
          <t>0703-TEI</t>
        </is>
      </c>
      <c r="Q1220">
        <f>IF(I1220="ENFASIS","ÉNFASIS "&amp;M1220,IFERROR(VLOOKUP(J1220,Grupos!$A$2:$D$100,4,FALSE),J1220))</f>
        <v/>
      </c>
      <c r="R1220">
        <f>O1220&amp;IF(N1220&lt;&gt;"",IF(O1220&lt;&gt;""," · ","")&amp;"Con: "&amp;N1220,"")</f>
        <v/>
      </c>
      <c r="S1220">
        <f>C1220&amp;"|"&amp;D1220</f>
        <v/>
      </c>
      <c r="T1220">
        <f>COUNTIF($S$2:S1220,S1220)</f>
        <v/>
      </c>
      <c r="U1220">
        <f>S1220&amp;"|"&amp;T1220</f>
        <v/>
      </c>
      <c r="V1220">
        <f>IFERROR(VLOOKUP(IF(I1220="ENFASIS",LEFT(M1220,FIND("+",M1220&amp;"+")-1),J1220),Direccion_Grupo!$A$2:$G$100,7,FALSE),"")</f>
        <v/>
      </c>
    </row>
    <row r="1221">
      <c r="A1221" t="n">
        <v>52</v>
      </c>
      <c r="B1221" t="inlineStr">
        <is>
          <t>Vásquez Valencia Segundo Leoncio</t>
        </is>
      </c>
      <c r="C1221" t="inlineStr">
        <is>
          <t>JUEVES</t>
        </is>
      </c>
      <c r="D1221" t="n">
        <v>8</v>
      </c>
      <c r="E1221" t="n">
        <v>4</v>
      </c>
      <c r="F1221" t="n">
        <v>2</v>
      </c>
      <c r="G1221" t="inlineStr">
        <is>
          <t>12:45</t>
        </is>
      </c>
      <c r="H1221" t="inlineStr">
        <is>
          <t>13:30</t>
        </is>
      </c>
      <c r="I1221" t="inlineStr">
        <is>
          <t>CLASE</t>
        </is>
      </c>
      <c r="J1221" t="inlineStr">
        <is>
          <t>0704</t>
        </is>
      </c>
      <c r="K1221" t="inlineStr">
        <is>
          <t>MAT</t>
        </is>
      </c>
      <c r="L1221" t="inlineStr"/>
      <c r="M1221" t="inlineStr"/>
      <c r="N1221" t="inlineStr"/>
      <c r="O1221" t="inlineStr"/>
      <c r="P1221" t="inlineStr">
        <is>
          <t>0704-MAT</t>
        </is>
      </c>
      <c r="Q1221">
        <f>IF(I1221="ENFASIS","ÉNFASIS "&amp;M1221,IFERROR(VLOOKUP(J1221,Grupos!$A$2:$D$100,4,FALSE),J1221))</f>
        <v/>
      </c>
      <c r="R1221">
        <f>O1221&amp;IF(N1221&lt;&gt;"",IF(O1221&lt;&gt;""," · ","")&amp;"Con: "&amp;N1221,"")</f>
        <v/>
      </c>
      <c r="S1221">
        <f>C1221&amp;"|"&amp;D1221</f>
        <v/>
      </c>
      <c r="T1221">
        <f>COUNTIF($S$2:S1221,S1221)</f>
        <v/>
      </c>
      <c r="U1221">
        <f>S1221&amp;"|"&amp;T1221</f>
        <v/>
      </c>
      <c r="V1221">
        <f>IFERROR(VLOOKUP(IF(I1221="ENFASIS",LEFT(M1221,FIND("+",M1221&amp;"+")-1),J1221),Direccion_Grupo!$A$2:$G$100,7,FALSE),"")</f>
        <v/>
      </c>
    </row>
    <row r="1222">
      <c r="A1222" t="n">
        <v>12</v>
      </c>
      <c r="B1222" t="inlineStr">
        <is>
          <t>Chillambo Quiñones María Rocío</t>
        </is>
      </c>
      <c r="C1222" t="inlineStr">
        <is>
          <t>JUEVES</t>
        </is>
      </c>
      <c r="D1222" t="n">
        <v>8</v>
      </c>
      <c r="E1222" t="n">
        <v>4</v>
      </c>
      <c r="F1222" t="n">
        <v>2</v>
      </c>
      <c r="G1222" t="inlineStr">
        <is>
          <t>12:45</t>
        </is>
      </c>
      <c r="H1222" t="inlineStr">
        <is>
          <t>13:30</t>
        </is>
      </c>
      <c r="I1222" t="inlineStr">
        <is>
          <t>CLASE</t>
        </is>
      </c>
      <c r="J1222" t="inlineStr">
        <is>
          <t>0801</t>
        </is>
      </c>
      <c r="K1222" t="inlineStr">
        <is>
          <t>CNA</t>
        </is>
      </c>
      <c r="L1222" t="inlineStr"/>
      <c r="M1222" t="inlineStr"/>
      <c r="N1222" t="inlineStr"/>
      <c r="O1222" t="inlineStr"/>
      <c r="P1222" t="inlineStr">
        <is>
          <t>0801-CNA</t>
        </is>
      </c>
      <c r="Q1222">
        <f>IF(I1222="ENFASIS","ÉNFASIS "&amp;M1222,IFERROR(VLOOKUP(J1222,Grupos!$A$2:$D$100,4,FALSE),J1222))</f>
        <v/>
      </c>
      <c r="R1222">
        <f>O1222&amp;IF(N1222&lt;&gt;"",IF(O1222&lt;&gt;""," · ","")&amp;"Con: "&amp;N1222,"")</f>
        <v/>
      </c>
      <c r="S1222">
        <f>C1222&amp;"|"&amp;D1222</f>
        <v/>
      </c>
      <c r="T1222">
        <f>COUNTIF($S$2:S1222,S1222)</f>
        <v/>
      </c>
      <c r="U1222">
        <f>S1222&amp;"|"&amp;T1222</f>
        <v/>
      </c>
      <c r="V1222">
        <f>IFERROR(VLOOKUP(IF(I1222="ENFASIS",LEFT(M1222,FIND("+",M1222&amp;"+")-1),J1222),Direccion_Grupo!$A$2:$G$100,7,FALSE),"")</f>
        <v/>
      </c>
    </row>
    <row r="1223">
      <c r="A1223" t="n">
        <v>29</v>
      </c>
      <c r="B1223" t="inlineStr">
        <is>
          <t>Mindineros Satizábal John Jáver</t>
        </is>
      </c>
      <c r="C1223" t="inlineStr">
        <is>
          <t>JUEVES</t>
        </is>
      </c>
      <c r="D1223" t="n">
        <v>8</v>
      </c>
      <c r="E1223" t="n">
        <v>4</v>
      </c>
      <c r="F1223" t="n">
        <v>2</v>
      </c>
      <c r="G1223" t="inlineStr">
        <is>
          <t>12:45</t>
        </is>
      </c>
      <c r="H1223" t="inlineStr">
        <is>
          <t>13:30</t>
        </is>
      </c>
      <c r="I1223" t="inlineStr">
        <is>
          <t>CLASE</t>
        </is>
      </c>
      <c r="J1223" t="inlineStr">
        <is>
          <t>0901</t>
        </is>
      </c>
      <c r="K1223" t="inlineStr">
        <is>
          <t>TEI</t>
        </is>
      </c>
      <c r="L1223" t="inlineStr"/>
      <c r="M1223" t="inlineStr"/>
      <c r="N1223" t="inlineStr"/>
      <c r="O1223" t="inlineStr"/>
      <c r="P1223" t="inlineStr">
        <is>
          <t>0901-TEI</t>
        </is>
      </c>
      <c r="Q1223">
        <f>IF(I1223="ENFASIS","ÉNFASIS "&amp;M1223,IFERROR(VLOOKUP(J1223,Grupos!$A$2:$D$100,4,FALSE),J1223))</f>
        <v/>
      </c>
      <c r="R1223">
        <f>O1223&amp;IF(N1223&lt;&gt;"",IF(O1223&lt;&gt;""," · ","")&amp;"Con: "&amp;N1223,"")</f>
        <v/>
      </c>
      <c r="S1223">
        <f>C1223&amp;"|"&amp;D1223</f>
        <v/>
      </c>
      <c r="T1223">
        <f>COUNTIF($S$2:S1223,S1223)</f>
        <v/>
      </c>
      <c r="U1223">
        <f>S1223&amp;"|"&amp;T1223</f>
        <v/>
      </c>
      <c r="V1223">
        <f>IFERROR(VLOOKUP(IF(I1223="ENFASIS",LEFT(M1223,FIND("+",M1223&amp;"+")-1),J1223),Direccion_Grupo!$A$2:$G$100,7,FALSE),"")</f>
        <v/>
      </c>
    </row>
    <row r="1224">
      <c r="A1224" t="n">
        <v>6</v>
      </c>
      <c r="B1224" t="inlineStr">
        <is>
          <t>Betancourth Ocampo Yohana Patricia</t>
        </is>
      </c>
      <c r="C1224" t="inlineStr">
        <is>
          <t>JUEVES</t>
        </is>
      </c>
      <c r="D1224" t="n">
        <v>8</v>
      </c>
      <c r="E1224" t="n">
        <v>4</v>
      </c>
      <c r="F1224" t="n">
        <v>2</v>
      </c>
      <c r="G1224" t="inlineStr">
        <is>
          <t>12:45</t>
        </is>
      </c>
      <c r="H1224" t="inlineStr">
        <is>
          <t>13:30</t>
        </is>
      </c>
      <c r="I1224" t="inlineStr">
        <is>
          <t>CLASE</t>
        </is>
      </c>
      <c r="J1224" t="inlineStr">
        <is>
          <t>0902</t>
        </is>
      </c>
      <c r="K1224" t="inlineStr">
        <is>
          <t>CSI</t>
        </is>
      </c>
      <c r="L1224" t="inlineStr"/>
      <c r="M1224" t="inlineStr"/>
      <c r="N1224" t="inlineStr"/>
      <c r="O1224" t="inlineStr">
        <is>
          <t>Sociales / Inglés (alternan cada semana)</t>
        </is>
      </c>
      <c r="P1224" t="inlineStr">
        <is>
          <t>0902-CSI</t>
        </is>
      </c>
      <c r="Q1224">
        <f>IF(I1224="ENFASIS","ÉNFASIS "&amp;M1224,IFERROR(VLOOKUP(J1224,Grupos!$A$2:$D$100,4,FALSE),J1224))</f>
        <v/>
      </c>
      <c r="R1224">
        <f>O1224&amp;IF(N1224&lt;&gt;"",IF(O1224&lt;&gt;""," · ","")&amp;"Con: "&amp;N1224,"")</f>
        <v/>
      </c>
      <c r="S1224">
        <f>C1224&amp;"|"&amp;D1224</f>
        <v/>
      </c>
      <c r="T1224">
        <f>COUNTIF($S$2:S1224,S1224)</f>
        <v/>
      </c>
      <c r="U1224">
        <f>S1224&amp;"|"&amp;T1224</f>
        <v/>
      </c>
      <c r="V1224">
        <f>IFERROR(VLOOKUP(IF(I1224="ENFASIS",LEFT(M1224,FIND("+",M1224&amp;"+")-1),J1224),Direccion_Grupo!$A$2:$G$100,7,FALSE),"")</f>
        <v/>
      </c>
    </row>
    <row r="1225">
      <c r="A1225" t="n">
        <v>5</v>
      </c>
      <c r="B1225" t="inlineStr">
        <is>
          <t>Bastidas Valencia Zeneida Judith</t>
        </is>
      </c>
      <c r="C1225" t="inlineStr">
        <is>
          <t>JUEVES</t>
        </is>
      </c>
      <c r="D1225" t="n">
        <v>8</v>
      </c>
      <c r="E1225" t="n">
        <v>4</v>
      </c>
      <c r="F1225" t="n">
        <v>2</v>
      </c>
      <c r="G1225" t="inlineStr">
        <is>
          <t>12:45</t>
        </is>
      </c>
      <c r="H1225" t="inlineStr">
        <is>
          <t>13:30</t>
        </is>
      </c>
      <c r="I1225" t="inlineStr">
        <is>
          <t>CLASE</t>
        </is>
      </c>
      <c r="J1225" t="inlineStr">
        <is>
          <t>1001</t>
        </is>
      </c>
      <c r="K1225" t="inlineStr">
        <is>
          <t>MAT</t>
        </is>
      </c>
      <c r="L1225" t="inlineStr"/>
      <c r="M1225" t="inlineStr"/>
      <c r="N1225" t="inlineStr"/>
      <c r="O1225" t="inlineStr"/>
      <c r="P1225" t="inlineStr">
        <is>
          <t>1001-MAT</t>
        </is>
      </c>
      <c r="Q1225">
        <f>IF(I1225="ENFASIS","ÉNFASIS "&amp;M1225,IFERROR(VLOOKUP(J1225,Grupos!$A$2:$D$100,4,FALSE),J1225))</f>
        <v/>
      </c>
      <c r="R1225">
        <f>O1225&amp;IF(N1225&lt;&gt;"",IF(O1225&lt;&gt;""," · ","")&amp;"Con: "&amp;N1225,"")</f>
        <v/>
      </c>
      <c r="S1225">
        <f>C1225&amp;"|"&amp;D1225</f>
        <v/>
      </c>
      <c r="T1225">
        <f>COUNTIF($S$2:S1225,S1225)</f>
        <v/>
      </c>
      <c r="U1225">
        <f>S1225&amp;"|"&amp;T1225</f>
        <v/>
      </c>
      <c r="V1225">
        <f>IFERROR(VLOOKUP(IF(I1225="ENFASIS",LEFT(M1225,FIND("+",M1225&amp;"+")-1),J1225),Direccion_Grupo!$A$2:$G$100,7,FALSE),"")</f>
        <v/>
      </c>
    </row>
    <row r="1226">
      <c r="A1226" t="n">
        <v>53</v>
      </c>
      <c r="B1226" t="inlineStr">
        <is>
          <t>Villota Rubio Héctor Hugo</t>
        </is>
      </c>
      <c r="C1226" t="inlineStr">
        <is>
          <t>JUEVES</t>
        </is>
      </c>
      <c r="D1226" t="n">
        <v>8</v>
      </c>
      <c r="E1226" t="n">
        <v>4</v>
      </c>
      <c r="F1226" t="n">
        <v>2</v>
      </c>
      <c r="G1226" t="inlineStr">
        <is>
          <t>12:45</t>
        </is>
      </c>
      <c r="H1226" t="inlineStr">
        <is>
          <t>13:30</t>
        </is>
      </c>
      <c r="I1226" t="inlineStr">
        <is>
          <t>CLASE</t>
        </is>
      </c>
      <c r="J1226" t="inlineStr">
        <is>
          <t>1002</t>
        </is>
      </c>
      <c r="K1226" t="inlineStr">
        <is>
          <t>CNA</t>
        </is>
      </c>
      <c r="L1226" t="inlineStr"/>
      <c r="M1226" t="inlineStr"/>
      <c r="N1226" t="inlineStr"/>
      <c r="O1226" t="inlineStr"/>
      <c r="P1226" t="inlineStr">
        <is>
          <t>1002-CNA</t>
        </is>
      </c>
      <c r="Q1226">
        <f>IF(I1226="ENFASIS","ÉNFASIS "&amp;M1226,IFERROR(VLOOKUP(J1226,Grupos!$A$2:$D$100,4,FALSE),J1226))</f>
        <v/>
      </c>
      <c r="R1226">
        <f>O1226&amp;IF(N1226&lt;&gt;"",IF(O1226&lt;&gt;""," · ","")&amp;"Con: "&amp;N1226,"")</f>
        <v/>
      </c>
      <c r="S1226">
        <f>C1226&amp;"|"&amp;D1226</f>
        <v/>
      </c>
      <c r="T1226">
        <f>COUNTIF($S$2:S1226,S1226)</f>
        <v/>
      </c>
      <c r="U1226">
        <f>S1226&amp;"|"&amp;T1226</f>
        <v/>
      </c>
      <c r="V1226">
        <f>IFERROR(VLOOKUP(IF(I1226="ENFASIS",LEFT(M1226,FIND("+",M1226&amp;"+")-1),J1226),Direccion_Grupo!$A$2:$G$100,7,FALSE),"")</f>
        <v/>
      </c>
    </row>
    <row r="1227">
      <c r="A1227" t="n">
        <v>54</v>
      </c>
      <c r="B1227" t="inlineStr">
        <is>
          <t>Villota Rubio Janeth del Carmen</t>
        </is>
      </c>
      <c r="C1227" t="inlineStr">
        <is>
          <t>JUEVES</t>
        </is>
      </c>
      <c r="D1227" t="n">
        <v>8</v>
      </c>
      <c r="E1227" t="n">
        <v>4</v>
      </c>
      <c r="F1227" t="n">
        <v>2</v>
      </c>
      <c r="G1227" t="inlineStr">
        <is>
          <t>12:45</t>
        </is>
      </c>
      <c r="H1227" t="inlineStr">
        <is>
          <t>13:30</t>
        </is>
      </c>
      <c r="I1227" t="inlineStr">
        <is>
          <t>CLASE</t>
        </is>
      </c>
      <c r="J1227" t="inlineStr">
        <is>
          <t>1101</t>
        </is>
      </c>
      <c r="K1227" t="inlineStr">
        <is>
          <t>MAT</t>
        </is>
      </c>
      <c r="L1227" t="inlineStr"/>
      <c r="M1227" t="inlineStr"/>
      <c r="N1227" t="inlineStr"/>
      <c r="O1227" t="inlineStr"/>
      <c r="P1227" t="inlineStr">
        <is>
          <t>1101-MAT</t>
        </is>
      </c>
      <c r="Q1227">
        <f>IF(I1227="ENFASIS","ÉNFASIS "&amp;M1227,IFERROR(VLOOKUP(J1227,Grupos!$A$2:$D$100,4,FALSE),J1227))</f>
        <v/>
      </c>
      <c r="R1227">
        <f>O1227&amp;IF(N1227&lt;&gt;"",IF(O1227&lt;&gt;""," · ","")&amp;"Con: "&amp;N1227,"")</f>
        <v/>
      </c>
      <c r="S1227">
        <f>C1227&amp;"|"&amp;D1227</f>
        <v/>
      </c>
      <c r="T1227">
        <f>COUNTIF($S$2:S1227,S1227)</f>
        <v/>
      </c>
      <c r="U1227">
        <f>S1227&amp;"|"&amp;T1227</f>
        <v/>
      </c>
      <c r="V1227">
        <f>IFERROR(VLOOKUP(IF(I1227="ENFASIS",LEFT(M1227,FIND("+",M1227&amp;"+")-1),J1227),Direccion_Grupo!$A$2:$G$100,7,FALSE),"")</f>
        <v/>
      </c>
    </row>
    <row r="1228">
      <c r="A1228" t="n">
        <v>30</v>
      </c>
      <c r="B1228" t="inlineStr">
        <is>
          <t>Montaño Anchico Favio Héctor</t>
        </is>
      </c>
      <c r="C1228" t="inlineStr">
        <is>
          <t>JUEVES</t>
        </is>
      </c>
      <c r="D1228" t="n">
        <v>8</v>
      </c>
      <c r="E1228" t="n">
        <v>4</v>
      </c>
      <c r="F1228" t="n">
        <v>2</v>
      </c>
      <c r="G1228" t="inlineStr">
        <is>
          <t>12:45</t>
        </is>
      </c>
      <c r="H1228" t="inlineStr">
        <is>
          <t>13:30</t>
        </is>
      </c>
      <c r="I1228" t="inlineStr">
        <is>
          <t>CLASE</t>
        </is>
      </c>
      <c r="J1228" t="inlineStr">
        <is>
          <t>1102</t>
        </is>
      </c>
      <c r="K1228" t="inlineStr">
        <is>
          <t>CAS</t>
        </is>
      </c>
      <c r="L1228" t="inlineStr"/>
      <c r="M1228" t="inlineStr"/>
      <c r="N1228" t="inlineStr"/>
      <c r="O1228" t="inlineStr"/>
      <c r="P1228" t="inlineStr">
        <is>
          <t>1102-CAS</t>
        </is>
      </c>
      <c r="Q1228">
        <f>IF(I1228="ENFASIS","ÉNFASIS "&amp;M1228,IFERROR(VLOOKUP(J1228,Grupos!$A$2:$D$100,4,FALSE),J1228))</f>
        <v/>
      </c>
      <c r="R1228">
        <f>O1228&amp;IF(N1228&lt;&gt;"",IF(O1228&lt;&gt;""," · ","")&amp;"Con: "&amp;N1228,"")</f>
        <v/>
      </c>
      <c r="S1228">
        <f>C1228&amp;"|"&amp;D1228</f>
        <v/>
      </c>
      <c r="T1228">
        <f>COUNTIF($S$2:S1228,S1228)</f>
        <v/>
      </c>
      <c r="U1228">
        <f>S1228&amp;"|"&amp;T1228</f>
        <v/>
      </c>
      <c r="V1228">
        <f>IFERROR(VLOOKUP(IF(I1228="ENFASIS",LEFT(M1228,FIND("+",M1228&amp;"+")-1),J1228),Direccion_Grupo!$A$2:$G$100,7,FALSE),"")</f>
        <v/>
      </c>
    </row>
    <row r="1229">
      <c r="A1229" t="n">
        <v>20</v>
      </c>
      <c r="B1229" t="inlineStr">
        <is>
          <t>García Gobea Saydi Magali</t>
        </is>
      </c>
      <c r="C1229" t="inlineStr">
        <is>
          <t>JUEVES</t>
        </is>
      </c>
      <c r="D1229" t="n">
        <v>8</v>
      </c>
      <c r="E1229" t="n">
        <v>4</v>
      </c>
      <c r="F1229" t="n">
        <v>2</v>
      </c>
      <c r="G1229" t="inlineStr">
        <is>
          <t>12:45</t>
        </is>
      </c>
      <c r="H1229" t="inlineStr">
        <is>
          <t>13:30</t>
        </is>
      </c>
      <c r="I1229" t="inlineStr">
        <is>
          <t>CLASE</t>
        </is>
      </c>
      <c r="J1229" t="inlineStr">
        <is>
          <t>CS101</t>
        </is>
      </c>
      <c r="K1229" t="inlineStr">
        <is>
          <t>CSI</t>
        </is>
      </c>
      <c r="L1229" t="inlineStr"/>
      <c r="M1229" t="inlineStr"/>
      <c r="N1229" t="inlineStr"/>
      <c r="O1229" t="inlineStr">
        <is>
          <t>Sociales / Inglés (alternan cada semana)</t>
        </is>
      </c>
      <c r="P1229" t="inlineStr">
        <is>
          <t>CS101-CSI</t>
        </is>
      </c>
      <c r="Q1229">
        <f>IF(I1229="ENFASIS","ÉNFASIS "&amp;M1229,IFERROR(VLOOKUP(J1229,Grupos!$A$2:$D$100,4,FALSE),J1229))</f>
        <v/>
      </c>
      <c r="R1229">
        <f>O1229&amp;IF(N1229&lt;&gt;"",IF(O1229&lt;&gt;""," · ","")&amp;"Con: "&amp;N1229,"")</f>
        <v/>
      </c>
      <c r="S1229">
        <f>C1229&amp;"|"&amp;D1229</f>
        <v/>
      </c>
      <c r="T1229">
        <f>COUNTIF($S$2:S1229,S1229)</f>
        <v/>
      </c>
      <c r="U1229">
        <f>S1229&amp;"|"&amp;T1229</f>
        <v/>
      </c>
      <c r="V1229">
        <f>IFERROR(VLOOKUP(IF(I1229="ENFASIS",LEFT(M1229,FIND("+",M1229&amp;"+")-1),J1229),Direccion_Grupo!$A$2:$G$100,7,FALSE),"")</f>
        <v/>
      </c>
    </row>
    <row r="1230">
      <c r="A1230" t="n">
        <v>37</v>
      </c>
      <c r="B1230" t="inlineStr">
        <is>
          <t>Prado Quiñones Genís Maribel</t>
        </is>
      </c>
      <c r="C1230" t="inlineStr">
        <is>
          <t>JUEVES</t>
        </is>
      </c>
      <c r="D1230" t="n">
        <v>8</v>
      </c>
      <c r="E1230" t="n">
        <v>4</v>
      </c>
      <c r="F1230" t="n">
        <v>2</v>
      </c>
      <c r="G1230" t="inlineStr">
        <is>
          <t>12:45</t>
        </is>
      </c>
      <c r="H1230" t="inlineStr">
        <is>
          <t>13:30</t>
        </is>
      </c>
      <c r="I1230" t="inlineStr">
        <is>
          <t>CLASE</t>
        </is>
      </c>
      <c r="J1230" t="inlineStr">
        <is>
          <t>CS102</t>
        </is>
      </c>
      <c r="K1230" t="inlineStr">
        <is>
          <t>ART</t>
        </is>
      </c>
      <c r="L1230" t="inlineStr"/>
      <c r="M1230" t="inlineStr"/>
      <c r="N1230" t="inlineStr"/>
      <c r="O1230" t="inlineStr"/>
      <c r="P1230" t="inlineStr">
        <is>
          <t>CS102-ART</t>
        </is>
      </c>
      <c r="Q1230">
        <f>IF(I1230="ENFASIS","ÉNFASIS "&amp;M1230,IFERROR(VLOOKUP(J1230,Grupos!$A$2:$D$100,4,FALSE),J1230))</f>
        <v/>
      </c>
      <c r="R1230">
        <f>O1230&amp;IF(N1230&lt;&gt;"",IF(O1230&lt;&gt;""," · ","")&amp;"Con: "&amp;N1230,"")</f>
        <v/>
      </c>
      <c r="S1230">
        <f>C1230&amp;"|"&amp;D1230</f>
        <v/>
      </c>
      <c r="T1230">
        <f>COUNTIF($S$2:S1230,S1230)</f>
        <v/>
      </c>
      <c r="U1230">
        <f>S1230&amp;"|"&amp;T1230</f>
        <v/>
      </c>
      <c r="V1230">
        <f>IFERROR(VLOOKUP(IF(I1230="ENFASIS",LEFT(M1230,FIND("+",M1230&amp;"+")-1),J1230),Direccion_Grupo!$A$2:$G$100,7,FALSE),"")</f>
        <v/>
      </c>
    </row>
    <row r="1231">
      <c r="A1231" t="n">
        <v>15</v>
      </c>
      <c r="B1231" t="inlineStr">
        <is>
          <t>Cuero Bamba Berte Levi</t>
        </is>
      </c>
      <c r="C1231" t="inlineStr">
        <is>
          <t>JUEVES</t>
        </is>
      </c>
      <c r="D1231" t="n">
        <v>8</v>
      </c>
      <c r="E1231" t="n">
        <v>4</v>
      </c>
      <c r="F1231" t="n">
        <v>2</v>
      </c>
      <c r="G1231" t="inlineStr">
        <is>
          <t>12:45</t>
        </is>
      </c>
      <c r="H1231" t="inlineStr">
        <is>
          <t>13:30</t>
        </is>
      </c>
      <c r="I1231" t="inlineStr">
        <is>
          <t>CLASE</t>
        </is>
      </c>
      <c r="J1231" t="inlineStr">
        <is>
          <t>CS202</t>
        </is>
      </c>
      <c r="K1231" t="inlineStr">
        <is>
          <t>ERD</t>
        </is>
      </c>
      <c r="L1231" t="inlineStr"/>
      <c r="M1231" t="inlineStr"/>
      <c r="N1231" t="inlineStr"/>
      <c r="O1231" t="inlineStr"/>
      <c r="P1231" t="inlineStr">
        <is>
          <t>CS202-ERD</t>
        </is>
      </c>
      <c r="Q1231">
        <f>IF(I1231="ENFASIS","ÉNFASIS "&amp;M1231,IFERROR(VLOOKUP(J1231,Grupos!$A$2:$D$100,4,FALSE),J1231))</f>
        <v/>
      </c>
      <c r="R1231">
        <f>O1231&amp;IF(N1231&lt;&gt;"",IF(O1231&lt;&gt;""," · ","")&amp;"Con: "&amp;N1231,"")</f>
        <v/>
      </c>
      <c r="S1231">
        <f>C1231&amp;"|"&amp;D1231</f>
        <v/>
      </c>
      <c r="T1231">
        <f>COUNTIF($S$2:S1231,S1231)</f>
        <v/>
      </c>
      <c r="U1231">
        <f>S1231&amp;"|"&amp;T1231</f>
        <v/>
      </c>
      <c r="V1231">
        <f>IFERROR(VLOOKUP(IF(I1231="ENFASIS",LEFT(M1231,FIND("+",M1231&amp;"+")-1),J1231),Direccion_Grupo!$A$2:$G$100,7,FALSE),"")</f>
        <v/>
      </c>
    </row>
    <row r="1232">
      <c r="A1232" t="n">
        <v>7</v>
      </c>
      <c r="B1232" t="inlineStr">
        <is>
          <t>Casanova Casanova Johana Andrea</t>
        </is>
      </c>
      <c r="C1232" t="inlineStr">
        <is>
          <t>JUEVES</t>
        </is>
      </c>
      <c r="D1232" t="n">
        <v>8</v>
      </c>
      <c r="E1232" t="n">
        <v>4</v>
      </c>
      <c r="F1232" t="n">
        <v>2</v>
      </c>
      <c r="G1232" t="inlineStr">
        <is>
          <t>12:45</t>
        </is>
      </c>
      <c r="H1232" t="inlineStr">
        <is>
          <t>13:30</t>
        </is>
      </c>
      <c r="I1232" t="inlineStr">
        <is>
          <t>ORIENTACION</t>
        </is>
      </c>
      <c r="J1232" t="inlineStr">
        <is>
          <t>ORIENT</t>
        </is>
      </c>
      <c r="K1232" t="inlineStr">
        <is>
          <t>ORIENTACIÓN ESCOLAR</t>
        </is>
      </c>
      <c r="L1232" t="inlineStr"/>
      <c r="M1232" t="inlineStr"/>
      <c r="N1232" t="inlineStr"/>
      <c r="O1232" t="inlineStr">
        <is>
          <t>Jornada 07:30 a 14:30</t>
        </is>
      </c>
      <c r="P1232" t="inlineStr"/>
      <c r="Q1232">
        <f>IF(I1232="ENFASIS","ÉNFASIS "&amp;M1232,IFERROR(VLOOKUP(J1232,Grupos!$A$2:$D$100,4,FALSE),J1232))</f>
        <v/>
      </c>
      <c r="R1232">
        <f>O1232&amp;IF(N1232&lt;&gt;"",IF(O1232&lt;&gt;""," · ","")&amp;"Con: "&amp;N1232,"")</f>
        <v/>
      </c>
      <c r="S1232">
        <f>C1232&amp;"|"&amp;D1232</f>
        <v/>
      </c>
      <c r="T1232">
        <f>COUNTIF($S$2:S1232,S1232)</f>
        <v/>
      </c>
      <c r="U1232">
        <f>S1232&amp;"|"&amp;T1232</f>
        <v/>
      </c>
      <c r="V1232">
        <f>IFERROR(VLOOKUP(IF(I1232="ENFASIS",LEFT(M1232,FIND("+",M1232&amp;"+")-1),J1232),Direccion_Grupo!$A$2:$G$100,7,FALSE),"")</f>
        <v/>
      </c>
    </row>
    <row r="1233">
      <c r="A1233" t="n">
        <v>36</v>
      </c>
      <c r="B1233" t="inlineStr">
        <is>
          <t>Ponce Moncayo Ángela Paola</t>
        </is>
      </c>
      <c r="C1233" t="inlineStr">
        <is>
          <t>JUEVES</t>
        </is>
      </c>
      <c r="D1233" t="n">
        <v>8</v>
      </c>
      <c r="E1233" t="n">
        <v>4</v>
      </c>
      <c r="F1233" t="n">
        <v>2</v>
      </c>
      <c r="G1233" t="inlineStr">
        <is>
          <t>12:45</t>
        </is>
      </c>
      <c r="H1233" t="inlineStr">
        <is>
          <t>13:30</t>
        </is>
      </c>
      <c r="I1233" t="inlineStr">
        <is>
          <t>ORIENTACION</t>
        </is>
      </c>
      <c r="J1233" t="inlineStr">
        <is>
          <t>ORIENT</t>
        </is>
      </c>
      <c r="K1233" t="inlineStr">
        <is>
          <t>ORIENTACIÓN ESCOLAR</t>
        </is>
      </c>
      <c r="L1233" t="inlineStr"/>
      <c r="M1233" t="inlineStr"/>
      <c r="N1233" t="inlineStr"/>
      <c r="O1233" t="inlineStr">
        <is>
          <t>Jornada 08:30 a 13:30</t>
        </is>
      </c>
      <c r="P1233" t="inlineStr"/>
      <c r="Q1233">
        <f>IF(I1233="ENFASIS","ÉNFASIS "&amp;M1233,IFERROR(VLOOKUP(J1233,Grupos!$A$2:$D$100,4,FALSE),J1233))</f>
        <v/>
      </c>
      <c r="R1233">
        <f>O1233&amp;IF(N1233&lt;&gt;"",IF(O1233&lt;&gt;""," · ","")&amp;"Con: "&amp;N1233,"")</f>
        <v/>
      </c>
      <c r="S1233">
        <f>C1233&amp;"|"&amp;D1233</f>
        <v/>
      </c>
      <c r="T1233">
        <f>COUNTIF($S$2:S1233,S1233)</f>
        <v/>
      </c>
      <c r="U1233">
        <f>S1233&amp;"|"&amp;T1233</f>
        <v/>
      </c>
      <c r="V1233">
        <f>IFERROR(VLOOKUP(IF(I1233="ENFASIS",LEFT(M1233,FIND("+",M1233&amp;"+")-1),J1233),Direccion_Grupo!$A$2:$G$100,7,FALSE),"")</f>
        <v/>
      </c>
    </row>
    <row r="1234">
      <c r="A1234" t="n">
        <v>10</v>
      </c>
      <c r="B1234" t="inlineStr">
        <is>
          <t>Castillo Cuero Daira Eneida</t>
        </is>
      </c>
      <c r="C1234" t="inlineStr">
        <is>
          <t>JUEVES</t>
        </is>
      </c>
      <c r="D1234" t="n">
        <v>8</v>
      </c>
      <c r="E1234" t="n">
        <v>4</v>
      </c>
      <c r="F1234" t="n">
        <v>2</v>
      </c>
      <c r="G1234" t="inlineStr">
        <is>
          <t>12:45</t>
        </is>
      </c>
      <c r="H1234" t="inlineStr">
        <is>
          <t>13:30</t>
        </is>
      </c>
      <c r="I1234" t="inlineStr">
        <is>
          <t>ENFASIS</t>
        </is>
      </c>
      <c r="J1234" t="inlineStr"/>
      <c r="K1234" t="inlineStr">
        <is>
          <t>CAS</t>
        </is>
      </c>
      <c r="L1234" t="inlineStr">
        <is>
          <t>0601</t>
        </is>
      </c>
      <c r="M1234" t="inlineStr">
        <is>
          <t>0601</t>
        </is>
      </c>
      <c r="N1234" t="inlineStr">
        <is>
          <t>Puches Ana Milena (ART)</t>
        </is>
      </c>
      <c r="O1234" t="inlineStr">
        <is>
          <t>PAREJA: comparten el énfasis y alternan por semana</t>
        </is>
      </c>
      <c r="P1234" t="inlineStr">
        <is>
          <t>ENFASIS-0601</t>
        </is>
      </c>
      <c r="Q1234">
        <f>IF(I1234="ENFASIS","ÉNFASIS "&amp;M1234,IFERROR(VLOOKUP(J1234,Grupos!$A$2:$D$100,4,FALSE),J1234))</f>
        <v/>
      </c>
      <c r="R1234">
        <f>O1234&amp;IF(N1234&lt;&gt;"",IF(O1234&lt;&gt;""," · ","")&amp;"Con: "&amp;N1234,"")</f>
        <v/>
      </c>
      <c r="S1234">
        <f>C1234&amp;"|"&amp;D1234</f>
        <v/>
      </c>
      <c r="T1234">
        <f>COUNTIF($S$2:S1234,S1234)</f>
        <v/>
      </c>
      <c r="U1234">
        <f>S1234&amp;"|"&amp;T1234</f>
        <v/>
      </c>
      <c r="V1234">
        <f>IFERROR(VLOOKUP(IF(I1234="ENFASIS",LEFT(M1234,FIND("+",M1234&amp;"+")-1),J1234),Direccion_Grupo!$A$2:$G$100,7,FALSE),"")</f>
        <v/>
      </c>
    </row>
    <row r="1235">
      <c r="A1235" t="n">
        <v>39</v>
      </c>
      <c r="B1235" t="inlineStr">
        <is>
          <t>Puches Ana Milena</t>
        </is>
      </c>
      <c r="C1235" t="inlineStr">
        <is>
          <t>JUEVES</t>
        </is>
      </c>
      <c r="D1235" t="n">
        <v>8</v>
      </c>
      <c r="E1235" t="n">
        <v>4</v>
      </c>
      <c r="F1235" t="n">
        <v>2</v>
      </c>
      <c r="G1235" t="inlineStr">
        <is>
          <t>12:45</t>
        </is>
      </c>
      <c r="H1235" t="inlineStr">
        <is>
          <t>13:30</t>
        </is>
      </c>
      <c r="I1235" t="inlineStr">
        <is>
          <t>ENFASIS</t>
        </is>
      </c>
      <c r="J1235" t="inlineStr"/>
      <c r="K1235" t="inlineStr">
        <is>
          <t>ART</t>
        </is>
      </c>
      <c r="L1235" t="inlineStr">
        <is>
          <t>0601</t>
        </is>
      </c>
      <c r="M1235" t="inlineStr">
        <is>
          <t>0601</t>
        </is>
      </c>
      <c r="N1235" t="inlineStr">
        <is>
          <t>Castillo Cuero Daira Eneida (CAS)</t>
        </is>
      </c>
      <c r="O1235" t="inlineStr">
        <is>
          <t>PAREJA: comparten el énfasis y alternan por semana</t>
        </is>
      </c>
      <c r="P1235" t="inlineStr">
        <is>
          <t>ENFASIS-0601</t>
        </is>
      </c>
      <c r="Q1235">
        <f>IF(I1235="ENFASIS","ÉNFASIS "&amp;M1235,IFERROR(VLOOKUP(J1235,Grupos!$A$2:$D$100,4,FALSE),J1235))</f>
        <v/>
      </c>
      <c r="R1235">
        <f>O1235&amp;IF(N1235&lt;&gt;"",IF(O1235&lt;&gt;""," · ","")&amp;"Con: "&amp;N1235,"")</f>
        <v/>
      </c>
      <c r="S1235">
        <f>C1235&amp;"|"&amp;D1235</f>
        <v/>
      </c>
      <c r="T1235">
        <f>COUNTIF($S$2:S1235,S1235)</f>
        <v/>
      </c>
      <c r="U1235">
        <f>S1235&amp;"|"&amp;T1235</f>
        <v/>
      </c>
      <c r="V1235">
        <f>IFERROR(VLOOKUP(IF(I1235="ENFASIS",LEFT(M1235,FIND("+",M1235&amp;"+")-1),J1235),Direccion_Grupo!$A$2:$G$100,7,FALSE),"")</f>
        <v/>
      </c>
    </row>
    <row r="1236">
      <c r="A1236" t="n">
        <v>34</v>
      </c>
      <c r="B1236" t="inlineStr">
        <is>
          <t>Ordóñez Tenorio Jaime Marcial</t>
        </is>
      </c>
      <c r="C1236" t="inlineStr">
        <is>
          <t>JUEVES</t>
        </is>
      </c>
      <c r="D1236" t="n">
        <v>8</v>
      </c>
      <c r="E1236" t="n">
        <v>4</v>
      </c>
      <c r="F1236" t="n">
        <v>2</v>
      </c>
      <c r="G1236" t="inlineStr">
        <is>
          <t>12:45</t>
        </is>
      </c>
      <c r="H1236" t="inlineStr">
        <is>
          <t>13:30</t>
        </is>
      </c>
      <c r="I1236" t="inlineStr">
        <is>
          <t>ENFASIS</t>
        </is>
      </c>
      <c r="J1236" t="inlineStr"/>
      <c r="K1236" t="inlineStr">
        <is>
          <t>CNA</t>
        </is>
      </c>
      <c r="L1236" t="inlineStr">
        <is>
          <t>0602</t>
        </is>
      </c>
      <c r="M1236" t="inlineStr">
        <is>
          <t>0602</t>
        </is>
      </c>
      <c r="N1236" t="inlineStr">
        <is>
          <t>Armero Dájome Jesús (ERD)</t>
        </is>
      </c>
      <c r="O1236" t="inlineStr">
        <is>
          <t>PAREJA: comparten el énfasis y alternan por semana</t>
        </is>
      </c>
      <c r="P1236" t="inlineStr">
        <is>
          <t>ENFASIS-0602</t>
        </is>
      </c>
      <c r="Q1236">
        <f>IF(I1236="ENFASIS","ÉNFASIS "&amp;M1236,IFERROR(VLOOKUP(J1236,Grupos!$A$2:$D$100,4,FALSE),J1236))</f>
        <v/>
      </c>
      <c r="R1236">
        <f>O1236&amp;IF(N1236&lt;&gt;"",IF(O1236&lt;&gt;""," · ","")&amp;"Con: "&amp;N1236,"")</f>
        <v/>
      </c>
      <c r="S1236">
        <f>C1236&amp;"|"&amp;D1236</f>
        <v/>
      </c>
      <c r="T1236">
        <f>COUNTIF($S$2:S1236,S1236)</f>
        <v/>
      </c>
      <c r="U1236">
        <f>S1236&amp;"|"&amp;T1236</f>
        <v/>
      </c>
      <c r="V1236">
        <f>IFERROR(VLOOKUP(IF(I1236="ENFASIS",LEFT(M1236,FIND("+",M1236&amp;"+")-1),J1236),Direccion_Grupo!$A$2:$G$100,7,FALSE),"")</f>
        <v/>
      </c>
    </row>
    <row r="1237">
      <c r="A1237" t="n">
        <v>4</v>
      </c>
      <c r="B1237" t="inlineStr">
        <is>
          <t>Arizala Castro Roberto Carlos</t>
        </is>
      </c>
      <c r="C1237" t="inlineStr">
        <is>
          <t>JUEVES</t>
        </is>
      </c>
      <c r="D1237" t="n">
        <v>8</v>
      </c>
      <c r="E1237" t="n">
        <v>4</v>
      </c>
      <c r="F1237" t="n">
        <v>2</v>
      </c>
      <c r="G1237" t="inlineStr">
        <is>
          <t>12:45</t>
        </is>
      </c>
      <c r="H1237" t="inlineStr">
        <is>
          <t>13:30</t>
        </is>
      </c>
      <c r="I1237" t="inlineStr">
        <is>
          <t>ENFASIS</t>
        </is>
      </c>
      <c r="J1237" t="inlineStr"/>
      <c r="K1237" t="inlineStr">
        <is>
          <t>ERD</t>
        </is>
      </c>
      <c r="L1237" t="inlineStr">
        <is>
          <t>0602</t>
        </is>
      </c>
      <c r="M1237" t="inlineStr">
        <is>
          <t>0602</t>
        </is>
      </c>
      <c r="N1237" t="inlineStr">
        <is>
          <t>Ordóñez Tenorio Jaime Marcial (CNA)</t>
        </is>
      </c>
      <c r="O1237" t="inlineStr">
        <is>
          <t>PAREJA: comparten el énfasis y alternan por semana</t>
        </is>
      </c>
      <c r="P1237" t="inlineStr">
        <is>
          <t>ENFASIS-0602</t>
        </is>
      </c>
      <c r="Q1237">
        <f>IF(I1237="ENFASIS","ÉNFASIS "&amp;M1237,IFERROR(VLOOKUP(J1237,Grupos!$A$2:$D$100,4,FALSE),J1237))</f>
        <v/>
      </c>
      <c r="R1237">
        <f>O1237&amp;IF(N1237&lt;&gt;"",IF(O1237&lt;&gt;""," · ","")&amp;"Con: "&amp;N1237,"")</f>
        <v/>
      </c>
      <c r="S1237">
        <f>C1237&amp;"|"&amp;D1237</f>
        <v/>
      </c>
      <c r="T1237">
        <f>COUNTIF($S$2:S1237,S1237)</f>
        <v/>
      </c>
      <c r="U1237">
        <f>S1237&amp;"|"&amp;T1237</f>
        <v/>
      </c>
      <c r="V1237">
        <f>IFERROR(VLOOKUP(IF(I1237="ENFASIS",LEFT(M1237,FIND("+",M1237&amp;"+")-1),J1237),Direccion_Grupo!$A$2:$G$100,7,FALSE),"")</f>
        <v/>
      </c>
    </row>
    <row r="1238">
      <c r="A1238" t="n">
        <v>9</v>
      </c>
      <c r="B1238" t="inlineStr">
        <is>
          <t>Castillo Angulo Martha Cecilia</t>
        </is>
      </c>
      <c r="C1238" t="inlineStr">
        <is>
          <t>JUEVES</t>
        </is>
      </c>
      <c r="D1238" t="n">
        <v>8</v>
      </c>
      <c r="E1238" t="n">
        <v>4</v>
      </c>
      <c r="F1238" t="n">
        <v>2</v>
      </c>
      <c r="G1238" t="inlineStr">
        <is>
          <t>12:45</t>
        </is>
      </c>
      <c r="H1238" t="inlineStr">
        <is>
          <t>13:30</t>
        </is>
      </c>
      <c r="I1238" t="inlineStr">
        <is>
          <t>ENFASIS</t>
        </is>
      </c>
      <c r="J1238" t="inlineStr"/>
      <c r="K1238" t="inlineStr">
        <is>
          <t>ETR</t>
        </is>
      </c>
      <c r="L1238" t="inlineStr">
        <is>
          <t>0802</t>
        </is>
      </c>
      <c r="M1238" t="inlineStr">
        <is>
          <t>0802</t>
        </is>
      </c>
      <c r="N1238" t="inlineStr">
        <is>
          <t>Ortiz Araujo Adiela Carlota (CSI)</t>
        </is>
      </c>
      <c r="O1238" t="inlineStr">
        <is>
          <t>PAREJA: comparten el énfasis y alternan por semana</t>
        </is>
      </c>
      <c r="P1238" t="inlineStr">
        <is>
          <t>ENFASIS-0802</t>
        </is>
      </c>
      <c r="Q1238">
        <f>IF(I1238="ENFASIS","ÉNFASIS "&amp;M1238,IFERROR(VLOOKUP(J1238,Grupos!$A$2:$D$100,4,FALSE),J1238))</f>
        <v/>
      </c>
      <c r="R1238">
        <f>O1238&amp;IF(N1238&lt;&gt;"",IF(O1238&lt;&gt;""," · ","")&amp;"Con: "&amp;N1238,"")</f>
        <v/>
      </c>
      <c r="S1238">
        <f>C1238&amp;"|"&amp;D1238</f>
        <v/>
      </c>
      <c r="T1238">
        <f>COUNTIF($S$2:S1238,S1238)</f>
        <v/>
      </c>
      <c r="U1238">
        <f>S1238&amp;"|"&amp;T1238</f>
        <v/>
      </c>
      <c r="V1238">
        <f>IFERROR(VLOOKUP(IF(I1238="ENFASIS",LEFT(M1238,FIND("+",M1238&amp;"+")-1),J1238),Direccion_Grupo!$A$2:$G$100,7,FALSE),"")</f>
        <v/>
      </c>
    </row>
    <row r="1239">
      <c r="A1239" t="n">
        <v>19</v>
      </c>
      <c r="B1239" t="inlineStr">
        <is>
          <t>Fernández Vélez Alfredo Enrique</t>
        </is>
      </c>
      <c r="C1239" t="inlineStr">
        <is>
          <t>JUEVES</t>
        </is>
      </c>
      <c r="D1239" t="n">
        <v>8</v>
      </c>
      <c r="E1239" t="n">
        <v>4</v>
      </c>
      <c r="F1239" t="n">
        <v>2</v>
      </c>
      <c r="G1239" t="inlineStr">
        <is>
          <t>12:45</t>
        </is>
      </c>
      <c r="H1239" t="inlineStr">
        <is>
          <t>13:30</t>
        </is>
      </c>
      <c r="I1239" t="inlineStr">
        <is>
          <t>ENFASIS</t>
        </is>
      </c>
      <c r="J1239" t="inlineStr"/>
      <c r="K1239" t="inlineStr">
        <is>
          <t>TEI</t>
        </is>
      </c>
      <c r="L1239" t="inlineStr">
        <is>
          <t>D3-8°</t>
        </is>
      </c>
      <c r="M1239" t="inlineStr">
        <is>
          <t>0802</t>
        </is>
      </c>
      <c r="N1239" t="inlineStr">
        <is>
          <t>Preciado Torres Oleisa (MAT)</t>
        </is>
      </c>
      <c r="O1239" t="inlineStr">
        <is>
          <t>PAREJA: comparten el énfasis y alternan por semana</t>
        </is>
      </c>
      <c r="P1239" t="inlineStr">
        <is>
          <t>ENFASIS-D3-8°</t>
        </is>
      </c>
      <c r="Q1239">
        <f>IF(I1239="ENFASIS","ÉNFASIS "&amp;M1239,IFERROR(VLOOKUP(J1239,Grupos!$A$2:$D$100,4,FALSE),J1239))</f>
        <v/>
      </c>
      <c r="R1239">
        <f>O1239&amp;IF(N1239&lt;&gt;"",IF(O1239&lt;&gt;""," · ","")&amp;"Con: "&amp;N1239,"")</f>
        <v/>
      </c>
      <c r="S1239">
        <f>C1239&amp;"|"&amp;D1239</f>
        <v/>
      </c>
      <c r="T1239">
        <f>COUNTIF($S$2:S1239,S1239)</f>
        <v/>
      </c>
      <c r="U1239">
        <f>S1239&amp;"|"&amp;T1239</f>
        <v/>
      </c>
      <c r="V1239">
        <f>IFERROR(VLOOKUP(IF(I1239="ENFASIS",LEFT(M1239,FIND("+",M1239&amp;"+")-1),J1239),Direccion_Grupo!$A$2:$G$100,7,FALSE),"")</f>
        <v/>
      </c>
    </row>
    <row r="1240">
      <c r="A1240" t="n">
        <v>35</v>
      </c>
      <c r="B1240" t="inlineStr">
        <is>
          <t>Ortiz Araujo Adiela Carlota</t>
        </is>
      </c>
      <c r="C1240" t="inlineStr">
        <is>
          <t>JUEVES</t>
        </is>
      </c>
      <c r="D1240" t="n">
        <v>8</v>
      </c>
      <c r="E1240" t="n">
        <v>4</v>
      </c>
      <c r="F1240" t="n">
        <v>2</v>
      </c>
      <c r="G1240" t="inlineStr">
        <is>
          <t>12:45</t>
        </is>
      </c>
      <c r="H1240" t="inlineStr">
        <is>
          <t>13:30</t>
        </is>
      </c>
      <c r="I1240" t="inlineStr">
        <is>
          <t>ENFASIS</t>
        </is>
      </c>
      <c r="J1240" t="inlineStr"/>
      <c r="K1240" t="inlineStr">
        <is>
          <t>CSI</t>
        </is>
      </c>
      <c r="L1240" t="inlineStr">
        <is>
          <t>0802</t>
        </is>
      </c>
      <c r="M1240" t="inlineStr">
        <is>
          <t>0802</t>
        </is>
      </c>
      <c r="N1240" t="inlineStr">
        <is>
          <t>Castillo Angulo Martha Cecilia (ETR)</t>
        </is>
      </c>
      <c r="O1240" t="inlineStr">
        <is>
          <t>PAREJA: comparten el énfasis y alternan por semana</t>
        </is>
      </c>
      <c r="P1240" t="inlineStr">
        <is>
          <t>ENFASIS-0802</t>
        </is>
      </c>
      <c r="Q1240">
        <f>IF(I1240="ENFASIS","ÉNFASIS "&amp;M1240,IFERROR(VLOOKUP(J1240,Grupos!$A$2:$D$100,4,FALSE),J1240))</f>
        <v/>
      </c>
      <c r="R1240">
        <f>O1240&amp;IF(N1240&lt;&gt;"",IF(O1240&lt;&gt;""," · ","")&amp;"Con: "&amp;N1240,"")</f>
        <v/>
      </c>
      <c r="S1240">
        <f>C1240&amp;"|"&amp;D1240</f>
        <v/>
      </c>
      <c r="T1240">
        <f>COUNTIF($S$2:S1240,S1240)</f>
        <v/>
      </c>
      <c r="U1240">
        <f>S1240&amp;"|"&amp;T1240</f>
        <v/>
      </c>
      <c r="V1240">
        <f>IFERROR(VLOOKUP(IF(I1240="ENFASIS",LEFT(M1240,FIND("+",M1240&amp;"+")-1),J1240),Direccion_Grupo!$A$2:$G$100,7,FALSE),"")</f>
        <v/>
      </c>
    </row>
    <row r="1241">
      <c r="A1241" t="n">
        <v>38</v>
      </c>
      <c r="B1241" t="inlineStr">
        <is>
          <t>Preciado Torres Oleisa</t>
        </is>
      </c>
      <c r="C1241" t="inlineStr">
        <is>
          <t>JUEVES</t>
        </is>
      </c>
      <c r="D1241" t="n">
        <v>8</v>
      </c>
      <c r="E1241" t="n">
        <v>4</v>
      </c>
      <c r="F1241" t="n">
        <v>2</v>
      </c>
      <c r="G1241" t="inlineStr">
        <is>
          <t>12:45</t>
        </is>
      </c>
      <c r="H1241" t="inlineStr">
        <is>
          <t>13:30</t>
        </is>
      </c>
      <c r="I1241" t="inlineStr">
        <is>
          <t>ENFASIS</t>
        </is>
      </c>
      <c r="J1241" t="inlineStr"/>
      <c r="K1241" t="inlineStr">
        <is>
          <t>MAT</t>
        </is>
      </c>
      <c r="L1241" t="inlineStr">
        <is>
          <t>D3-8°</t>
        </is>
      </c>
      <c r="M1241" t="inlineStr">
        <is>
          <t>0802</t>
        </is>
      </c>
      <c r="N1241" t="inlineStr">
        <is>
          <t>Fernández Vélez Alfredo Enrique (TEI)</t>
        </is>
      </c>
      <c r="O1241" t="inlineStr">
        <is>
          <t>PAREJA: comparten el énfasis y alternan por semana</t>
        </is>
      </c>
      <c r="P1241" t="inlineStr">
        <is>
          <t>ENFASIS-D3-8°</t>
        </is>
      </c>
      <c r="Q1241">
        <f>IF(I1241="ENFASIS","ÉNFASIS "&amp;M1241,IFERROR(VLOOKUP(J1241,Grupos!$A$2:$D$100,4,FALSE),J1241))</f>
        <v/>
      </c>
      <c r="R1241">
        <f>O1241&amp;IF(N1241&lt;&gt;"",IF(O1241&lt;&gt;""," · ","")&amp;"Con: "&amp;N1241,"")</f>
        <v/>
      </c>
      <c r="S1241">
        <f>C1241&amp;"|"&amp;D1241</f>
        <v/>
      </c>
      <c r="T1241">
        <f>COUNTIF($S$2:S1241,S1241)</f>
        <v/>
      </c>
      <c r="U1241">
        <f>S1241&amp;"|"&amp;T1241</f>
        <v/>
      </c>
      <c r="V1241">
        <f>IFERROR(VLOOKUP(IF(I1241="ENFASIS",LEFT(M1241,FIND("+",M1241&amp;"+")-1),J1241),Direccion_Grupo!$A$2:$G$100,7,FALSE),"")</f>
        <v/>
      </c>
    </row>
    <row r="1242">
      <c r="A1242" t="n">
        <v>22</v>
      </c>
      <c r="B1242" t="inlineStr">
        <is>
          <t>González Castillo Jólmer Jimy</t>
        </is>
      </c>
      <c r="C1242" t="inlineStr">
        <is>
          <t>JUEVES</t>
        </is>
      </c>
      <c r="D1242" t="n">
        <v>8</v>
      </c>
      <c r="E1242" t="n">
        <v>4</v>
      </c>
      <c r="F1242" t="n">
        <v>2</v>
      </c>
      <c r="G1242" t="inlineStr">
        <is>
          <t>12:45</t>
        </is>
      </c>
      <c r="H1242" t="inlineStr">
        <is>
          <t>13:30</t>
        </is>
      </c>
      <c r="I1242" t="inlineStr">
        <is>
          <t>ENFASIS</t>
        </is>
      </c>
      <c r="J1242" t="inlineStr"/>
      <c r="K1242" t="inlineStr">
        <is>
          <t>ERD</t>
        </is>
      </c>
      <c r="L1242" t="inlineStr">
        <is>
          <t>CS201</t>
        </is>
      </c>
      <c r="M1242" t="inlineStr">
        <is>
          <t>CS201</t>
        </is>
      </c>
      <c r="N1242" t="inlineStr">
        <is>
          <t>Valencia Marínez Saidy Eufemia (ART); Meza Banguera Gladys Alicia (CAS); Lemos Guancha Miriam (CNA)</t>
        </is>
      </c>
      <c r="O1242" t="inlineStr">
        <is>
          <t>EQUIPO DE 4: cada docente atiende un grupo de estudiantes en su área</t>
        </is>
      </c>
      <c r="P1242" t="inlineStr">
        <is>
          <t>ENFASIS-CS201</t>
        </is>
      </c>
      <c r="Q1242">
        <f>IF(I1242="ENFASIS","ÉNFASIS "&amp;M1242,IFERROR(VLOOKUP(J1242,Grupos!$A$2:$D$100,4,FALSE),J1242))</f>
        <v/>
      </c>
      <c r="R1242">
        <f>O1242&amp;IF(N1242&lt;&gt;"",IF(O1242&lt;&gt;""," · ","")&amp;"Con: "&amp;N1242,"")</f>
        <v/>
      </c>
      <c r="S1242">
        <f>C1242&amp;"|"&amp;D1242</f>
        <v/>
      </c>
      <c r="T1242">
        <f>COUNTIF($S$2:S1242,S1242)</f>
        <v/>
      </c>
      <c r="U1242">
        <f>S1242&amp;"|"&amp;T1242</f>
        <v/>
      </c>
      <c r="V1242">
        <f>IFERROR(VLOOKUP(IF(I1242="ENFASIS",LEFT(M1242,FIND("+",M1242&amp;"+")-1),J1242),Direccion_Grupo!$A$2:$G$100,7,FALSE),"")</f>
        <v/>
      </c>
    </row>
    <row r="1243">
      <c r="A1243" t="n">
        <v>25</v>
      </c>
      <c r="B1243" t="inlineStr">
        <is>
          <t>Lemos Guancha Miriam</t>
        </is>
      </c>
      <c r="C1243" t="inlineStr">
        <is>
          <t>JUEVES</t>
        </is>
      </c>
      <c r="D1243" t="n">
        <v>8</v>
      </c>
      <c r="E1243" t="n">
        <v>4</v>
      </c>
      <c r="F1243" t="n">
        <v>2</v>
      </c>
      <c r="G1243" t="inlineStr">
        <is>
          <t>12:45</t>
        </is>
      </c>
      <c r="H1243" t="inlineStr">
        <is>
          <t>13:30</t>
        </is>
      </c>
      <c r="I1243" t="inlineStr">
        <is>
          <t>ENFASIS</t>
        </is>
      </c>
      <c r="J1243" t="inlineStr"/>
      <c r="K1243" t="inlineStr">
        <is>
          <t>CNA</t>
        </is>
      </c>
      <c r="L1243" t="inlineStr">
        <is>
          <t>CS201</t>
        </is>
      </c>
      <c r="M1243" t="inlineStr">
        <is>
          <t>CS201</t>
        </is>
      </c>
      <c r="N1243" t="inlineStr">
        <is>
          <t>Valencia Marínez Saidy Eufemia (ART); Meza Banguera Gladys Alicia (CAS); González Castillo Jólmer Jimy (ERD)</t>
        </is>
      </c>
      <c r="O1243" t="inlineStr">
        <is>
          <t>EQUIPO DE 4: cada docente atiende un grupo de estudiantes en su área</t>
        </is>
      </c>
      <c r="P1243" t="inlineStr">
        <is>
          <t>ENFASIS-CS201</t>
        </is>
      </c>
      <c r="Q1243">
        <f>IF(I1243="ENFASIS","ÉNFASIS "&amp;M1243,IFERROR(VLOOKUP(J1243,Grupos!$A$2:$D$100,4,FALSE),J1243))</f>
        <v/>
      </c>
      <c r="R1243">
        <f>O1243&amp;IF(N1243&lt;&gt;"",IF(O1243&lt;&gt;""," · ","")&amp;"Con: "&amp;N1243,"")</f>
        <v/>
      </c>
      <c r="S1243">
        <f>C1243&amp;"|"&amp;D1243</f>
        <v/>
      </c>
      <c r="T1243">
        <f>COUNTIF($S$2:S1243,S1243)</f>
        <v/>
      </c>
      <c r="U1243">
        <f>S1243&amp;"|"&amp;T1243</f>
        <v/>
      </c>
      <c r="V1243">
        <f>IFERROR(VLOOKUP(IF(I1243="ENFASIS",LEFT(M1243,FIND("+",M1243&amp;"+")-1),J1243),Direccion_Grupo!$A$2:$G$100,7,FALSE),"")</f>
        <v/>
      </c>
    </row>
    <row r="1244">
      <c r="A1244" t="n">
        <v>28</v>
      </c>
      <c r="B1244" t="inlineStr">
        <is>
          <t>Meza Banguera Gladys Alicia</t>
        </is>
      </c>
      <c r="C1244" t="inlineStr">
        <is>
          <t>JUEVES</t>
        </is>
      </c>
      <c r="D1244" t="n">
        <v>8</v>
      </c>
      <c r="E1244" t="n">
        <v>4</v>
      </c>
      <c r="F1244" t="n">
        <v>2</v>
      </c>
      <c r="G1244" t="inlineStr">
        <is>
          <t>12:45</t>
        </is>
      </c>
      <c r="H1244" t="inlineStr">
        <is>
          <t>13:30</t>
        </is>
      </c>
      <c r="I1244" t="inlineStr">
        <is>
          <t>ENFASIS</t>
        </is>
      </c>
      <c r="J1244" t="inlineStr"/>
      <c r="K1244" t="inlineStr">
        <is>
          <t>CAS</t>
        </is>
      </c>
      <c r="L1244" t="inlineStr">
        <is>
          <t>CS201</t>
        </is>
      </c>
      <c r="M1244" t="inlineStr">
        <is>
          <t>CS201</t>
        </is>
      </c>
      <c r="N1244" t="inlineStr">
        <is>
          <t>Valencia Marínez Saidy Eufemia (ART); González Castillo Jólmer Jimy (ERD); Lemos Guancha Miriam (CNA)</t>
        </is>
      </c>
      <c r="O1244" t="inlineStr">
        <is>
          <t>EQUIPO DE 4: cada docente atiende un grupo de estudiantes en su área</t>
        </is>
      </c>
      <c r="P1244" t="inlineStr">
        <is>
          <t>ENFASIS-CS201</t>
        </is>
      </c>
      <c r="Q1244">
        <f>IF(I1244="ENFASIS","ÉNFASIS "&amp;M1244,IFERROR(VLOOKUP(J1244,Grupos!$A$2:$D$100,4,FALSE),J1244))</f>
        <v/>
      </c>
      <c r="R1244">
        <f>O1244&amp;IF(N1244&lt;&gt;"",IF(O1244&lt;&gt;""," · ","")&amp;"Con: "&amp;N1244,"")</f>
        <v/>
      </c>
      <c r="S1244">
        <f>C1244&amp;"|"&amp;D1244</f>
        <v/>
      </c>
      <c r="T1244">
        <f>COUNTIF($S$2:S1244,S1244)</f>
        <v/>
      </c>
      <c r="U1244">
        <f>S1244&amp;"|"&amp;T1244</f>
        <v/>
      </c>
      <c r="V1244">
        <f>IFERROR(VLOOKUP(IF(I1244="ENFASIS",LEFT(M1244,FIND("+",M1244&amp;"+")-1),J1244),Direccion_Grupo!$A$2:$G$100,7,FALSE),"")</f>
        <v/>
      </c>
    </row>
    <row r="1245">
      <c r="A1245" t="n">
        <v>49</v>
      </c>
      <c r="B1245" t="inlineStr">
        <is>
          <t>Valencia Marínez Saidy Eufemia</t>
        </is>
      </c>
      <c r="C1245" t="inlineStr">
        <is>
          <t>JUEVES</t>
        </is>
      </c>
      <c r="D1245" t="n">
        <v>8</v>
      </c>
      <c r="E1245" t="n">
        <v>4</v>
      </c>
      <c r="F1245" t="n">
        <v>2</v>
      </c>
      <c r="G1245" t="inlineStr">
        <is>
          <t>12:45</t>
        </is>
      </c>
      <c r="H1245" t="inlineStr">
        <is>
          <t>13:30</t>
        </is>
      </c>
      <c r="I1245" t="inlineStr">
        <is>
          <t>ENFASIS</t>
        </is>
      </c>
      <c r="J1245" t="inlineStr"/>
      <c r="K1245" t="inlineStr">
        <is>
          <t>ART</t>
        </is>
      </c>
      <c r="L1245" t="inlineStr">
        <is>
          <t>CS201</t>
        </is>
      </c>
      <c r="M1245" t="inlineStr">
        <is>
          <t>CS201</t>
        </is>
      </c>
      <c r="N1245" t="inlineStr">
        <is>
          <t>Meza Banguera Gladys Alicia (CAS); González Castillo Jólmer Jimy (ERD); Lemos Guancha Miriam (CNA)</t>
        </is>
      </c>
      <c r="O1245" t="inlineStr">
        <is>
          <t>EQUIPO DE 4: cada docente atiende un grupo de estudiantes en su área</t>
        </is>
      </c>
      <c r="P1245" t="inlineStr">
        <is>
          <t>ENFASIS-CS201</t>
        </is>
      </c>
      <c r="Q1245">
        <f>IF(I1245="ENFASIS","ÉNFASIS "&amp;M1245,IFERROR(VLOOKUP(J1245,Grupos!$A$2:$D$100,4,FALSE),J1245))</f>
        <v/>
      </c>
      <c r="R1245">
        <f>O1245&amp;IF(N1245&lt;&gt;"",IF(O1245&lt;&gt;""," · ","")&amp;"Con: "&amp;N1245,"")</f>
        <v/>
      </c>
      <c r="S1245">
        <f>C1245&amp;"|"&amp;D1245</f>
        <v/>
      </c>
      <c r="T1245">
        <f>COUNTIF($S$2:S1245,S1245)</f>
        <v/>
      </c>
      <c r="U1245">
        <f>S1245&amp;"|"&amp;T1245</f>
        <v/>
      </c>
      <c r="V1245">
        <f>IFERROR(VLOOKUP(IF(I1245="ENFASIS",LEFT(M1245,FIND("+",M1245&amp;"+")-1),J1245),Direccion_Grupo!$A$2:$G$100,7,FALSE),"")</f>
        <v/>
      </c>
    </row>
    <row r="1246">
      <c r="A1246" t="n">
        <v>23</v>
      </c>
      <c r="B1246" t="inlineStr">
        <is>
          <t>Landázuri Quiñones María Elia</t>
        </is>
      </c>
      <c r="C1246" t="inlineStr">
        <is>
          <t>VIERNES</t>
        </is>
      </c>
      <c r="D1246" t="n">
        <v>1</v>
      </c>
      <c r="E1246" t="n">
        <v>1</v>
      </c>
      <c r="F1246" t="n">
        <v>1</v>
      </c>
      <c r="G1246" t="inlineStr">
        <is>
          <t>06:30</t>
        </is>
      </c>
      <c r="H1246" t="inlineStr">
        <is>
          <t>07:15</t>
        </is>
      </c>
      <c r="I1246" t="inlineStr">
        <is>
          <t>AREAS_MULTIPLES</t>
        </is>
      </c>
      <c r="J1246" t="inlineStr">
        <is>
          <t>0101</t>
        </is>
      </c>
      <c r="K1246" t="inlineStr">
        <is>
          <t>ÁREAS MÚLTIPLES</t>
        </is>
      </c>
      <c r="L1246" t="inlineStr"/>
      <c r="M1246" t="inlineStr"/>
      <c r="N1246" t="inlineStr"/>
      <c r="O1246" t="inlineStr">
        <is>
          <t>Maestro de aula: todas las áreas con su grupo</t>
        </is>
      </c>
      <c r="P1246" t="inlineStr"/>
      <c r="Q1246">
        <f>IF(I1246="ENFASIS","ÉNFASIS "&amp;M1246,IFERROR(VLOOKUP(J1246,Grupos!$A$2:$D$100,4,FALSE),J1246))</f>
        <v/>
      </c>
      <c r="R1246">
        <f>O1246&amp;IF(N1246&lt;&gt;"",IF(O1246&lt;&gt;""," · ","")&amp;"Con: "&amp;N1246,"")</f>
        <v/>
      </c>
      <c r="S1246">
        <f>C1246&amp;"|"&amp;D1246</f>
        <v/>
      </c>
      <c r="T1246">
        <f>COUNTIF($S$2:S1246,S1246)</f>
        <v/>
      </c>
      <c r="U1246">
        <f>S1246&amp;"|"&amp;T1246</f>
        <v/>
      </c>
      <c r="V1246">
        <f>IFERROR(VLOOKUP(IF(I1246="ENFASIS",LEFT(M1246,FIND("+",M1246&amp;"+")-1),J1246),Direccion_Grupo!$A$2:$G$100,7,FALSE),"")</f>
        <v/>
      </c>
    </row>
    <row r="1247">
      <c r="A1247" t="n">
        <v>45</v>
      </c>
      <c r="B1247" t="inlineStr">
        <is>
          <t>Sinisterra Ana Lucía</t>
        </is>
      </c>
      <c r="C1247" t="inlineStr">
        <is>
          <t>VIERNES</t>
        </is>
      </c>
      <c r="D1247" t="n">
        <v>1</v>
      </c>
      <c r="E1247" t="n">
        <v>1</v>
      </c>
      <c r="F1247" t="n">
        <v>1</v>
      </c>
      <c r="G1247" t="inlineStr">
        <is>
          <t>06:30</t>
        </is>
      </c>
      <c r="H1247" t="inlineStr">
        <is>
          <t>07:15</t>
        </is>
      </c>
      <c r="I1247" t="inlineStr">
        <is>
          <t>AREAS_MULTIPLES</t>
        </is>
      </c>
      <c r="J1247" t="inlineStr">
        <is>
          <t>0102</t>
        </is>
      </c>
      <c r="K1247" t="inlineStr">
        <is>
          <t>ÁREAS MÚLTIPLES</t>
        </is>
      </c>
      <c r="L1247" t="inlineStr"/>
      <c r="M1247" t="inlineStr"/>
      <c r="N1247" t="inlineStr"/>
      <c r="O1247" t="inlineStr">
        <is>
          <t>Maestro de aula: todas las áreas con su grupo</t>
        </is>
      </c>
      <c r="P1247" t="inlineStr"/>
      <c r="Q1247">
        <f>IF(I1247="ENFASIS","ÉNFASIS "&amp;M1247,IFERROR(VLOOKUP(J1247,Grupos!$A$2:$D$100,4,FALSE),J1247))</f>
        <v/>
      </c>
      <c r="R1247">
        <f>O1247&amp;IF(N1247&lt;&gt;"",IF(O1247&lt;&gt;""," · ","")&amp;"Con: "&amp;N1247,"")</f>
        <v/>
      </c>
      <c r="S1247">
        <f>C1247&amp;"|"&amp;D1247</f>
        <v/>
      </c>
      <c r="T1247">
        <f>COUNTIF($S$2:S1247,S1247)</f>
        <v/>
      </c>
      <c r="U1247">
        <f>S1247&amp;"|"&amp;T1247</f>
        <v/>
      </c>
      <c r="V1247">
        <f>IFERROR(VLOOKUP(IF(I1247="ENFASIS",LEFT(M1247,FIND("+",M1247&amp;"+")-1),J1247),Direccion_Grupo!$A$2:$G$100,7,FALSE),"")</f>
        <v/>
      </c>
    </row>
    <row r="1248">
      <c r="A1248" t="n">
        <v>13</v>
      </c>
      <c r="B1248" t="inlineStr">
        <is>
          <t>Cortés Salazar María Ebelice</t>
        </is>
      </c>
      <c r="C1248" t="inlineStr">
        <is>
          <t>VIERNES</t>
        </is>
      </c>
      <c r="D1248" t="n">
        <v>1</v>
      </c>
      <c r="E1248" t="n">
        <v>1</v>
      </c>
      <c r="F1248" t="n">
        <v>1</v>
      </c>
      <c r="G1248" t="inlineStr">
        <is>
          <t>06:30</t>
        </is>
      </c>
      <c r="H1248" t="inlineStr">
        <is>
          <t>07:15</t>
        </is>
      </c>
      <c r="I1248" t="inlineStr">
        <is>
          <t>AREAS_MULTIPLES</t>
        </is>
      </c>
      <c r="J1248" t="inlineStr">
        <is>
          <t>0201</t>
        </is>
      </c>
      <c r="K1248" t="inlineStr">
        <is>
          <t>ÁREAS MÚLTIPLES</t>
        </is>
      </c>
      <c r="L1248" t="inlineStr"/>
      <c r="M1248" t="inlineStr"/>
      <c r="N1248" t="inlineStr"/>
      <c r="O1248" t="inlineStr">
        <is>
          <t>Maestro de aula: todas las áreas con su grupo</t>
        </is>
      </c>
      <c r="P1248" t="inlineStr"/>
      <c r="Q1248">
        <f>IF(I1248="ENFASIS","ÉNFASIS "&amp;M1248,IFERROR(VLOOKUP(J1248,Grupos!$A$2:$D$100,4,FALSE),J1248))</f>
        <v/>
      </c>
      <c r="R1248">
        <f>O1248&amp;IF(N1248&lt;&gt;"",IF(O1248&lt;&gt;""," · ","")&amp;"Con: "&amp;N1248,"")</f>
        <v/>
      </c>
      <c r="S1248">
        <f>C1248&amp;"|"&amp;D1248</f>
        <v/>
      </c>
      <c r="T1248">
        <f>COUNTIF($S$2:S1248,S1248)</f>
        <v/>
      </c>
      <c r="U1248">
        <f>S1248&amp;"|"&amp;T1248</f>
        <v/>
      </c>
      <c r="V1248">
        <f>IFERROR(VLOOKUP(IF(I1248="ENFASIS",LEFT(M1248,FIND("+",M1248&amp;"+")-1),J1248),Direccion_Grupo!$A$2:$G$100,7,FALSE),"")</f>
        <v/>
      </c>
    </row>
    <row r="1249">
      <c r="A1249" t="n">
        <v>21</v>
      </c>
      <c r="B1249" t="inlineStr">
        <is>
          <t>Garzón Quiñones Sixta Janina</t>
        </is>
      </c>
      <c r="C1249" t="inlineStr">
        <is>
          <t>VIERNES</t>
        </is>
      </c>
      <c r="D1249" t="n">
        <v>1</v>
      </c>
      <c r="E1249" t="n">
        <v>1</v>
      </c>
      <c r="F1249" t="n">
        <v>1</v>
      </c>
      <c r="G1249" t="inlineStr">
        <is>
          <t>06:30</t>
        </is>
      </c>
      <c r="H1249" t="inlineStr">
        <is>
          <t>07:15</t>
        </is>
      </c>
      <c r="I1249" t="inlineStr">
        <is>
          <t>AREAS_MULTIPLES</t>
        </is>
      </c>
      <c r="J1249" t="inlineStr">
        <is>
          <t>0202</t>
        </is>
      </c>
      <c r="K1249" t="inlineStr">
        <is>
          <t>ÁREAS MÚLTIPLES</t>
        </is>
      </c>
      <c r="L1249" t="inlineStr"/>
      <c r="M1249" t="inlineStr"/>
      <c r="N1249" t="inlineStr"/>
      <c r="O1249" t="inlineStr">
        <is>
          <t>Maestro de aula: todas las áreas con su grupo</t>
        </is>
      </c>
      <c r="P1249" t="inlineStr"/>
      <c r="Q1249">
        <f>IF(I1249="ENFASIS","ÉNFASIS "&amp;M1249,IFERROR(VLOOKUP(J1249,Grupos!$A$2:$D$100,4,FALSE),J1249))</f>
        <v/>
      </c>
      <c r="R1249">
        <f>O1249&amp;IF(N1249&lt;&gt;"",IF(O1249&lt;&gt;""," · ","")&amp;"Con: "&amp;N1249,"")</f>
        <v/>
      </c>
      <c r="S1249">
        <f>C1249&amp;"|"&amp;D1249</f>
        <v/>
      </c>
      <c r="T1249">
        <f>COUNTIF($S$2:S1249,S1249)</f>
        <v/>
      </c>
      <c r="U1249">
        <f>S1249&amp;"|"&amp;T1249</f>
        <v/>
      </c>
      <c r="V1249">
        <f>IFERROR(VLOOKUP(IF(I1249="ENFASIS",LEFT(M1249,FIND("+",M1249&amp;"+")-1),J1249),Direccion_Grupo!$A$2:$G$100,7,FALSE),"")</f>
        <v/>
      </c>
    </row>
    <row r="1250">
      <c r="A1250" t="n">
        <v>46</v>
      </c>
      <c r="B1250" t="inlineStr">
        <is>
          <t>Tenorio Cuero Lucy Bivian</t>
        </is>
      </c>
      <c r="C1250" t="inlineStr">
        <is>
          <t>VIERNES</t>
        </is>
      </c>
      <c r="D1250" t="n">
        <v>1</v>
      </c>
      <c r="E1250" t="n">
        <v>1</v>
      </c>
      <c r="F1250" t="n">
        <v>1</v>
      </c>
      <c r="G1250" t="inlineStr">
        <is>
          <t>06:30</t>
        </is>
      </c>
      <c r="H1250" t="inlineStr">
        <is>
          <t>07:15</t>
        </is>
      </c>
      <c r="I1250" t="inlineStr">
        <is>
          <t>AREAS_MULTIPLES</t>
        </is>
      </c>
      <c r="J1250" t="inlineStr">
        <is>
          <t>0203</t>
        </is>
      </c>
      <c r="K1250" t="inlineStr">
        <is>
          <t>ÁREAS MÚLTIPLES</t>
        </is>
      </c>
      <c r="L1250" t="inlineStr"/>
      <c r="M1250" t="inlineStr"/>
      <c r="N1250" t="inlineStr"/>
      <c r="O1250" t="inlineStr">
        <is>
          <t>Maestro de aula: todas las áreas con su grupo</t>
        </is>
      </c>
      <c r="P1250" t="inlineStr"/>
      <c r="Q1250">
        <f>IF(I1250="ENFASIS","ÉNFASIS "&amp;M1250,IFERROR(VLOOKUP(J1250,Grupos!$A$2:$D$100,4,FALSE),J1250))</f>
        <v/>
      </c>
      <c r="R1250">
        <f>O1250&amp;IF(N1250&lt;&gt;"",IF(O1250&lt;&gt;""," · ","")&amp;"Con: "&amp;N1250,"")</f>
        <v/>
      </c>
      <c r="S1250">
        <f>C1250&amp;"|"&amp;D1250</f>
        <v/>
      </c>
      <c r="T1250">
        <f>COUNTIF($S$2:S1250,S1250)</f>
        <v/>
      </c>
      <c r="U1250">
        <f>S1250&amp;"|"&amp;T1250</f>
        <v/>
      </c>
      <c r="V1250">
        <f>IFERROR(VLOOKUP(IF(I1250="ENFASIS",LEFT(M1250,FIND("+",M1250&amp;"+")-1),J1250),Direccion_Grupo!$A$2:$G$100,7,FALSE),"")</f>
        <v/>
      </c>
    </row>
    <row r="1251">
      <c r="A1251" t="n">
        <v>48</v>
      </c>
      <c r="B1251" t="inlineStr">
        <is>
          <t>Torres Segura Encarnación</t>
        </is>
      </c>
      <c r="C1251" t="inlineStr">
        <is>
          <t>VIERNES</t>
        </is>
      </c>
      <c r="D1251" t="n">
        <v>1</v>
      </c>
      <c r="E1251" t="n">
        <v>1</v>
      </c>
      <c r="F1251" t="n">
        <v>1</v>
      </c>
      <c r="G1251" t="inlineStr">
        <is>
          <t>06:30</t>
        </is>
      </c>
      <c r="H1251" t="inlineStr">
        <is>
          <t>07:15</t>
        </is>
      </c>
      <c r="I1251" t="inlineStr">
        <is>
          <t>AREAS_MULTIPLES</t>
        </is>
      </c>
      <c r="J1251" t="inlineStr">
        <is>
          <t>0301</t>
        </is>
      </c>
      <c r="K1251" t="inlineStr">
        <is>
          <t>ÁREAS MÚLTIPLES</t>
        </is>
      </c>
      <c r="L1251" t="inlineStr"/>
      <c r="M1251" t="inlineStr"/>
      <c r="N1251" t="inlineStr"/>
      <c r="O1251" t="inlineStr">
        <is>
          <t>Maestro de aula: todas las áreas con su grupo</t>
        </is>
      </c>
      <c r="P1251" t="inlineStr"/>
      <c r="Q1251">
        <f>IF(I1251="ENFASIS","ÉNFASIS "&amp;M1251,IFERROR(VLOOKUP(J1251,Grupos!$A$2:$D$100,4,FALSE),J1251))</f>
        <v/>
      </c>
      <c r="R1251">
        <f>O1251&amp;IF(N1251&lt;&gt;"",IF(O1251&lt;&gt;""," · ","")&amp;"Con: "&amp;N1251,"")</f>
        <v/>
      </c>
      <c r="S1251">
        <f>C1251&amp;"|"&amp;D1251</f>
        <v/>
      </c>
      <c r="T1251">
        <f>COUNTIF($S$2:S1251,S1251)</f>
        <v/>
      </c>
      <c r="U1251">
        <f>S1251&amp;"|"&amp;T1251</f>
        <v/>
      </c>
      <c r="V1251">
        <f>IFERROR(VLOOKUP(IF(I1251="ENFASIS",LEFT(M1251,FIND("+",M1251&amp;"+")-1),J1251),Direccion_Grupo!$A$2:$G$100,7,FALSE),"")</f>
        <v/>
      </c>
    </row>
    <row r="1252">
      <c r="A1252" t="n">
        <v>24</v>
      </c>
      <c r="B1252" t="inlineStr">
        <is>
          <t>Landázuri Gallón Teresa</t>
        </is>
      </c>
      <c r="C1252" t="inlineStr">
        <is>
          <t>VIERNES</t>
        </is>
      </c>
      <c r="D1252" t="n">
        <v>1</v>
      </c>
      <c r="E1252" t="n">
        <v>1</v>
      </c>
      <c r="F1252" t="n">
        <v>1</v>
      </c>
      <c r="G1252" t="inlineStr">
        <is>
          <t>06:30</t>
        </is>
      </c>
      <c r="H1252" t="inlineStr">
        <is>
          <t>07:15</t>
        </is>
      </c>
      <c r="I1252" t="inlineStr">
        <is>
          <t>AREAS_MULTIPLES</t>
        </is>
      </c>
      <c r="J1252" t="inlineStr">
        <is>
          <t>0302</t>
        </is>
      </c>
      <c r="K1252" t="inlineStr">
        <is>
          <t>ÁREAS MÚLTIPLES</t>
        </is>
      </c>
      <c r="L1252" t="inlineStr"/>
      <c r="M1252" t="inlineStr"/>
      <c r="N1252" t="inlineStr"/>
      <c r="O1252" t="inlineStr">
        <is>
          <t>Maestro de aula: todas las áreas con su grupo</t>
        </is>
      </c>
      <c r="P1252" t="inlineStr"/>
      <c r="Q1252">
        <f>IF(I1252="ENFASIS","ÉNFASIS "&amp;M1252,IFERROR(VLOOKUP(J1252,Grupos!$A$2:$D$100,4,FALSE),J1252))</f>
        <v/>
      </c>
      <c r="R1252">
        <f>O1252&amp;IF(N1252&lt;&gt;"",IF(O1252&lt;&gt;""," · ","")&amp;"Con: "&amp;N1252,"")</f>
        <v/>
      </c>
      <c r="S1252">
        <f>C1252&amp;"|"&amp;D1252</f>
        <v/>
      </c>
      <c r="T1252">
        <f>COUNTIF($S$2:S1252,S1252)</f>
        <v/>
      </c>
      <c r="U1252">
        <f>S1252&amp;"|"&amp;T1252</f>
        <v/>
      </c>
      <c r="V1252">
        <f>IFERROR(VLOOKUP(IF(I1252="ENFASIS",LEFT(M1252,FIND("+",M1252&amp;"+")-1),J1252),Direccion_Grupo!$A$2:$G$100,7,FALSE),"")</f>
        <v/>
      </c>
    </row>
    <row r="1253">
      <c r="A1253" t="n">
        <v>55</v>
      </c>
      <c r="B1253" t="inlineStr">
        <is>
          <t>Zamora Ordóñez Celia Pastora</t>
        </is>
      </c>
      <c r="C1253" t="inlineStr">
        <is>
          <t>VIERNES</t>
        </is>
      </c>
      <c r="D1253" t="n">
        <v>1</v>
      </c>
      <c r="E1253" t="n">
        <v>1</v>
      </c>
      <c r="F1253" t="n">
        <v>1</v>
      </c>
      <c r="G1253" t="inlineStr">
        <is>
          <t>06:30</t>
        </is>
      </c>
      <c r="H1253" t="inlineStr">
        <is>
          <t>07:15</t>
        </is>
      </c>
      <c r="I1253" t="inlineStr">
        <is>
          <t>AREAS_MULTIPLES</t>
        </is>
      </c>
      <c r="J1253" t="inlineStr">
        <is>
          <t>0401</t>
        </is>
      </c>
      <c r="K1253" t="inlineStr">
        <is>
          <t>ÁREAS MÚLTIPLES</t>
        </is>
      </c>
      <c r="L1253" t="inlineStr"/>
      <c r="M1253" t="inlineStr"/>
      <c r="N1253" t="inlineStr"/>
      <c r="O1253" t="inlineStr">
        <is>
          <t>Maestro de aula: todas las áreas con su grupo</t>
        </is>
      </c>
      <c r="P1253" t="inlineStr"/>
      <c r="Q1253">
        <f>IF(I1253="ENFASIS","ÉNFASIS "&amp;M1253,IFERROR(VLOOKUP(J1253,Grupos!$A$2:$D$100,4,FALSE),J1253))</f>
        <v/>
      </c>
      <c r="R1253">
        <f>O1253&amp;IF(N1253&lt;&gt;"",IF(O1253&lt;&gt;""," · ","")&amp;"Con: "&amp;N1253,"")</f>
        <v/>
      </c>
      <c r="S1253">
        <f>C1253&amp;"|"&amp;D1253</f>
        <v/>
      </c>
      <c r="T1253">
        <f>COUNTIF($S$2:S1253,S1253)</f>
        <v/>
      </c>
      <c r="U1253">
        <f>S1253&amp;"|"&amp;T1253</f>
        <v/>
      </c>
      <c r="V1253">
        <f>IFERROR(VLOOKUP(IF(I1253="ENFASIS",LEFT(M1253,FIND("+",M1253&amp;"+")-1),J1253),Direccion_Grupo!$A$2:$G$100,7,FALSE),"")</f>
        <v/>
      </c>
    </row>
    <row r="1254">
      <c r="A1254" t="n">
        <v>33</v>
      </c>
      <c r="B1254" t="inlineStr">
        <is>
          <t>Núñez Perlaza Elcy</t>
        </is>
      </c>
      <c r="C1254" t="inlineStr">
        <is>
          <t>VIERNES</t>
        </is>
      </c>
      <c r="D1254" t="n">
        <v>1</v>
      </c>
      <c r="E1254" t="n">
        <v>1</v>
      </c>
      <c r="F1254" t="n">
        <v>1</v>
      </c>
      <c r="G1254" t="inlineStr">
        <is>
          <t>06:30</t>
        </is>
      </c>
      <c r="H1254" t="inlineStr">
        <is>
          <t>07:15</t>
        </is>
      </c>
      <c r="I1254" t="inlineStr">
        <is>
          <t>AREAS_MULTIPLES</t>
        </is>
      </c>
      <c r="J1254" t="inlineStr">
        <is>
          <t>0402</t>
        </is>
      </c>
      <c r="K1254" t="inlineStr">
        <is>
          <t>ÁREAS MÚLTIPLES</t>
        </is>
      </c>
      <c r="L1254" t="inlineStr"/>
      <c r="M1254" t="inlineStr"/>
      <c r="N1254" t="inlineStr"/>
      <c r="O1254" t="inlineStr">
        <is>
          <t>Maestro de aula: todas las áreas con su grupo</t>
        </is>
      </c>
      <c r="P1254" t="inlineStr"/>
      <c r="Q1254">
        <f>IF(I1254="ENFASIS","ÉNFASIS "&amp;M1254,IFERROR(VLOOKUP(J1254,Grupos!$A$2:$D$100,4,FALSE),J1254))</f>
        <v/>
      </c>
      <c r="R1254">
        <f>O1254&amp;IF(N1254&lt;&gt;"",IF(O1254&lt;&gt;""," · ","")&amp;"Con: "&amp;N1254,"")</f>
        <v/>
      </c>
      <c r="S1254">
        <f>C1254&amp;"|"&amp;D1254</f>
        <v/>
      </c>
      <c r="T1254">
        <f>COUNTIF($S$2:S1254,S1254)</f>
        <v/>
      </c>
      <c r="U1254">
        <f>S1254&amp;"|"&amp;T1254</f>
        <v/>
      </c>
      <c r="V1254">
        <f>IFERROR(VLOOKUP(IF(I1254="ENFASIS",LEFT(M1254,FIND("+",M1254&amp;"+")-1),J1254),Direccion_Grupo!$A$2:$G$100,7,FALSE),"")</f>
        <v/>
      </c>
    </row>
    <row r="1255">
      <c r="A1255" t="n">
        <v>14</v>
      </c>
      <c r="B1255" t="inlineStr">
        <is>
          <t>Cuéllar Gallo Nemesia</t>
        </is>
      </c>
      <c r="C1255" t="inlineStr">
        <is>
          <t>VIERNES</t>
        </is>
      </c>
      <c r="D1255" t="n">
        <v>1</v>
      </c>
      <c r="E1255" t="n">
        <v>1</v>
      </c>
      <c r="F1255" t="n">
        <v>1</v>
      </c>
      <c r="G1255" t="inlineStr">
        <is>
          <t>06:30</t>
        </is>
      </c>
      <c r="H1255" t="inlineStr">
        <is>
          <t>07:15</t>
        </is>
      </c>
      <c r="I1255" t="inlineStr">
        <is>
          <t>AREAS_MULTIPLES</t>
        </is>
      </c>
      <c r="J1255" t="inlineStr">
        <is>
          <t>0501</t>
        </is>
      </c>
      <c r="K1255" t="inlineStr">
        <is>
          <t>ÁREAS MÚLTIPLES</t>
        </is>
      </c>
      <c r="L1255" t="inlineStr"/>
      <c r="M1255" t="inlineStr"/>
      <c r="N1255" t="inlineStr"/>
      <c r="O1255" t="inlineStr">
        <is>
          <t>Maestro de aula: todas las áreas con su grupo</t>
        </is>
      </c>
      <c r="P1255" t="inlineStr"/>
      <c r="Q1255">
        <f>IF(I1255="ENFASIS","ÉNFASIS "&amp;M1255,IFERROR(VLOOKUP(J1255,Grupos!$A$2:$D$100,4,FALSE),J1255))</f>
        <v/>
      </c>
      <c r="R1255">
        <f>O1255&amp;IF(N1255&lt;&gt;"",IF(O1255&lt;&gt;""," · ","")&amp;"Con: "&amp;N1255,"")</f>
        <v/>
      </c>
      <c r="S1255">
        <f>C1255&amp;"|"&amp;D1255</f>
        <v/>
      </c>
      <c r="T1255">
        <f>COUNTIF($S$2:S1255,S1255)</f>
        <v/>
      </c>
      <c r="U1255">
        <f>S1255&amp;"|"&amp;T1255</f>
        <v/>
      </c>
      <c r="V1255">
        <f>IFERROR(VLOOKUP(IF(I1255="ENFASIS",LEFT(M1255,FIND("+",M1255&amp;"+")-1),J1255),Direccion_Grupo!$A$2:$G$100,7,FALSE),"")</f>
        <v/>
      </c>
    </row>
    <row r="1256">
      <c r="A1256" t="n">
        <v>11</v>
      </c>
      <c r="B1256" t="inlineStr">
        <is>
          <t>Centeno Zúñiga Claudia Patricia</t>
        </is>
      </c>
      <c r="C1256" t="inlineStr">
        <is>
          <t>VIERNES</t>
        </is>
      </c>
      <c r="D1256" t="n">
        <v>1</v>
      </c>
      <c r="E1256" t="n">
        <v>1</v>
      </c>
      <c r="F1256" t="n">
        <v>1</v>
      </c>
      <c r="G1256" t="inlineStr">
        <is>
          <t>06:30</t>
        </is>
      </c>
      <c r="H1256" t="inlineStr">
        <is>
          <t>07:15</t>
        </is>
      </c>
      <c r="I1256" t="inlineStr">
        <is>
          <t>AREAS_MULTIPLES</t>
        </is>
      </c>
      <c r="J1256" t="inlineStr">
        <is>
          <t>0502</t>
        </is>
      </c>
      <c r="K1256" t="inlineStr">
        <is>
          <t>ÁREAS MÚLTIPLES</t>
        </is>
      </c>
      <c r="L1256" t="inlineStr"/>
      <c r="M1256" t="inlineStr"/>
      <c r="N1256" t="inlineStr"/>
      <c r="O1256" t="inlineStr">
        <is>
          <t>Maestro de aula: todas las áreas con su grupo</t>
        </is>
      </c>
      <c r="P1256" t="inlineStr"/>
      <c r="Q1256">
        <f>IF(I1256="ENFASIS","ÉNFASIS "&amp;M1256,IFERROR(VLOOKUP(J1256,Grupos!$A$2:$D$100,4,FALSE),J1256))</f>
        <v/>
      </c>
      <c r="R1256">
        <f>O1256&amp;IF(N1256&lt;&gt;"",IF(O1256&lt;&gt;""," · ","")&amp;"Con: "&amp;N1256,"")</f>
        <v/>
      </c>
      <c r="S1256">
        <f>C1256&amp;"|"&amp;D1256</f>
        <v/>
      </c>
      <c r="T1256">
        <f>COUNTIF($S$2:S1256,S1256)</f>
        <v/>
      </c>
      <c r="U1256">
        <f>S1256&amp;"|"&amp;T1256</f>
        <v/>
      </c>
      <c r="V1256">
        <f>IFERROR(VLOOKUP(IF(I1256="ENFASIS",LEFT(M1256,FIND("+",M1256&amp;"+")-1),J1256),Direccion_Grupo!$A$2:$G$100,7,FALSE),"")</f>
        <v/>
      </c>
    </row>
    <row r="1257">
      <c r="A1257" t="n">
        <v>32</v>
      </c>
      <c r="B1257" t="inlineStr">
        <is>
          <t>Narváez Sánchez Dora Alejandra</t>
        </is>
      </c>
      <c r="C1257" t="inlineStr">
        <is>
          <t>VIERNES</t>
        </is>
      </c>
      <c r="D1257" t="n">
        <v>1</v>
      </c>
      <c r="E1257" t="n">
        <v>1</v>
      </c>
      <c r="F1257" t="n">
        <v>1</v>
      </c>
      <c r="G1257" t="inlineStr">
        <is>
          <t>06:30</t>
        </is>
      </c>
      <c r="H1257" t="inlineStr">
        <is>
          <t>07:15</t>
        </is>
      </c>
      <c r="I1257" t="inlineStr">
        <is>
          <t>AREAS_MULTIPLES</t>
        </is>
      </c>
      <c r="J1257" t="inlineStr">
        <is>
          <t>0503</t>
        </is>
      </c>
      <c r="K1257" t="inlineStr">
        <is>
          <t>ÁREAS MÚLTIPLES</t>
        </is>
      </c>
      <c r="L1257" t="inlineStr"/>
      <c r="M1257" t="inlineStr"/>
      <c r="N1257" t="inlineStr"/>
      <c r="O1257" t="inlineStr">
        <is>
          <t>Maestro de aula: todas las áreas con su grupo</t>
        </is>
      </c>
      <c r="P1257" t="inlineStr"/>
      <c r="Q1257">
        <f>IF(I1257="ENFASIS","ÉNFASIS "&amp;M1257,IFERROR(VLOOKUP(J1257,Grupos!$A$2:$D$100,4,FALSE),J1257))</f>
        <v/>
      </c>
      <c r="R1257">
        <f>O1257&amp;IF(N1257&lt;&gt;"",IF(O1257&lt;&gt;""," · ","")&amp;"Con: "&amp;N1257,"")</f>
        <v/>
      </c>
      <c r="S1257">
        <f>C1257&amp;"|"&amp;D1257</f>
        <v/>
      </c>
      <c r="T1257">
        <f>COUNTIF($S$2:S1257,S1257)</f>
        <v/>
      </c>
      <c r="U1257">
        <f>S1257&amp;"|"&amp;T1257</f>
        <v/>
      </c>
      <c r="V1257">
        <f>IFERROR(VLOOKUP(IF(I1257="ENFASIS",LEFT(M1257,FIND("+",M1257&amp;"+")-1),J1257),Direccion_Grupo!$A$2:$G$100,7,FALSE),"")</f>
        <v/>
      </c>
    </row>
    <row r="1258">
      <c r="A1258" t="n">
        <v>17</v>
      </c>
      <c r="B1258" t="inlineStr">
        <is>
          <t>Escobar Cortés Liliana</t>
        </is>
      </c>
      <c r="C1258" t="inlineStr">
        <is>
          <t>VIERNES</t>
        </is>
      </c>
      <c r="D1258" t="n">
        <v>1</v>
      </c>
      <c r="E1258" t="n">
        <v>1</v>
      </c>
      <c r="F1258" t="n">
        <v>1</v>
      </c>
      <c r="G1258" t="inlineStr">
        <is>
          <t>06:30</t>
        </is>
      </c>
      <c r="H1258" t="inlineStr">
        <is>
          <t>07:15</t>
        </is>
      </c>
      <c r="I1258" t="inlineStr">
        <is>
          <t>AREAS_MULTIPLES</t>
        </is>
      </c>
      <c r="J1258" t="inlineStr">
        <is>
          <t>0504</t>
        </is>
      </c>
      <c r="K1258" t="inlineStr">
        <is>
          <t>ÁREAS MÚLTIPLES</t>
        </is>
      </c>
      <c r="L1258" t="inlineStr"/>
      <c r="M1258" t="inlineStr"/>
      <c r="N1258" t="inlineStr"/>
      <c r="O1258" t="inlineStr">
        <is>
          <t>Maestro de aula: todas las áreas con su grupo</t>
        </is>
      </c>
      <c r="P1258" t="inlineStr"/>
      <c r="Q1258">
        <f>IF(I1258="ENFASIS","ÉNFASIS "&amp;M1258,IFERROR(VLOOKUP(J1258,Grupos!$A$2:$D$100,4,FALSE),J1258))</f>
        <v/>
      </c>
      <c r="R1258">
        <f>O1258&amp;IF(N1258&lt;&gt;"",IF(O1258&lt;&gt;""," · ","")&amp;"Con: "&amp;N1258,"")</f>
        <v/>
      </c>
      <c r="S1258">
        <f>C1258&amp;"|"&amp;D1258</f>
        <v/>
      </c>
      <c r="T1258">
        <f>COUNTIF($S$2:S1258,S1258)</f>
        <v/>
      </c>
      <c r="U1258">
        <f>S1258&amp;"|"&amp;T1258</f>
        <v/>
      </c>
      <c r="V1258">
        <f>IFERROR(VLOOKUP(IF(I1258="ENFASIS",LEFT(M1258,FIND("+",M1258&amp;"+")-1),J1258),Direccion_Grupo!$A$2:$G$100,7,FALSE),"")</f>
        <v/>
      </c>
    </row>
    <row r="1259">
      <c r="A1259" t="n">
        <v>37</v>
      </c>
      <c r="B1259" t="inlineStr">
        <is>
          <t>Prado Quiñones Genís Maribel</t>
        </is>
      </c>
      <c r="C1259" t="inlineStr">
        <is>
          <t>VIERNES</t>
        </is>
      </c>
      <c r="D1259" t="n">
        <v>1</v>
      </c>
      <c r="E1259" t="n">
        <v>1</v>
      </c>
      <c r="F1259" t="n">
        <v>1</v>
      </c>
      <c r="G1259" t="inlineStr">
        <is>
          <t>06:30</t>
        </is>
      </c>
      <c r="H1259" t="inlineStr">
        <is>
          <t>07:15</t>
        </is>
      </c>
      <c r="I1259" t="inlineStr">
        <is>
          <t>CLASE</t>
        </is>
      </c>
      <c r="J1259" t="inlineStr">
        <is>
          <t>0601</t>
        </is>
      </c>
      <c r="K1259" t="inlineStr">
        <is>
          <t>CNA</t>
        </is>
      </c>
      <c r="L1259" t="inlineStr"/>
      <c r="M1259" t="inlineStr"/>
      <c r="N1259" t="inlineStr"/>
      <c r="O1259" t="inlineStr"/>
      <c r="P1259" t="inlineStr">
        <is>
          <t>0601-CNA</t>
        </is>
      </c>
      <c r="Q1259">
        <f>IF(I1259="ENFASIS","ÉNFASIS "&amp;M1259,IFERROR(VLOOKUP(J1259,Grupos!$A$2:$D$100,4,FALSE),J1259))</f>
        <v/>
      </c>
      <c r="R1259">
        <f>O1259&amp;IF(N1259&lt;&gt;"",IF(O1259&lt;&gt;""," · ","")&amp;"Con: "&amp;N1259,"")</f>
        <v/>
      </c>
      <c r="S1259">
        <f>C1259&amp;"|"&amp;D1259</f>
        <v/>
      </c>
      <c r="T1259">
        <f>COUNTIF($S$2:S1259,S1259)</f>
        <v/>
      </c>
      <c r="U1259">
        <f>S1259&amp;"|"&amp;T1259</f>
        <v/>
      </c>
      <c r="V1259">
        <f>IFERROR(VLOOKUP(IF(I1259="ENFASIS",LEFT(M1259,FIND("+",M1259&amp;"+")-1),J1259),Direccion_Grupo!$A$2:$G$100,7,FALSE),"")</f>
        <v/>
      </c>
    </row>
    <row r="1260">
      <c r="A1260" t="n">
        <v>42</v>
      </c>
      <c r="B1260" t="inlineStr">
        <is>
          <t>Quiñones Cabezas Marcos Vidal</t>
        </is>
      </c>
      <c r="C1260" t="inlineStr">
        <is>
          <t>VIERNES</t>
        </is>
      </c>
      <c r="D1260" t="n">
        <v>1</v>
      </c>
      <c r="E1260" t="n">
        <v>1</v>
      </c>
      <c r="F1260" t="n">
        <v>1</v>
      </c>
      <c r="G1260" t="inlineStr">
        <is>
          <t>06:30</t>
        </is>
      </c>
      <c r="H1260" t="inlineStr">
        <is>
          <t>07:15</t>
        </is>
      </c>
      <c r="I1260" t="inlineStr">
        <is>
          <t>CLASE</t>
        </is>
      </c>
      <c r="J1260" t="inlineStr">
        <is>
          <t>0602</t>
        </is>
      </c>
      <c r="K1260" t="inlineStr">
        <is>
          <t>MAT</t>
        </is>
      </c>
      <c r="L1260" t="inlineStr"/>
      <c r="M1260" t="inlineStr"/>
      <c r="N1260" t="inlineStr"/>
      <c r="O1260" t="inlineStr"/>
      <c r="P1260" t="inlineStr">
        <is>
          <t>0602-MAT</t>
        </is>
      </c>
      <c r="Q1260">
        <f>IF(I1260="ENFASIS","ÉNFASIS "&amp;M1260,IFERROR(VLOOKUP(J1260,Grupos!$A$2:$D$100,4,FALSE),J1260))</f>
        <v/>
      </c>
      <c r="R1260">
        <f>O1260&amp;IF(N1260&lt;&gt;"",IF(O1260&lt;&gt;""," · ","")&amp;"Con: "&amp;N1260,"")</f>
        <v/>
      </c>
      <c r="S1260">
        <f>C1260&amp;"|"&amp;D1260</f>
        <v/>
      </c>
      <c r="T1260">
        <f>COUNTIF($S$2:S1260,S1260)</f>
        <v/>
      </c>
      <c r="U1260">
        <f>S1260&amp;"|"&amp;T1260</f>
        <v/>
      </c>
      <c r="V1260">
        <f>IFERROR(VLOOKUP(IF(I1260="ENFASIS",LEFT(M1260,FIND("+",M1260&amp;"+")-1),J1260),Direccion_Grupo!$A$2:$G$100,7,FALSE),"")</f>
        <v/>
      </c>
    </row>
    <row r="1261">
      <c r="A1261" t="n">
        <v>4</v>
      </c>
      <c r="B1261" t="inlineStr">
        <is>
          <t>Arizala Castro Roberto Carlos</t>
        </is>
      </c>
      <c r="C1261" t="inlineStr">
        <is>
          <t>VIERNES</t>
        </is>
      </c>
      <c r="D1261" t="n">
        <v>1</v>
      </c>
      <c r="E1261" t="n">
        <v>1</v>
      </c>
      <c r="F1261" t="n">
        <v>1</v>
      </c>
      <c r="G1261" t="inlineStr">
        <is>
          <t>06:30</t>
        </is>
      </c>
      <c r="H1261" t="inlineStr">
        <is>
          <t>07:15</t>
        </is>
      </c>
      <c r="I1261" t="inlineStr">
        <is>
          <t>CLASE</t>
        </is>
      </c>
      <c r="J1261" t="inlineStr">
        <is>
          <t>0701</t>
        </is>
      </c>
      <c r="K1261" t="inlineStr">
        <is>
          <t>ERD</t>
        </is>
      </c>
      <c r="L1261" t="inlineStr"/>
      <c r="M1261" t="inlineStr"/>
      <c r="N1261" t="inlineStr"/>
      <c r="O1261" t="inlineStr"/>
      <c r="P1261" t="inlineStr">
        <is>
          <t>0701-ERD</t>
        </is>
      </c>
      <c r="Q1261">
        <f>IF(I1261="ENFASIS","ÉNFASIS "&amp;M1261,IFERROR(VLOOKUP(J1261,Grupos!$A$2:$D$100,4,FALSE),J1261))</f>
        <v/>
      </c>
      <c r="R1261">
        <f>O1261&amp;IF(N1261&lt;&gt;"",IF(O1261&lt;&gt;""," · ","")&amp;"Con: "&amp;N1261,"")</f>
        <v/>
      </c>
      <c r="S1261">
        <f>C1261&amp;"|"&amp;D1261</f>
        <v/>
      </c>
      <c r="T1261">
        <f>COUNTIF($S$2:S1261,S1261)</f>
        <v/>
      </c>
      <c r="U1261">
        <f>S1261&amp;"|"&amp;T1261</f>
        <v/>
      </c>
      <c r="V1261">
        <f>IFERROR(VLOOKUP(IF(I1261="ENFASIS",LEFT(M1261,FIND("+",M1261&amp;"+")-1),J1261),Direccion_Grupo!$A$2:$G$100,7,FALSE),"")</f>
        <v/>
      </c>
    </row>
    <row r="1262">
      <c r="A1262" t="n">
        <v>39</v>
      </c>
      <c r="B1262" t="inlineStr">
        <is>
          <t>Puches Ana Milena</t>
        </is>
      </c>
      <c r="C1262" t="inlineStr">
        <is>
          <t>VIERNES</t>
        </is>
      </c>
      <c r="D1262" t="n">
        <v>1</v>
      </c>
      <c r="E1262" t="n">
        <v>1</v>
      </c>
      <c r="F1262" t="n">
        <v>1</v>
      </c>
      <c r="G1262" t="inlineStr">
        <is>
          <t>06:30</t>
        </is>
      </c>
      <c r="H1262" t="inlineStr">
        <is>
          <t>07:15</t>
        </is>
      </c>
      <c r="I1262" t="inlineStr">
        <is>
          <t>CLASE</t>
        </is>
      </c>
      <c r="J1262" t="inlineStr">
        <is>
          <t>0702</t>
        </is>
      </c>
      <c r="K1262" t="inlineStr">
        <is>
          <t>ART</t>
        </is>
      </c>
      <c r="L1262" t="inlineStr"/>
      <c r="M1262" t="inlineStr"/>
      <c r="N1262" t="inlineStr"/>
      <c r="O1262" t="inlineStr"/>
      <c r="P1262" t="inlineStr">
        <is>
          <t>0702-ART</t>
        </is>
      </c>
      <c r="Q1262">
        <f>IF(I1262="ENFASIS","ÉNFASIS "&amp;M1262,IFERROR(VLOOKUP(J1262,Grupos!$A$2:$D$100,4,FALSE),J1262))</f>
        <v/>
      </c>
      <c r="R1262">
        <f>O1262&amp;IF(N1262&lt;&gt;"",IF(O1262&lt;&gt;""," · ","")&amp;"Con: "&amp;N1262,"")</f>
        <v/>
      </c>
      <c r="S1262">
        <f>C1262&amp;"|"&amp;D1262</f>
        <v/>
      </c>
      <c r="T1262">
        <f>COUNTIF($S$2:S1262,S1262)</f>
        <v/>
      </c>
      <c r="U1262">
        <f>S1262&amp;"|"&amp;T1262</f>
        <v/>
      </c>
      <c r="V1262">
        <f>IFERROR(VLOOKUP(IF(I1262="ENFASIS",LEFT(M1262,FIND("+",M1262&amp;"+")-1),J1262),Direccion_Grupo!$A$2:$G$100,7,FALSE),"")</f>
        <v/>
      </c>
    </row>
    <row r="1263">
      <c r="A1263" t="n">
        <v>10</v>
      </c>
      <c r="B1263" t="inlineStr">
        <is>
          <t>Castillo Cuero Daira Eneida</t>
        </is>
      </c>
      <c r="C1263" t="inlineStr">
        <is>
          <t>VIERNES</t>
        </is>
      </c>
      <c r="D1263" t="n">
        <v>1</v>
      </c>
      <c r="E1263" t="n">
        <v>1</v>
      </c>
      <c r="F1263" t="n">
        <v>1</v>
      </c>
      <c r="G1263" t="inlineStr">
        <is>
          <t>06:30</t>
        </is>
      </c>
      <c r="H1263" t="inlineStr">
        <is>
          <t>07:15</t>
        </is>
      </c>
      <c r="I1263" t="inlineStr">
        <is>
          <t>CLASE</t>
        </is>
      </c>
      <c r="J1263" t="inlineStr">
        <is>
          <t>0703</t>
        </is>
      </c>
      <c r="K1263" t="inlineStr">
        <is>
          <t>CAS</t>
        </is>
      </c>
      <c r="L1263" t="inlineStr"/>
      <c r="M1263" t="inlineStr"/>
      <c r="N1263" t="inlineStr"/>
      <c r="O1263" t="inlineStr"/>
      <c r="P1263" t="inlineStr">
        <is>
          <t>0703-CAS</t>
        </is>
      </c>
      <c r="Q1263">
        <f>IF(I1263="ENFASIS","ÉNFASIS "&amp;M1263,IFERROR(VLOOKUP(J1263,Grupos!$A$2:$D$100,4,FALSE),J1263))</f>
        <v/>
      </c>
      <c r="R1263">
        <f>O1263&amp;IF(N1263&lt;&gt;"",IF(O1263&lt;&gt;""," · ","")&amp;"Con: "&amp;N1263,"")</f>
        <v/>
      </c>
      <c r="S1263">
        <f>C1263&amp;"|"&amp;D1263</f>
        <v/>
      </c>
      <c r="T1263">
        <f>COUNTIF($S$2:S1263,S1263)</f>
        <v/>
      </c>
      <c r="U1263">
        <f>S1263&amp;"|"&amp;T1263</f>
        <v/>
      </c>
      <c r="V1263">
        <f>IFERROR(VLOOKUP(IF(I1263="ENFASIS",LEFT(M1263,FIND("+",M1263&amp;"+")-1),J1263),Direccion_Grupo!$A$2:$G$100,7,FALSE),"")</f>
        <v/>
      </c>
    </row>
    <row r="1264">
      <c r="A1264" t="n">
        <v>34</v>
      </c>
      <c r="B1264" t="inlineStr">
        <is>
          <t>Ordóñez Tenorio Jaime Marcial</t>
        </is>
      </c>
      <c r="C1264" t="inlineStr">
        <is>
          <t>VIERNES</t>
        </is>
      </c>
      <c r="D1264" t="n">
        <v>1</v>
      </c>
      <c r="E1264" t="n">
        <v>1</v>
      </c>
      <c r="F1264" t="n">
        <v>1</v>
      </c>
      <c r="G1264" t="inlineStr">
        <is>
          <t>06:30</t>
        </is>
      </c>
      <c r="H1264" t="inlineStr">
        <is>
          <t>07:15</t>
        </is>
      </c>
      <c r="I1264" t="inlineStr">
        <is>
          <t>CLASE</t>
        </is>
      </c>
      <c r="J1264" t="inlineStr">
        <is>
          <t>0704</t>
        </is>
      </c>
      <c r="K1264" t="inlineStr">
        <is>
          <t>CNA</t>
        </is>
      </c>
      <c r="L1264" t="inlineStr"/>
      <c r="M1264" t="inlineStr"/>
      <c r="N1264" t="inlineStr"/>
      <c r="O1264" t="inlineStr"/>
      <c r="P1264" t="inlineStr">
        <is>
          <t>0704-CNA</t>
        </is>
      </c>
      <c r="Q1264">
        <f>IF(I1264="ENFASIS","ÉNFASIS "&amp;M1264,IFERROR(VLOOKUP(J1264,Grupos!$A$2:$D$100,4,FALSE),J1264))</f>
        <v/>
      </c>
      <c r="R1264">
        <f>O1264&amp;IF(N1264&lt;&gt;"",IF(O1264&lt;&gt;""," · ","")&amp;"Con: "&amp;N1264,"")</f>
        <v/>
      </c>
      <c r="S1264">
        <f>C1264&amp;"|"&amp;D1264</f>
        <v/>
      </c>
      <c r="T1264">
        <f>COUNTIF($S$2:S1264,S1264)</f>
        <v/>
      </c>
      <c r="U1264">
        <f>S1264&amp;"|"&amp;T1264</f>
        <v/>
      </c>
      <c r="V1264">
        <f>IFERROR(VLOOKUP(IF(I1264="ENFASIS",LEFT(M1264,FIND("+",M1264&amp;"+")-1),J1264),Direccion_Grupo!$A$2:$G$100,7,FALSE),"")</f>
        <v/>
      </c>
    </row>
    <row r="1265">
      <c r="A1265" t="n">
        <v>35</v>
      </c>
      <c r="B1265" t="inlineStr">
        <is>
          <t>Ortiz Araujo Adiela Carlota</t>
        </is>
      </c>
      <c r="C1265" t="inlineStr">
        <is>
          <t>VIERNES</t>
        </is>
      </c>
      <c r="D1265" t="n">
        <v>1</v>
      </c>
      <c r="E1265" t="n">
        <v>1</v>
      </c>
      <c r="F1265" t="n">
        <v>1</v>
      </c>
      <c r="G1265" t="inlineStr">
        <is>
          <t>06:30</t>
        </is>
      </c>
      <c r="H1265" t="inlineStr">
        <is>
          <t>07:15</t>
        </is>
      </c>
      <c r="I1265" t="inlineStr">
        <is>
          <t>CLASE</t>
        </is>
      </c>
      <c r="J1265" t="inlineStr">
        <is>
          <t>0801</t>
        </is>
      </c>
      <c r="K1265" t="inlineStr">
        <is>
          <t>CSI</t>
        </is>
      </c>
      <c r="L1265" t="inlineStr"/>
      <c r="M1265" t="inlineStr"/>
      <c r="N1265" t="inlineStr"/>
      <c r="O1265" t="inlineStr">
        <is>
          <t>Sociales / Inglés (alternan cada semana)</t>
        </is>
      </c>
      <c r="P1265" t="inlineStr">
        <is>
          <t>0801-CSI</t>
        </is>
      </c>
      <c r="Q1265">
        <f>IF(I1265="ENFASIS","ÉNFASIS "&amp;M1265,IFERROR(VLOOKUP(J1265,Grupos!$A$2:$D$100,4,FALSE),J1265))</f>
        <v/>
      </c>
      <c r="R1265">
        <f>O1265&amp;IF(N1265&lt;&gt;"",IF(O1265&lt;&gt;""," · ","")&amp;"Con: "&amp;N1265,"")</f>
        <v/>
      </c>
      <c r="S1265">
        <f>C1265&amp;"|"&amp;D1265</f>
        <v/>
      </c>
      <c r="T1265">
        <f>COUNTIF($S$2:S1265,S1265)</f>
        <v/>
      </c>
      <c r="U1265">
        <f>S1265&amp;"|"&amp;T1265</f>
        <v/>
      </c>
      <c r="V1265">
        <f>IFERROR(VLOOKUP(IF(I1265="ENFASIS",LEFT(M1265,FIND("+",M1265&amp;"+")-1),J1265),Direccion_Grupo!$A$2:$G$100,7,FALSE),"")</f>
        <v/>
      </c>
    </row>
    <row r="1266">
      <c r="A1266" t="n">
        <v>19</v>
      </c>
      <c r="B1266" t="inlineStr">
        <is>
          <t>Fernández Vélez Alfredo Enrique</t>
        </is>
      </c>
      <c r="C1266" t="inlineStr">
        <is>
          <t>VIERNES</t>
        </is>
      </c>
      <c r="D1266" t="n">
        <v>1</v>
      </c>
      <c r="E1266" t="n">
        <v>1</v>
      </c>
      <c r="F1266" t="n">
        <v>1</v>
      </c>
      <c r="G1266" t="inlineStr">
        <is>
          <t>06:30</t>
        </is>
      </c>
      <c r="H1266" t="inlineStr">
        <is>
          <t>07:15</t>
        </is>
      </c>
      <c r="I1266" t="inlineStr">
        <is>
          <t>CLASE</t>
        </is>
      </c>
      <c r="J1266" t="inlineStr">
        <is>
          <t>0802</t>
        </is>
      </c>
      <c r="K1266" t="inlineStr">
        <is>
          <t>TEI</t>
        </is>
      </c>
      <c r="L1266" t="inlineStr"/>
      <c r="M1266" t="inlineStr"/>
      <c r="N1266" t="inlineStr"/>
      <c r="O1266" t="inlineStr"/>
      <c r="P1266" t="inlineStr">
        <is>
          <t>0802-TEI</t>
        </is>
      </c>
      <c r="Q1266">
        <f>IF(I1266="ENFASIS","ÉNFASIS "&amp;M1266,IFERROR(VLOOKUP(J1266,Grupos!$A$2:$D$100,4,FALSE),J1266))</f>
        <v/>
      </c>
      <c r="R1266">
        <f>O1266&amp;IF(N1266&lt;&gt;"",IF(O1266&lt;&gt;""," · ","")&amp;"Con: "&amp;N1266,"")</f>
        <v/>
      </c>
      <c r="S1266">
        <f>C1266&amp;"|"&amp;D1266</f>
        <v/>
      </c>
      <c r="T1266">
        <f>COUNTIF($S$2:S1266,S1266)</f>
        <v/>
      </c>
      <c r="U1266">
        <f>S1266&amp;"|"&amp;T1266</f>
        <v/>
      </c>
      <c r="V1266">
        <f>IFERROR(VLOOKUP(IF(I1266="ENFASIS",LEFT(M1266,FIND("+",M1266&amp;"+")-1),J1266),Direccion_Grupo!$A$2:$G$100,7,FALSE),"")</f>
        <v/>
      </c>
    </row>
    <row r="1267">
      <c r="A1267" t="n">
        <v>29</v>
      </c>
      <c r="B1267" t="inlineStr">
        <is>
          <t>Mindineros Satizábal John Jáver</t>
        </is>
      </c>
      <c r="C1267" t="inlineStr">
        <is>
          <t>VIERNES</t>
        </is>
      </c>
      <c r="D1267" t="n">
        <v>1</v>
      </c>
      <c r="E1267" t="n">
        <v>1</v>
      </c>
      <c r="F1267" t="n">
        <v>1</v>
      </c>
      <c r="G1267" t="inlineStr">
        <is>
          <t>06:30</t>
        </is>
      </c>
      <c r="H1267" t="inlineStr">
        <is>
          <t>07:15</t>
        </is>
      </c>
      <c r="I1267" t="inlineStr">
        <is>
          <t>CLASE</t>
        </is>
      </c>
      <c r="J1267" t="inlineStr">
        <is>
          <t>0901</t>
        </is>
      </c>
      <c r="K1267" t="inlineStr">
        <is>
          <t>TEI</t>
        </is>
      </c>
      <c r="L1267" t="inlineStr"/>
      <c r="M1267" t="inlineStr"/>
      <c r="N1267" t="inlineStr"/>
      <c r="O1267" t="inlineStr"/>
      <c r="P1267" t="inlineStr">
        <is>
          <t>0901-TEI</t>
        </is>
      </c>
      <c r="Q1267">
        <f>IF(I1267="ENFASIS","ÉNFASIS "&amp;M1267,IFERROR(VLOOKUP(J1267,Grupos!$A$2:$D$100,4,FALSE),J1267))</f>
        <v/>
      </c>
      <c r="R1267">
        <f>O1267&amp;IF(N1267&lt;&gt;"",IF(O1267&lt;&gt;""," · ","")&amp;"Con: "&amp;N1267,"")</f>
        <v/>
      </c>
      <c r="S1267">
        <f>C1267&amp;"|"&amp;D1267</f>
        <v/>
      </c>
      <c r="T1267">
        <f>COUNTIF($S$2:S1267,S1267)</f>
        <v/>
      </c>
      <c r="U1267">
        <f>S1267&amp;"|"&amp;T1267</f>
        <v/>
      </c>
      <c r="V1267">
        <f>IFERROR(VLOOKUP(IF(I1267="ENFASIS",LEFT(M1267,FIND("+",M1267&amp;"+")-1),J1267),Direccion_Grupo!$A$2:$G$100,7,FALSE),"")</f>
        <v/>
      </c>
    </row>
    <row r="1268">
      <c r="A1268" t="n">
        <v>18</v>
      </c>
      <c r="B1268" t="inlineStr">
        <is>
          <t>Estacio Estupiñán Rosario</t>
        </is>
      </c>
      <c r="C1268" t="inlineStr">
        <is>
          <t>VIERNES</t>
        </is>
      </c>
      <c r="D1268" t="n">
        <v>1</v>
      </c>
      <c r="E1268" t="n">
        <v>1</v>
      </c>
      <c r="F1268" t="n">
        <v>1</v>
      </c>
      <c r="G1268" t="inlineStr">
        <is>
          <t>06:30</t>
        </is>
      </c>
      <c r="H1268" t="inlineStr">
        <is>
          <t>07:15</t>
        </is>
      </c>
      <c r="I1268" t="inlineStr">
        <is>
          <t>CLASE</t>
        </is>
      </c>
      <c r="J1268" t="inlineStr">
        <is>
          <t>0902</t>
        </is>
      </c>
      <c r="K1268" t="inlineStr">
        <is>
          <t>ETR</t>
        </is>
      </c>
      <c r="L1268" t="inlineStr"/>
      <c r="M1268" t="inlineStr"/>
      <c r="N1268" t="inlineStr"/>
      <c r="O1268" t="inlineStr">
        <is>
          <t>Ética / Religión (alternan cada semana)</t>
        </is>
      </c>
      <c r="P1268" t="inlineStr">
        <is>
          <t>0902-ETR</t>
        </is>
      </c>
      <c r="Q1268">
        <f>IF(I1268="ENFASIS","ÉNFASIS "&amp;M1268,IFERROR(VLOOKUP(J1268,Grupos!$A$2:$D$100,4,FALSE),J1268))</f>
        <v/>
      </c>
      <c r="R1268">
        <f>O1268&amp;IF(N1268&lt;&gt;"",IF(O1268&lt;&gt;""," · ","")&amp;"Con: "&amp;N1268,"")</f>
        <v/>
      </c>
      <c r="S1268">
        <f>C1268&amp;"|"&amp;D1268</f>
        <v/>
      </c>
      <c r="T1268">
        <f>COUNTIF($S$2:S1268,S1268)</f>
        <v/>
      </c>
      <c r="U1268">
        <f>S1268&amp;"|"&amp;T1268</f>
        <v/>
      </c>
      <c r="V1268">
        <f>IFERROR(VLOOKUP(IF(I1268="ENFASIS",LEFT(M1268,FIND("+",M1268&amp;"+")-1),J1268),Direccion_Grupo!$A$2:$G$100,7,FALSE),"")</f>
        <v/>
      </c>
    </row>
    <row r="1269">
      <c r="A1269" t="n">
        <v>6</v>
      </c>
      <c r="B1269" t="inlineStr">
        <is>
          <t>Betancourth Ocampo Yohana Patricia</t>
        </is>
      </c>
      <c r="C1269" t="inlineStr">
        <is>
          <t>VIERNES</t>
        </is>
      </c>
      <c r="D1269" t="n">
        <v>1</v>
      </c>
      <c r="E1269" t="n">
        <v>1</v>
      </c>
      <c r="F1269" t="n">
        <v>1</v>
      </c>
      <c r="G1269" t="inlineStr">
        <is>
          <t>06:30</t>
        </is>
      </c>
      <c r="H1269" t="inlineStr">
        <is>
          <t>07:15</t>
        </is>
      </c>
      <c r="I1269" t="inlineStr">
        <is>
          <t>CLASE</t>
        </is>
      </c>
      <c r="J1269" t="inlineStr">
        <is>
          <t>1001</t>
        </is>
      </c>
      <c r="K1269" t="inlineStr">
        <is>
          <t>CSI</t>
        </is>
      </c>
      <c r="L1269" t="inlineStr"/>
      <c r="M1269" t="inlineStr"/>
      <c r="N1269" t="inlineStr"/>
      <c r="O1269" t="inlineStr">
        <is>
          <t>Sociales / Inglés (alternan cada semana)</t>
        </is>
      </c>
      <c r="P1269" t="inlineStr">
        <is>
          <t>1001-CSI</t>
        </is>
      </c>
      <c r="Q1269">
        <f>IF(I1269="ENFASIS","ÉNFASIS "&amp;M1269,IFERROR(VLOOKUP(J1269,Grupos!$A$2:$D$100,4,FALSE),J1269))</f>
        <v/>
      </c>
      <c r="R1269">
        <f>O1269&amp;IF(N1269&lt;&gt;"",IF(O1269&lt;&gt;""," · ","")&amp;"Con: "&amp;N1269,"")</f>
        <v/>
      </c>
      <c r="S1269">
        <f>C1269&amp;"|"&amp;D1269</f>
        <v/>
      </c>
      <c r="T1269">
        <f>COUNTIF($S$2:S1269,S1269)</f>
        <v/>
      </c>
      <c r="U1269">
        <f>S1269&amp;"|"&amp;T1269</f>
        <v/>
      </c>
      <c r="V1269">
        <f>IFERROR(VLOOKUP(IF(I1269="ENFASIS",LEFT(M1269,FIND("+",M1269&amp;"+")-1),J1269),Direccion_Grupo!$A$2:$G$100,7,FALSE),"")</f>
        <v/>
      </c>
    </row>
    <row r="1270">
      <c r="A1270" t="n">
        <v>3</v>
      </c>
      <c r="B1270" t="inlineStr">
        <is>
          <t>Arboleda Ortiz Luz América</t>
        </is>
      </c>
      <c r="C1270" t="inlineStr">
        <is>
          <t>VIERNES</t>
        </is>
      </c>
      <c r="D1270" t="n">
        <v>1</v>
      </c>
      <c r="E1270" t="n">
        <v>1</v>
      </c>
      <c r="F1270" t="n">
        <v>1</v>
      </c>
      <c r="G1270" t="inlineStr">
        <is>
          <t>06:30</t>
        </is>
      </c>
      <c r="H1270" t="inlineStr">
        <is>
          <t>07:15</t>
        </is>
      </c>
      <c r="I1270" t="inlineStr">
        <is>
          <t>CLASE</t>
        </is>
      </c>
      <c r="J1270" t="inlineStr">
        <is>
          <t>1002</t>
        </is>
      </c>
      <c r="K1270" t="inlineStr">
        <is>
          <t>ART</t>
        </is>
      </c>
      <c r="L1270" t="inlineStr"/>
      <c r="M1270" t="inlineStr"/>
      <c r="N1270" t="inlineStr"/>
      <c r="O1270" t="inlineStr"/>
      <c r="P1270" t="inlineStr">
        <is>
          <t>1002-ART</t>
        </is>
      </c>
      <c r="Q1270">
        <f>IF(I1270="ENFASIS","ÉNFASIS "&amp;M1270,IFERROR(VLOOKUP(J1270,Grupos!$A$2:$D$100,4,FALSE),J1270))</f>
        <v/>
      </c>
      <c r="R1270">
        <f>O1270&amp;IF(N1270&lt;&gt;"",IF(O1270&lt;&gt;""," · ","")&amp;"Con: "&amp;N1270,"")</f>
        <v/>
      </c>
      <c r="S1270">
        <f>C1270&amp;"|"&amp;D1270</f>
        <v/>
      </c>
      <c r="T1270">
        <f>COUNTIF($S$2:S1270,S1270)</f>
        <v/>
      </c>
      <c r="U1270">
        <f>S1270&amp;"|"&amp;T1270</f>
        <v/>
      </c>
      <c r="V1270">
        <f>IFERROR(VLOOKUP(IF(I1270="ENFASIS",LEFT(M1270,FIND("+",M1270&amp;"+")-1),J1270),Direccion_Grupo!$A$2:$G$100,7,FALSE),"")</f>
        <v/>
      </c>
    </row>
    <row r="1271">
      <c r="A1271" t="n">
        <v>43</v>
      </c>
      <c r="B1271" t="inlineStr">
        <is>
          <t>Ramírez Guerra Jimmy Eduardo</t>
        </is>
      </c>
      <c r="C1271" t="inlineStr">
        <is>
          <t>VIERNES</t>
        </is>
      </c>
      <c r="D1271" t="n">
        <v>1</v>
      </c>
      <c r="E1271" t="n">
        <v>1</v>
      </c>
      <c r="F1271" t="n">
        <v>1</v>
      </c>
      <c r="G1271" t="inlineStr">
        <is>
          <t>06:30</t>
        </is>
      </c>
      <c r="H1271" t="inlineStr">
        <is>
          <t>07:15</t>
        </is>
      </c>
      <c r="I1271" t="inlineStr">
        <is>
          <t>CLASE</t>
        </is>
      </c>
      <c r="J1271" t="inlineStr">
        <is>
          <t>1101</t>
        </is>
      </c>
      <c r="K1271" t="inlineStr">
        <is>
          <t>ERD</t>
        </is>
      </c>
      <c r="L1271" t="inlineStr"/>
      <c r="M1271" t="inlineStr"/>
      <c r="N1271" t="inlineStr"/>
      <c r="O1271" t="inlineStr"/>
      <c r="P1271" t="inlineStr">
        <is>
          <t>1101-ERD</t>
        </is>
      </c>
      <c r="Q1271">
        <f>IF(I1271="ENFASIS","ÉNFASIS "&amp;M1271,IFERROR(VLOOKUP(J1271,Grupos!$A$2:$D$100,4,FALSE),J1271))</f>
        <v/>
      </c>
      <c r="R1271">
        <f>O1271&amp;IF(N1271&lt;&gt;"",IF(O1271&lt;&gt;""," · ","")&amp;"Con: "&amp;N1271,"")</f>
        <v/>
      </c>
      <c r="S1271">
        <f>C1271&amp;"|"&amp;D1271</f>
        <v/>
      </c>
      <c r="T1271">
        <f>COUNTIF($S$2:S1271,S1271)</f>
        <v/>
      </c>
      <c r="U1271">
        <f>S1271&amp;"|"&amp;T1271</f>
        <v/>
      </c>
      <c r="V1271">
        <f>IFERROR(VLOOKUP(IF(I1271="ENFASIS",LEFT(M1271,FIND("+",M1271&amp;"+")-1),J1271),Direccion_Grupo!$A$2:$G$100,7,FALSE),"")</f>
        <v/>
      </c>
    </row>
    <row r="1272">
      <c r="A1272" t="n">
        <v>15</v>
      </c>
      <c r="B1272" t="inlineStr">
        <is>
          <t>Cuero Bamba Berte Levi</t>
        </is>
      </c>
      <c r="C1272" t="inlineStr">
        <is>
          <t>VIERNES</t>
        </is>
      </c>
      <c r="D1272" t="n">
        <v>1</v>
      </c>
      <c r="E1272" t="n">
        <v>1</v>
      </c>
      <c r="F1272" t="n">
        <v>1</v>
      </c>
      <c r="G1272" t="inlineStr">
        <is>
          <t>06:30</t>
        </is>
      </c>
      <c r="H1272" t="inlineStr">
        <is>
          <t>07:15</t>
        </is>
      </c>
      <c r="I1272" t="inlineStr">
        <is>
          <t>CLASE</t>
        </is>
      </c>
      <c r="J1272" t="inlineStr">
        <is>
          <t>CS202</t>
        </is>
      </c>
      <c r="K1272" t="inlineStr">
        <is>
          <t>ERD</t>
        </is>
      </c>
      <c r="L1272" t="inlineStr"/>
      <c r="M1272" t="inlineStr"/>
      <c r="N1272" t="inlineStr"/>
      <c r="O1272" t="inlineStr"/>
      <c r="P1272" t="inlineStr">
        <is>
          <t>CS202-ERD</t>
        </is>
      </c>
      <c r="Q1272">
        <f>IF(I1272="ENFASIS","ÉNFASIS "&amp;M1272,IFERROR(VLOOKUP(J1272,Grupos!$A$2:$D$100,4,FALSE),J1272))</f>
        <v/>
      </c>
      <c r="R1272">
        <f>O1272&amp;IF(N1272&lt;&gt;"",IF(O1272&lt;&gt;""," · ","")&amp;"Con: "&amp;N1272,"")</f>
        <v/>
      </c>
      <c r="S1272">
        <f>C1272&amp;"|"&amp;D1272</f>
        <v/>
      </c>
      <c r="T1272">
        <f>COUNTIF($S$2:S1272,S1272)</f>
        <v/>
      </c>
      <c r="U1272">
        <f>S1272&amp;"|"&amp;T1272</f>
        <v/>
      </c>
      <c r="V1272">
        <f>IFERROR(VLOOKUP(IF(I1272="ENFASIS",LEFT(M1272,FIND("+",M1272&amp;"+")-1),J1272),Direccion_Grupo!$A$2:$G$100,7,FALSE),"")</f>
        <v/>
      </c>
    </row>
    <row r="1273">
      <c r="A1273" t="n">
        <v>56</v>
      </c>
      <c r="B1273" t="inlineStr">
        <is>
          <t>Ortiz Estacio Martha Cecilia</t>
        </is>
      </c>
      <c r="C1273" t="inlineStr">
        <is>
          <t>VIERNES</t>
        </is>
      </c>
      <c r="D1273" t="n">
        <v>1</v>
      </c>
      <c r="E1273" t="n">
        <v>1</v>
      </c>
      <c r="F1273" t="n">
        <v>1</v>
      </c>
      <c r="G1273" t="inlineStr">
        <is>
          <t>06:30</t>
        </is>
      </c>
      <c r="H1273" t="inlineStr">
        <is>
          <t>07:15</t>
        </is>
      </c>
      <c r="I1273" t="inlineStr">
        <is>
          <t>TUTORIA</t>
        </is>
      </c>
      <c r="J1273" t="inlineStr">
        <is>
          <t>PTAFI</t>
        </is>
      </c>
      <c r="K1273" t="inlineStr">
        <is>
          <t>TUTORÍA PTAFI</t>
        </is>
      </c>
      <c r="L1273" t="inlineStr"/>
      <c r="M1273" t="inlineStr"/>
      <c r="N1273" t="inlineStr"/>
      <c r="O1273" t="inlineStr">
        <is>
          <t>Jornada 06:30 a 12:00</t>
        </is>
      </c>
      <c r="P1273" t="inlineStr"/>
      <c r="Q1273">
        <f>IF(I1273="ENFASIS","ÉNFASIS "&amp;M1273,IFERROR(VLOOKUP(J1273,Grupos!$A$2:$D$100,4,FALSE),J1273))</f>
        <v/>
      </c>
      <c r="R1273">
        <f>O1273&amp;IF(N1273&lt;&gt;"",IF(O1273&lt;&gt;""," · ","")&amp;"Con: "&amp;N1273,"")</f>
        <v/>
      </c>
      <c r="S1273">
        <f>C1273&amp;"|"&amp;D1273</f>
        <v/>
      </c>
      <c r="T1273">
        <f>COUNTIF($S$2:S1273,S1273)</f>
        <v/>
      </c>
      <c r="U1273">
        <f>S1273&amp;"|"&amp;T1273</f>
        <v/>
      </c>
      <c r="V1273">
        <f>IFERROR(VLOOKUP(IF(I1273="ENFASIS",LEFT(M1273,FIND("+",M1273&amp;"+")-1),J1273),Direccion_Grupo!$A$2:$G$100,7,FALSE),"")</f>
        <v/>
      </c>
    </row>
    <row r="1274">
      <c r="A1274" t="n">
        <v>2</v>
      </c>
      <c r="B1274" t="inlineStr">
        <is>
          <t>Angulo Lucero Andrés Mauricio</t>
        </is>
      </c>
      <c r="C1274" t="inlineStr">
        <is>
          <t>VIERNES</t>
        </is>
      </c>
      <c r="D1274" t="n">
        <v>1</v>
      </c>
      <c r="E1274" t="n">
        <v>1</v>
      </c>
      <c r="F1274" t="n">
        <v>1</v>
      </c>
      <c r="G1274" t="inlineStr">
        <is>
          <t>06:30</t>
        </is>
      </c>
      <c r="H1274" t="inlineStr">
        <is>
          <t>07:15</t>
        </is>
      </c>
      <c r="I1274" t="inlineStr">
        <is>
          <t>ENFASIS</t>
        </is>
      </c>
      <c r="J1274" t="inlineStr"/>
      <c r="K1274" t="inlineStr">
        <is>
          <t>TEI</t>
        </is>
      </c>
      <c r="L1274" t="inlineStr">
        <is>
          <t>D5-11°</t>
        </is>
      </c>
      <c r="M1274" t="inlineStr">
        <is>
          <t>1102</t>
        </is>
      </c>
      <c r="N1274" t="inlineStr">
        <is>
          <t>Pulgarín Ortiz César Marino (CSI); Montaño Arizala Leidis Claudina (ETR); Villota Rubio Janeth del Carmen (MAT)</t>
        </is>
      </c>
      <c r="O1274" t="inlineStr">
        <is>
          <t>EQUIPO DE 4: cada docente atiende un grupo de estudiantes en su área</t>
        </is>
      </c>
      <c r="P1274" t="inlineStr">
        <is>
          <t>ENFASIS-D5-11°</t>
        </is>
      </c>
      <c r="Q1274">
        <f>IF(I1274="ENFASIS","ÉNFASIS "&amp;M1274,IFERROR(VLOOKUP(J1274,Grupos!$A$2:$D$100,4,FALSE),J1274))</f>
        <v/>
      </c>
      <c r="R1274">
        <f>O1274&amp;IF(N1274&lt;&gt;"",IF(O1274&lt;&gt;""," · ","")&amp;"Con: "&amp;N1274,"")</f>
        <v/>
      </c>
      <c r="S1274">
        <f>C1274&amp;"|"&amp;D1274</f>
        <v/>
      </c>
      <c r="T1274">
        <f>COUNTIF($S$2:S1274,S1274)</f>
        <v/>
      </c>
      <c r="U1274">
        <f>S1274&amp;"|"&amp;T1274</f>
        <v/>
      </c>
      <c r="V1274">
        <f>IFERROR(VLOOKUP(IF(I1274="ENFASIS",LEFT(M1274,FIND("+",M1274&amp;"+")-1),J1274),Direccion_Grupo!$A$2:$G$100,7,FALSE),"")</f>
        <v/>
      </c>
    </row>
    <row r="1275">
      <c r="A1275" t="n">
        <v>31</v>
      </c>
      <c r="B1275" t="inlineStr">
        <is>
          <t>Montaño Arizala Leidis Claudina</t>
        </is>
      </c>
      <c r="C1275" t="inlineStr">
        <is>
          <t>VIERNES</t>
        </is>
      </c>
      <c r="D1275" t="n">
        <v>1</v>
      </c>
      <c r="E1275" t="n">
        <v>1</v>
      </c>
      <c r="F1275" t="n">
        <v>1</v>
      </c>
      <c r="G1275" t="inlineStr">
        <is>
          <t>06:30</t>
        </is>
      </c>
      <c r="H1275" t="inlineStr">
        <is>
          <t>07:15</t>
        </is>
      </c>
      <c r="I1275" t="inlineStr">
        <is>
          <t>ENFASIS</t>
        </is>
      </c>
      <c r="J1275" t="inlineStr"/>
      <c r="K1275" t="inlineStr">
        <is>
          <t>ETR</t>
        </is>
      </c>
      <c r="L1275" t="inlineStr">
        <is>
          <t>D5-11°</t>
        </is>
      </c>
      <c r="M1275" t="inlineStr">
        <is>
          <t>1102</t>
        </is>
      </c>
      <c r="N1275" t="inlineStr">
        <is>
          <t>Pulgarín Ortiz César Marino (CSI); Villota Rubio Janeth del Carmen (MAT); Angulo Lucero Andrés Mauricio (TEI)</t>
        </is>
      </c>
      <c r="O1275" t="inlineStr">
        <is>
          <t>EQUIPO DE 4: cada docente atiende un grupo de estudiantes en su área</t>
        </is>
      </c>
      <c r="P1275" t="inlineStr">
        <is>
          <t>ENFASIS-D5-11°</t>
        </is>
      </c>
      <c r="Q1275">
        <f>IF(I1275="ENFASIS","ÉNFASIS "&amp;M1275,IFERROR(VLOOKUP(J1275,Grupos!$A$2:$D$100,4,FALSE),J1275))</f>
        <v/>
      </c>
      <c r="R1275">
        <f>O1275&amp;IF(N1275&lt;&gt;"",IF(O1275&lt;&gt;""," · ","")&amp;"Con: "&amp;N1275,"")</f>
        <v/>
      </c>
      <c r="S1275">
        <f>C1275&amp;"|"&amp;D1275</f>
        <v/>
      </c>
      <c r="T1275">
        <f>COUNTIF($S$2:S1275,S1275)</f>
        <v/>
      </c>
      <c r="U1275">
        <f>S1275&amp;"|"&amp;T1275</f>
        <v/>
      </c>
      <c r="V1275">
        <f>IFERROR(VLOOKUP(IF(I1275="ENFASIS",LEFT(M1275,FIND("+",M1275&amp;"+")-1),J1275),Direccion_Grupo!$A$2:$G$100,7,FALSE),"")</f>
        <v/>
      </c>
    </row>
    <row r="1276">
      <c r="A1276" t="n">
        <v>40</v>
      </c>
      <c r="B1276" t="inlineStr">
        <is>
          <t>Pulgarín Ortiz César Marino</t>
        </is>
      </c>
      <c r="C1276" t="inlineStr">
        <is>
          <t>VIERNES</t>
        </is>
      </c>
      <c r="D1276" t="n">
        <v>1</v>
      </c>
      <c r="E1276" t="n">
        <v>1</v>
      </c>
      <c r="F1276" t="n">
        <v>1</v>
      </c>
      <c r="G1276" t="inlineStr">
        <is>
          <t>06:30</t>
        </is>
      </c>
      <c r="H1276" t="inlineStr">
        <is>
          <t>07:15</t>
        </is>
      </c>
      <c r="I1276" t="inlineStr">
        <is>
          <t>ENFASIS</t>
        </is>
      </c>
      <c r="J1276" t="inlineStr"/>
      <c r="K1276" t="inlineStr">
        <is>
          <t>CSI</t>
        </is>
      </c>
      <c r="L1276" t="inlineStr">
        <is>
          <t>D5-11°</t>
        </is>
      </c>
      <c r="M1276" t="inlineStr">
        <is>
          <t>1102</t>
        </is>
      </c>
      <c r="N1276" t="inlineStr">
        <is>
          <t>Montaño Arizala Leidis Claudina (ETR); Villota Rubio Janeth del Carmen (MAT); Angulo Lucero Andrés Mauricio (TEI)</t>
        </is>
      </c>
      <c r="O1276" t="inlineStr">
        <is>
          <t>EQUIPO DE 4: cada docente atiende un grupo de estudiantes en su área</t>
        </is>
      </c>
      <c r="P1276" t="inlineStr">
        <is>
          <t>ENFASIS-D5-11°</t>
        </is>
      </c>
      <c r="Q1276">
        <f>IF(I1276="ENFASIS","ÉNFASIS "&amp;M1276,IFERROR(VLOOKUP(J1276,Grupos!$A$2:$D$100,4,FALSE),J1276))</f>
        <v/>
      </c>
      <c r="R1276">
        <f>O1276&amp;IF(N1276&lt;&gt;"",IF(O1276&lt;&gt;""," · ","")&amp;"Con: "&amp;N1276,"")</f>
        <v/>
      </c>
      <c r="S1276">
        <f>C1276&amp;"|"&amp;D1276</f>
        <v/>
      </c>
      <c r="T1276">
        <f>COUNTIF($S$2:S1276,S1276)</f>
        <v/>
      </c>
      <c r="U1276">
        <f>S1276&amp;"|"&amp;T1276</f>
        <v/>
      </c>
      <c r="V1276">
        <f>IFERROR(VLOOKUP(IF(I1276="ENFASIS",LEFT(M1276,FIND("+",M1276&amp;"+")-1),J1276),Direccion_Grupo!$A$2:$G$100,7,FALSE),"")</f>
        <v/>
      </c>
    </row>
    <row r="1277">
      <c r="A1277" t="n">
        <v>54</v>
      </c>
      <c r="B1277" t="inlineStr">
        <is>
          <t>Villota Rubio Janeth del Carmen</t>
        </is>
      </c>
      <c r="C1277" t="inlineStr">
        <is>
          <t>VIERNES</t>
        </is>
      </c>
      <c r="D1277" t="n">
        <v>1</v>
      </c>
      <c r="E1277" t="n">
        <v>1</v>
      </c>
      <c r="F1277" t="n">
        <v>1</v>
      </c>
      <c r="G1277" t="inlineStr">
        <is>
          <t>06:30</t>
        </is>
      </c>
      <c r="H1277" t="inlineStr">
        <is>
          <t>07:15</t>
        </is>
      </c>
      <c r="I1277" t="inlineStr">
        <is>
          <t>ENFASIS</t>
        </is>
      </c>
      <c r="J1277" t="inlineStr"/>
      <c r="K1277" t="inlineStr">
        <is>
          <t>MAT</t>
        </is>
      </c>
      <c r="L1277" t="inlineStr">
        <is>
          <t>D5-11°</t>
        </is>
      </c>
      <c r="M1277" t="inlineStr">
        <is>
          <t>1102</t>
        </is>
      </c>
      <c r="N1277" t="inlineStr">
        <is>
          <t>Pulgarín Ortiz César Marino (CSI); Montaño Arizala Leidis Claudina (ETR); Angulo Lucero Andrés Mauricio (TEI)</t>
        </is>
      </c>
      <c r="O1277" t="inlineStr">
        <is>
          <t>EQUIPO DE 4: cada docente atiende un grupo de estudiantes en su área</t>
        </is>
      </c>
      <c r="P1277" t="inlineStr">
        <is>
          <t>ENFASIS-D5-11°</t>
        </is>
      </c>
      <c r="Q1277">
        <f>IF(I1277="ENFASIS","ÉNFASIS "&amp;M1277,IFERROR(VLOOKUP(J1277,Grupos!$A$2:$D$100,4,FALSE),J1277))</f>
        <v/>
      </c>
      <c r="R1277">
        <f>O1277&amp;IF(N1277&lt;&gt;"",IF(O1277&lt;&gt;""," · ","")&amp;"Con: "&amp;N1277,"")</f>
        <v/>
      </c>
      <c r="S1277">
        <f>C1277&amp;"|"&amp;D1277</f>
        <v/>
      </c>
      <c r="T1277">
        <f>COUNTIF($S$2:S1277,S1277)</f>
        <v/>
      </c>
      <c r="U1277">
        <f>S1277&amp;"|"&amp;T1277</f>
        <v/>
      </c>
      <c r="V1277">
        <f>IFERROR(VLOOKUP(IF(I1277="ENFASIS",LEFT(M1277,FIND("+",M1277&amp;"+")-1),J1277),Direccion_Grupo!$A$2:$G$100,7,FALSE),"")</f>
        <v/>
      </c>
    </row>
    <row r="1278">
      <c r="A1278" t="n">
        <v>20</v>
      </c>
      <c r="B1278" t="inlineStr">
        <is>
          <t>García Gobea Saydi Magali</t>
        </is>
      </c>
      <c r="C1278" t="inlineStr">
        <is>
          <t>VIERNES</t>
        </is>
      </c>
      <c r="D1278" t="n">
        <v>1</v>
      </c>
      <c r="E1278" t="n">
        <v>1</v>
      </c>
      <c r="F1278" t="n">
        <v>1</v>
      </c>
      <c r="G1278" t="inlineStr">
        <is>
          <t>06:30</t>
        </is>
      </c>
      <c r="H1278" t="inlineStr">
        <is>
          <t>07:15</t>
        </is>
      </c>
      <c r="I1278" t="inlineStr">
        <is>
          <t>ENFASIS</t>
        </is>
      </c>
      <c r="J1278" t="inlineStr"/>
      <c r="K1278" t="inlineStr">
        <is>
          <t>CSI</t>
        </is>
      </c>
      <c r="L1278" t="inlineStr">
        <is>
          <t>CS101</t>
        </is>
      </c>
      <c r="M1278" t="inlineStr">
        <is>
          <t>CS101</t>
        </is>
      </c>
      <c r="N1278" t="inlineStr">
        <is>
          <t>Lozano Torres Amanda Inés (ETR)</t>
        </is>
      </c>
      <c r="O1278" t="inlineStr">
        <is>
          <t>PAREJA: comparten el énfasis y alternan por semana</t>
        </is>
      </c>
      <c r="P1278" t="inlineStr">
        <is>
          <t>ENFASIS-CS101</t>
        </is>
      </c>
      <c r="Q1278">
        <f>IF(I1278="ENFASIS","ÉNFASIS "&amp;M1278,IFERROR(VLOOKUP(J1278,Grupos!$A$2:$D$100,4,FALSE),J1278))</f>
        <v/>
      </c>
      <c r="R1278">
        <f>O1278&amp;IF(N1278&lt;&gt;"",IF(O1278&lt;&gt;""," · ","")&amp;"Con: "&amp;N1278,"")</f>
        <v/>
      </c>
      <c r="S1278">
        <f>C1278&amp;"|"&amp;D1278</f>
        <v/>
      </c>
      <c r="T1278">
        <f>COUNTIF($S$2:S1278,S1278)</f>
        <v/>
      </c>
      <c r="U1278">
        <f>S1278&amp;"|"&amp;T1278</f>
        <v/>
      </c>
      <c r="V1278">
        <f>IFERROR(VLOOKUP(IF(I1278="ENFASIS",LEFT(M1278,FIND("+",M1278&amp;"+")-1),J1278),Direccion_Grupo!$A$2:$G$100,7,FALSE),"")</f>
        <v/>
      </c>
    </row>
    <row r="1279">
      <c r="A1279" t="n">
        <v>26</v>
      </c>
      <c r="B1279" t="inlineStr">
        <is>
          <t>Lozano Torres Amanda Inés</t>
        </is>
      </c>
      <c r="C1279" t="inlineStr">
        <is>
          <t>VIERNES</t>
        </is>
      </c>
      <c r="D1279" t="n">
        <v>1</v>
      </c>
      <c r="E1279" t="n">
        <v>1</v>
      </c>
      <c r="F1279" t="n">
        <v>1</v>
      </c>
      <c r="G1279" t="inlineStr">
        <is>
          <t>06:30</t>
        </is>
      </c>
      <c r="H1279" t="inlineStr">
        <is>
          <t>07:15</t>
        </is>
      </c>
      <c r="I1279" t="inlineStr">
        <is>
          <t>ENFASIS</t>
        </is>
      </c>
      <c r="J1279" t="inlineStr"/>
      <c r="K1279" t="inlineStr">
        <is>
          <t>ETR</t>
        </is>
      </c>
      <c r="L1279" t="inlineStr">
        <is>
          <t>CS101</t>
        </is>
      </c>
      <c r="M1279" t="inlineStr">
        <is>
          <t>CS101</t>
        </is>
      </c>
      <c r="N1279" t="inlineStr">
        <is>
          <t>García Gobea Saydi Magali (CSI)</t>
        </is>
      </c>
      <c r="O1279" t="inlineStr">
        <is>
          <t>PAREJA: comparten el énfasis y alternan por semana</t>
        </is>
      </c>
      <c r="P1279" t="inlineStr">
        <is>
          <t>ENFASIS-CS101</t>
        </is>
      </c>
      <c r="Q1279">
        <f>IF(I1279="ENFASIS","ÉNFASIS "&amp;M1279,IFERROR(VLOOKUP(J1279,Grupos!$A$2:$D$100,4,FALSE),J1279))</f>
        <v/>
      </c>
      <c r="R1279">
        <f>O1279&amp;IF(N1279&lt;&gt;"",IF(O1279&lt;&gt;""," · ","")&amp;"Con: "&amp;N1279,"")</f>
        <v/>
      </c>
      <c r="S1279">
        <f>C1279&amp;"|"&amp;D1279</f>
        <v/>
      </c>
      <c r="T1279">
        <f>COUNTIF($S$2:S1279,S1279)</f>
        <v/>
      </c>
      <c r="U1279">
        <f>S1279&amp;"|"&amp;T1279</f>
        <v/>
      </c>
      <c r="V1279">
        <f>IFERROR(VLOOKUP(IF(I1279="ENFASIS",LEFT(M1279,FIND("+",M1279&amp;"+")-1),J1279),Direccion_Grupo!$A$2:$G$100,7,FALSE),"")</f>
        <v/>
      </c>
    </row>
    <row r="1280">
      <c r="A1280" t="n">
        <v>1</v>
      </c>
      <c r="B1280" t="inlineStr">
        <is>
          <t>Aguirre Riascos Jorge Andrés</t>
        </is>
      </c>
      <c r="C1280" t="inlineStr">
        <is>
          <t>VIERNES</t>
        </is>
      </c>
      <c r="D1280" t="n">
        <v>1</v>
      </c>
      <c r="E1280" t="n">
        <v>1</v>
      </c>
      <c r="F1280" t="n">
        <v>1</v>
      </c>
      <c r="G1280" t="inlineStr">
        <is>
          <t>06:30</t>
        </is>
      </c>
      <c r="H1280" t="inlineStr">
        <is>
          <t>07:15</t>
        </is>
      </c>
      <c r="I1280" t="inlineStr">
        <is>
          <t>ENFASIS</t>
        </is>
      </c>
      <c r="J1280" t="inlineStr"/>
      <c r="K1280" t="inlineStr">
        <is>
          <t>TEI</t>
        </is>
      </c>
      <c r="L1280" t="inlineStr">
        <is>
          <t>CS102</t>
        </is>
      </c>
      <c r="M1280" t="inlineStr">
        <is>
          <t>CS102</t>
        </is>
      </c>
      <c r="N1280" t="inlineStr">
        <is>
          <t>Vásquez Valencia Segundo Leoncio (MAT)</t>
        </is>
      </c>
      <c r="O1280" t="inlineStr">
        <is>
          <t>PAREJA: comparten el énfasis y alternan por semana</t>
        </is>
      </c>
      <c r="P1280" t="inlineStr">
        <is>
          <t>ENFASIS-CS102</t>
        </is>
      </c>
      <c r="Q1280">
        <f>IF(I1280="ENFASIS","ÉNFASIS "&amp;M1280,IFERROR(VLOOKUP(J1280,Grupos!$A$2:$D$100,4,FALSE),J1280))</f>
        <v/>
      </c>
      <c r="R1280">
        <f>O1280&amp;IF(N1280&lt;&gt;"",IF(O1280&lt;&gt;""," · ","")&amp;"Con: "&amp;N1280,"")</f>
        <v/>
      </c>
      <c r="S1280">
        <f>C1280&amp;"|"&amp;D1280</f>
        <v/>
      </c>
      <c r="T1280">
        <f>COUNTIF($S$2:S1280,S1280)</f>
        <v/>
      </c>
      <c r="U1280">
        <f>S1280&amp;"|"&amp;T1280</f>
        <v/>
      </c>
      <c r="V1280">
        <f>IFERROR(VLOOKUP(IF(I1280="ENFASIS",LEFT(M1280,FIND("+",M1280&amp;"+")-1),J1280),Direccion_Grupo!$A$2:$G$100,7,FALSE),"")</f>
        <v/>
      </c>
    </row>
    <row r="1281">
      <c r="A1281" t="n">
        <v>52</v>
      </c>
      <c r="B1281" t="inlineStr">
        <is>
          <t>Vásquez Valencia Segundo Leoncio</t>
        </is>
      </c>
      <c r="C1281" t="inlineStr">
        <is>
          <t>VIERNES</t>
        </is>
      </c>
      <c r="D1281" t="n">
        <v>1</v>
      </c>
      <c r="E1281" t="n">
        <v>1</v>
      </c>
      <c r="F1281" t="n">
        <v>1</v>
      </c>
      <c r="G1281" t="inlineStr">
        <is>
          <t>06:30</t>
        </is>
      </c>
      <c r="H1281" t="inlineStr">
        <is>
          <t>07:15</t>
        </is>
      </c>
      <c r="I1281" t="inlineStr">
        <is>
          <t>ENFASIS</t>
        </is>
      </c>
      <c r="J1281" t="inlineStr"/>
      <c r="K1281" t="inlineStr">
        <is>
          <t>MAT</t>
        </is>
      </c>
      <c r="L1281" t="inlineStr">
        <is>
          <t>CS102</t>
        </is>
      </c>
      <c r="M1281" t="inlineStr">
        <is>
          <t>CS102</t>
        </is>
      </c>
      <c r="N1281" t="inlineStr">
        <is>
          <t>Aguirre Riascos Jorge Andrés (TEI)</t>
        </is>
      </c>
      <c r="O1281" t="inlineStr">
        <is>
          <t>PAREJA: comparten el énfasis y alternan por semana</t>
        </is>
      </c>
      <c r="P1281" t="inlineStr">
        <is>
          <t>ENFASIS-CS102</t>
        </is>
      </c>
      <c r="Q1281">
        <f>IF(I1281="ENFASIS","ÉNFASIS "&amp;M1281,IFERROR(VLOOKUP(J1281,Grupos!$A$2:$D$100,4,FALSE),J1281))</f>
        <v/>
      </c>
      <c r="R1281">
        <f>O1281&amp;IF(N1281&lt;&gt;"",IF(O1281&lt;&gt;""," · ","")&amp;"Con: "&amp;N1281,"")</f>
        <v/>
      </c>
      <c r="S1281">
        <f>C1281&amp;"|"&amp;D1281</f>
        <v/>
      </c>
      <c r="T1281">
        <f>COUNTIF($S$2:S1281,S1281)</f>
        <v/>
      </c>
      <c r="U1281">
        <f>S1281&amp;"|"&amp;T1281</f>
        <v/>
      </c>
      <c r="V1281">
        <f>IFERROR(VLOOKUP(IF(I1281="ENFASIS",LEFT(M1281,FIND("+",M1281&amp;"+")-1),J1281),Direccion_Grupo!$A$2:$G$100,7,FALSE),"")</f>
        <v/>
      </c>
    </row>
    <row r="1282">
      <c r="A1282" t="n">
        <v>22</v>
      </c>
      <c r="B1282" t="inlineStr">
        <is>
          <t>González Castillo Jólmer Jimy</t>
        </is>
      </c>
      <c r="C1282" t="inlineStr">
        <is>
          <t>VIERNES</t>
        </is>
      </c>
      <c r="D1282" t="n">
        <v>1</v>
      </c>
      <c r="E1282" t="n">
        <v>1</v>
      </c>
      <c r="F1282" t="n">
        <v>1</v>
      </c>
      <c r="G1282" t="inlineStr">
        <is>
          <t>06:30</t>
        </is>
      </c>
      <c r="H1282" t="inlineStr">
        <is>
          <t>07:15</t>
        </is>
      </c>
      <c r="I1282" t="inlineStr">
        <is>
          <t>ENFASIS</t>
        </is>
      </c>
      <c r="J1282" t="inlineStr"/>
      <c r="K1282" t="inlineStr">
        <is>
          <t>ERD</t>
        </is>
      </c>
      <c r="L1282" t="inlineStr">
        <is>
          <t>CS201</t>
        </is>
      </c>
      <c r="M1282" t="inlineStr">
        <is>
          <t>CS201</t>
        </is>
      </c>
      <c r="N1282" t="inlineStr">
        <is>
          <t>Valencia Marínez Saidy Eufemia (ART); Meza Banguera Gladys Alicia (CAS); Lemos Guancha Miriam (CNA)</t>
        </is>
      </c>
      <c r="O1282" t="inlineStr">
        <is>
          <t>EQUIPO DE 4: cada docente atiende un grupo de estudiantes en su área</t>
        </is>
      </c>
      <c r="P1282" t="inlineStr">
        <is>
          <t>ENFASIS-CS201</t>
        </is>
      </c>
      <c r="Q1282">
        <f>IF(I1282="ENFASIS","ÉNFASIS "&amp;M1282,IFERROR(VLOOKUP(J1282,Grupos!$A$2:$D$100,4,FALSE),J1282))</f>
        <v/>
      </c>
      <c r="R1282">
        <f>O1282&amp;IF(N1282&lt;&gt;"",IF(O1282&lt;&gt;""," · ","")&amp;"Con: "&amp;N1282,"")</f>
        <v/>
      </c>
      <c r="S1282">
        <f>C1282&amp;"|"&amp;D1282</f>
        <v/>
      </c>
      <c r="T1282">
        <f>COUNTIF($S$2:S1282,S1282)</f>
        <v/>
      </c>
      <c r="U1282">
        <f>S1282&amp;"|"&amp;T1282</f>
        <v/>
      </c>
      <c r="V1282">
        <f>IFERROR(VLOOKUP(IF(I1282="ENFASIS",LEFT(M1282,FIND("+",M1282&amp;"+")-1),J1282),Direccion_Grupo!$A$2:$G$100,7,FALSE),"")</f>
        <v/>
      </c>
    </row>
    <row r="1283">
      <c r="A1283" t="n">
        <v>25</v>
      </c>
      <c r="B1283" t="inlineStr">
        <is>
          <t>Lemos Guancha Miriam</t>
        </is>
      </c>
      <c r="C1283" t="inlineStr">
        <is>
          <t>VIERNES</t>
        </is>
      </c>
      <c r="D1283" t="n">
        <v>1</v>
      </c>
      <c r="E1283" t="n">
        <v>1</v>
      </c>
      <c r="F1283" t="n">
        <v>1</v>
      </c>
      <c r="G1283" t="inlineStr">
        <is>
          <t>06:30</t>
        </is>
      </c>
      <c r="H1283" t="inlineStr">
        <is>
          <t>07:15</t>
        </is>
      </c>
      <c r="I1283" t="inlineStr">
        <is>
          <t>ENFASIS</t>
        </is>
      </c>
      <c r="J1283" t="inlineStr"/>
      <c r="K1283" t="inlineStr">
        <is>
          <t>CNA</t>
        </is>
      </c>
      <c r="L1283" t="inlineStr">
        <is>
          <t>CS201</t>
        </is>
      </c>
      <c r="M1283" t="inlineStr">
        <is>
          <t>CS201</t>
        </is>
      </c>
      <c r="N1283" t="inlineStr">
        <is>
          <t>Valencia Marínez Saidy Eufemia (ART); Meza Banguera Gladys Alicia (CAS); González Castillo Jólmer Jimy (ERD)</t>
        </is>
      </c>
      <c r="O1283" t="inlineStr">
        <is>
          <t>EQUIPO DE 4: cada docente atiende un grupo de estudiantes en su área</t>
        </is>
      </c>
      <c r="P1283" t="inlineStr">
        <is>
          <t>ENFASIS-CS201</t>
        </is>
      </c>
      <c r="Q1283">
        <f>IF(I1283="ENFASIS","ÉNFASIS "&amp;M1283,IFERROR(VLOOKUP(J1283,Grupos!$A$2:$D$100,4,FALSE),J1283))</f>
        <v/>
      </c>
      <c r="R1283">
        <f>O1283&amp;IF(N1283&lt;&gt;"",IF(O1283&lt;&gt;""," · ","")&amp;"Con: "&amp;N1283,"")</f>
        <v/>
      </c>
      <c r="S1283">
        <f>C1283&amp;"|"&amp;D1283</f>
        <v/>
      </c>
      <c r="T1283">
        <f>COUNTIF($S$2:S1283,S1283)</f>
        <v/>
      </c>
      <c r="U1283">
        <f>S1283&amp;"|"&amp;T1283</f>
        <v/>
      </c>
      <c r="V1283">
        <f>IFERROR(VLOOKUP(IF(I1283="ENFASIS",LEFT(M1283,FIND("+",M1283&amp;"+")-1),J1283),Direccion_Grupo!$A$2:$G$100,7,FALSE),"")</f>
        <v/>
      </c>
    </row>
    <row r="1284">
      <c r="A1284" t="n">
        <v>28</v>
      </c>
      <c r="B1284" t="inlineStr">
        <is>
          <t>Meza Banguera Gladys Alicia</t>
        </is>
      </c>
      <c r="C1284" t="inlineStr">
        <is>
          <t>VIERNES</t>
        </is>
      </c>
      <c r="D1284" t="n">
        <v>1</v>
      </c>
      <c r="E1284" t="n">
        <v>1</v>
      </c>
      <c r="F1284" t="n">
        <v>1</v>
      </c>
      <c r="G1284" t="inlineStr">
        <is>
          <t>06:30</t>
        </is>
      </c>
      <c r="H1284" t="inlineStr">
        <is>
          <t>07:15</t>
        </is>
      </c>
      <c r="I1284" t="inlineStr">
        <is>
          <t>ENFASIS</t>
        </is>
      </c>
      <c r="J1284" t="inlineStr"/>
      <c r="K1284" t="inlineStr">
        <is>
          <t>CAS</t>
        </is>
      </c>
      <c r="L1284" t="inlineStr">
        <is>
          <t>CS201</t>
        </is>
      </c>
      <c r="M1284" t="inlineStr">
        <is>
          <t>CS201</t>
        </is>
      </c>
      <c r="N1284" t="inlineStr">
        <is>
          <t>Valencia Marínez Saidy Eufemia (ART); González Castillo Jólmer Jimy (ERD); Lemos Guancha Miriam (CNA)</t>
        </is>
      </c>
      <c r="O1284" t="inlineStr">
        <is>
          <t>EQUIPO DE 4: cada docente atiende un grupo de estudiantes en su área</t>
        </is>
      </c>
      <c r="P1284" t="inlineStr">
        <is>
          <t>ENFASIS-CS201</t>
        </is>
      </c>
      <c r="Q1284">
        <f>IF(I1284="ENFASIS","ÉNFASIS "&amp;M1284,IFERROR(VLOOKUP(J1284,Grupos!$A$2:$D$100,4,FALSE),J1284))</f>
        <v/>
      </c>
      <c r="R1284">
        <f>O1284&amp;IF(N1284&lt;&gt;"",IF(O1284&lt;&gt;""," · ","")&amp;"Con: "&amp;N1284,"")</f>
        <v/>
      </c>
      <c r="S1284">
        <f>C1284&amp;"|"&amp;D1284</f>
        <v/>
      </c>
      <c r="T1284">
        <f>COUNTIF($S$2:S1284,S1284)</f>
        <v/>
      </c>
      <c r="U1284">
        <f>S1284&amp;"|"&amp;T1284</f>
        <v/>
      </c>
      <c r="V1284">
        <f>IFERROR(VLOOKUP(IF(I1284="ENFASIS",LEFT(M1284,FIND("+",M1284&amp;"+")-1),J1284),Direccion_Grupo!$A$2:$G$100,7,FALSE),"")</f>
        <v/>
      </c>
    </row>
    <row r="1285">
      <c r="A1285" t="n">
        <v>49</v>
      </c>
      <c r="B1285" t="inlineStr">
        <is>
          <t>Valencia Marínez Saidy Eufemia</t>
        </is>
      </c>
      <c r="C1285" t="inlineStr">
        <is>
          <t>VIERNES</t>
        </is>
      </c>
      <c r="D1285" t="n">
        <v>1</v>
      </c>
      <c r="E1285" t="n">
        <v>1</v>
      </c>
      <c r="F1285" t="n">
        <v>1</v>
      </c>
      <c r="G1285" t="inlineStr">
        <is>
          <t>06:30</t>
        </is>
      </c>
      <c r="H1285" t="inlineStr">
        <is>
          <t>07:15</t>
        </is>
      </c>
      <c r="I1285" t="inlineStr">
        <is>
          <t>ENFASIS</t>
        </is>
      </c>
      <c r="J1285" t="inlineStr"/>
      <c r="K1285" t="inlineStr">
        <is>
          <t>ART</t>
        </is>
      </c>
      <c r="L1285" t="inlineStr">
        <is>
          <t>CS201</t>
        </is>
      </c>
      <c r="M1285" t="inlineStr">
        <is>
          <t>CS201</t>
        </is>
      </c>
      <c r="N1285" t="inlineStr">
        <is>
          <t>Meza Banguera Gladys Alicia (CAS); González Castillo Jólmer Jimy (ERD); Lemos Guancha Miriam (CNA)</t>
        </is>
      </c>
      <c r="O1285" t="inlineStr">
        <is>
          <t>EQUIPO DE 4: cada docente atiende un grupo de estudiantes en su área</t>
        </is>
      </c>
      <c r="P1285" t="inlineStr">
        <is>
          <t>ENFASIS-CS201</t>
        </is>
      </c>
      <c r="Q1285">
        <f>IF(I1285="ENFASIS","ÉNFASIS "&amp;M1285,IFERROR(VLOOKUP(J1285,Grupos!$A$2:$D$100,4,FALSE),J1285))</f>
        <v/>
      </c>
      <c r="R1285">
        <f>O1285&amp;IF(N1285&lt;&gt;"",IF(O1285&lt;&gt;""," · ","")&amp;"Con: "&amp;N1285,"")</f>
        <v/>
      </c>
      <c r="S1285">
        <f>C1285&amp;"|"&amp;D1285</f>
        <v/>
      </c>
      <c r="T1285">
        <f>COUNTIF($S$2:S1285,S1285)</f>
        <v/>
      </c>
      <c r="U1285">
        <f>S1285&amp;"|"&amp;T1285</f>
        <v/>
      </c>
      <c r="V1285">
        <f>IFERROR(VLOOKUP(IF(I1285="ENFASIS",LEFT(M1285,FIND("+",M1285&amp;"+")-1),J1285),Direccion_Grupo!$A$2:$G$100,7,FALSE),"")</f>
        <v/>
      </c>
    </row>
    <row r="1286">
      <c r="A1286" t="n">
        <v>23</v>
      </c>
      <c r="B1286" t="inlineStr">
        <is>
          <t>Landázuri Quiñones María Elia</t>
        </is>
      </c>
      <c r="C1286" t="inlineStr">
        <is>
          <t>VIERNES</t>
        </is>
      </c>
      <c r="D1286" t="n">
        <v>2</v>
      </c>
      <c r="E1286" t="n">
        <v>1</v>
      </c>
      <c r="F1286" t="n">
        <v>2</v>
      </c>
      <c r="G1286" t="inlineStr">
        <is>
          <t>07:15</t>
        </is>
      </c>
      <c r="H1286" t="inlineStr">
        <is>
          <t>08:00</t>
        </is>
      </c>
      <c r="I1286" t="inlineStr">
        <is>
          <t>AREAS_MULTIPLES</t>
        </is>
      </c>
      <c r="J1286" t="inlineStr">
        <is>
          <t>0101</t>
        </is>
      </c>
      <c r="K1286" t="inlineStr">
        <is>
          <t>ÁREAS MÚLTIPLES</t>
        </is>
      </c>
      <c r="L1286" t="inlineStr"/>
      <c r="M1286" t="inlineStr"/>
      <c r="N1286" t="inlineStr"/>
      <c r="O1286" t="inlineStr">
        <is>
          <t>Maestro de aula: todas las áreas con su grupo</t>
        </is>
      </c>
      <c r="P1286" t="inlineStr"/>
      <c r="Q1286">
        <f>IF(I1286="ENFASIS","ÉNFASIS "&amp;M1286,IFERROR(VLOOKUP(J1286,Grupos!$A$2:$D$100,4,FALSE),J1286))</f>
        <v/>
      </c>
      <c r="R1286">
        <f>O1286&amp;IF(N1286&lt;&gt;"",IF(O1286&lt;&gt;""," · ","")&amp;"Con: "&amp;N1286,"")</f>
        <v/>
      </c>
      <c r="S1286">
        <f>C1286&amp;"|"&amp;D1286</f>
        <v/>
      </c>
      <c r="T1286">
        <f>COUNTIF($S$2:S1286,S1286)</f>
        <v/>
      </c>
      <c r="U1286">
        <f>S1286&amp;"|"&amp;T1286</f>
        <v/>
      </c>
      <c r="V1286">
        <f>IFERROR(VLOOKUP(IF(I1286="ENFASIS",LEFT(M1286,FIND("+",M1286&amp;"+")-1),J1286),Direccion_Grupo!$A$2:$G$100,7,FALSE),"")</f>
        <v/>
      </c>
    </row>
    <row r="1287">
      <c r="A1287" t="n">
        <v>45</v>
      </c>
      <c r="B1287" t="inlineStr">
        <is>
          <t>Sinisterra Ana Lucía</t>
        </is>
      </c>
      <c r="C1287" t="inlineStr">
        <is>
          <t>VIERNES</t>
        </is>
      </c>
      <c r="D1287" t="n">
        <v>2</v>
      </c>
      <c r="E1287" t="n">
        <v>1</v>
      </c>
      <c r="F1287" t="n">
        <v>2</v>
      </c>
      <c r="G1287" t="inlineStr">
        <is>
          <t>07:15</t>
        </is>
      </c>
      <c r="H1287" t="inlineStr">
        <is>
          <t>08:00</t>
        </is>
      </c>
      <c r="I1287" t="inlineStr">
        <is>
          <t>AREAS_MULTIPLES</t>
        </is>
      </c>
      <c r="J1287" t="inlineStr">
        <is>
          <t>0102</t>
        </is>
      </c>
      <c r="K1287" t="inlineStr">
        <is>
          <t>ÁREAS MÚLTIPLES</t>
        </is>
      </c>
      <c r="L1287" t="inlineStr"/>
      <c r="M1287" t="inlineStr"/>
      <c r="N1287" t="inlineStr"/>
      <c r="O1287" t="inlineStr">
        <is>
          <t>Maestro de aula: todas las áreas con su grupo</t>
        </is>
      </c>
      <c r="P1287" t="inlineStr"/>
      <c r="Q1287">
        <f>IF(I1287="ENFASIS","ÉNFASIS "&amp;M1287,IFERROR(VLOOKUP(J1287,Grupos!$A$2:$D$100,4,FALSE),J1287))</f>
        <v/>
      </c>
      <c r="R1287">
        <f>O1287&amp;IF(N1287&lt;&gt;"",IF(O1287&lt;&gt;""," · ","")&amp;"Con: "&amp;N1287,"")</f>
        <v/>
      </c>
      <c r="S1287">
        <f>C1287&amp;"|"&amp;D1287</f>
        <v/>
      </c>
      <c r="T1287">
        <f>COUNTIF($S$2:S1287,S1287)</f>
        <v/>
      </c>
      <c r="U1287">
        <f>S1287&amp;"|"&amp;T1287</f>
        <v/>
      </c>
      <c r="V1287">
        <f>IFERROR(VLOOKUP(IF(I1287="ENFASIS",LEFT(M1287,FIND("+",M1287&amp;"+")-1),J1287),Direccion_Grupo!$A$2:$G$100,7,FALSE),"")</f>
        <v/>
      </c>
    </row>
    <row r="1288">
      <c r="A1288" t="n">
        <v>13</v>
      </c>
      <c r="B1288" t="inlineStr">
        <is>
          <t>Cortés Salazar María Ebelice</t>
        </is>
      </c>
      <c r="C1288" t="inlineStr">
        <is>
          <t>VIERNES</t>
        </is>
      </c>
      <c r="D1288" t="n">
        <v>2</v>
      </c>
      <c r="E1288" t="n">
        <v>1</v>
      </c>
      <c r="F1288" t="n">
        <v>2</v>
      </c>
      <c r="G1288" t="inlineStr">
        <is>
          <t>07:15</t>
        </is>
      </c>
      <c r="H1288" t="inlineStr">
        <is>
          <t>08:00</t>
        </is>
      </c>
      <c r="I1288" t="inlineStr">
        <is>
          <t>AREAS_MULTIPLES</t>
        </is>
      </c>
      <c r="J1288" t="inlineStr">
        <is>
          <t>0201</t>
        </is>
      </c>
      <c r="K1288" t="inlineStr">
        <is>
          <t>ÁREAS MÚLTIPLES</t>
        </is>
      </c>
      <c r="L1288" t="inlineStr"/>
      <c r="M1288" t="inlineStr"/>
      <c r="N1288" t="inlineStr"/>
      <c r="O1288" t="inlineStr">
        <is>
          <t>Maestro de aula: todas las áreas con su grupo</t>
        </is>
      </c>
      <c r="P1288" t="inlineStr"/>
      <c r="Q1288">
        <f>IF(I1288="ENFASIS","ÉNFASIS "&amp;M1288,IFERROR(VLOOKUP(J1288,Grupos!$A$2:$D$100,4,FALSE),J1288))</f>
        <v/>
      </c>
      <c r="R1288">
        <f>O1288&amp;IF(N1288&lt;&gt;"",IF(O1288&lt;&gt;""," · ","")&amp;"Con: "&amp;N1288,"")</f>
        <v/>
      </c>
      <c r="S1288">
        <f>C1288&amp;"|"&amp;D1288</f>
        <v/>
      </c>
      <c r="T1288">
        <f>COUNTIF($S$2:S1288,S1288)</f>
        <v/>
      </c>
      <c r="U1288">
        <f>S1288&amp;"|"&amp;T1288</f>
        <v/>
      </c>
      <c r="V1288">
        <f>IFERROR(VLOOKUP(IF(I1288="ENFASIS",LEFT(M1288,FIND("+",M1288&amp;"+")-1),J1288),Direccion_Grupo!$A$2:$G$100,7,FALSE),"")</f>
        <v/>
      </c>
    </row>
    <row r="1289">
      <c r="A1289" t="n">
        <v>21</v>
      </c>
      <c r="B1289" t="inlineStr">
        <is>
          <t>Garzón Quiñones Sixta Janina</t>
        </is>
      </c>
      <c r="C1289" t="inlineStr">
        <is>
          <t>VIERNES</t>
        </is>
      </c>
      <c r="D1289" t="n">
        <v>2</v>
      </c>
      <c r="E1289" t="n">
        <v>1</v>
      </c>
      <c r="F1289" t="n">
        <v>2</v>
      </c>
      <c r="G1289" t="inlineStr">
        <is>
          <t>07:15</t>
        </is>
      </c>
      <c r="H1289" t="inlineStr">
        <is>
          <t>08:00</t>
        </is>
      </c>
      <c r="I1289" t="inlineStr">
        <is>
          <t>AREAS_MULTIPLES</t>
        </is>
      </c>
      <c r="J1289" t="inlineStr">
        <is>
          <t>0202</t>
        </is>
      </c>
      <c r="K1289" t="inlineStr">
        <is>
          <t>ÁREAS MÚLTIPLES</t>
        </is>
      </c>
      <c r="L1289" t="inlineStr"/>
      <c r="M1289" t="inlineStr"/>
      <c r="N1289" t="inlineStr"/>
      <c r="O1289" t="inlineStr">
        <is>
          <t>Maestro de aula: todas las áreas con su grupo</t>
        </is>
      </c>
      <c r="P1289" t="inlineStr"/>
      <c r="Q1289">
        <f>IF(I1289="ENFASIS","ÉNFASIS "&amp;M1289,IFERROR(VLOOKUP(J1289,Grupos!$A$2:$D$100,4,FALSE),J1289))</f>
        <v/>
      </c>
      <c r="R1289">
        <f>O1289&amp;IF(N1289&lt;&gt;"",IF(O1289&lt;&gt;""," · ","")&amp;"Con: "&amp;N1289,"")</f>
        <v/>
      </c>
      <c r="S1289">
        <f>C1289&amp;"|"&amp;D1289</f>
        <v/>
      </c>
      <c r="T1289">
        <f>COUNTIF($S$2:S1289,S1289)</f>
        <v/>
      </c>
      <c r="U1289">
        <f>S1289&amp;"|"&amp;T1289</f>
        <v/>
      </c>
      <c r="V1289">
        <f>IFERROR(VLOOKUP(IF(I1289="ENFASIS",LEFT(M1289,FIND("+",M1289&amp;"+")-1),J1289),Direccion_Grupo!$A$2:$G$100,7,FALSE),"")</f>
        <v/>
      </c>
    </row>
    <row r="1290">
      <c r="A1290" t="n">
        <v>46</v>
      </c>
      <c r="B1290" t="inlineStr">
        <is>
          <t>Tenorio Cuero Lucy Bivian</t>
        </is>
      </c>
      <c r="C1290" t="inlineStr">
        <is>
          <t>VIERNES</t>
        </is>
      </c>
      <c r="D1290" t="n">
        <v>2</v>
      </c>
      <c r="E1290" t="n">
        <v>1</v>
      </c>
      <c r="F1290" t="n">
        <v>2</v>
      </c>
      <c r="G1290" t="inlineStr">
        <is>
          <t>07:15</t>
        </is>
      </c>
      <c r="H1290" t="inlineStr">
        <is>
          <t>08:00</t>
        </is>
      </c>
      <c r="I1290" t="inlineStr">
        <is>
          <t>AREAS_MULTIPLES</t>
        </is>
      </c>
      <c r="J1290" t="inlineStr">
        <is>
          <t>0203</t>
        </is>
      </c>
      <c r="K1290" t="inlineStr">
        <is>
          <t>ÁREAS MÚLTIPLES</t>
        </is>
      </c>
      <c r="L1290" t="inlineStr"/>
      <c r="M1290" t="inlineStr"/>
      <c r="N1290" t="inlineStr"/>
      <c r="O1290" t="inlineStr">
        <is>
          <t>Maestro de aula: todas las áreas con su grupo</t>
        </is>
      </c>
      <c r="P1290" t="inlineStr"/>
      <c r="Q1290">
        <f>IF(I1290="ENFASIS","ÉNFASIS "&amp;M1290,IFERROR(VLOOKUP(J1290,Grupos!$A$2:$D$100,4,FALSE),J1290))</f>
        <v/>
      </c>
      <c r="R1290">
        <f>O1290&amp;IF(N1290&lt;&gt;"",IF(O1290&lt;&gt;""," · ","")&amp;"Con: "&amp;N1290,"")</f>
        <v/>
      </c>
      <c r="S1290">
        <f>C1290&amp;"|"&amp;D1290</f>
        <v/>
      </c>
      <c r="T1290">
        <f>COUNTIF($S$2:S1290,S1290)</f>
        <v/>
      </c>
      <c r="U1290">
        <f>S1290&amp;"|"&amp;T1290</f>
        <v/>
      </c>
      <c r="V1290">
        <f>IFERROR(VLOOKUP(IF(I1290="ENFASIS",LEFT(M1290,FIND("+",M1290&amp;"+")-1),J1290),Direccion_Grupo!$A$2:$G$100,7,FALSE),"")</f>
        <v/>
      </c>
    </row>
    <row r="1291">
      <c r="A1291" t="n">
        <v>48</v>
      </c>
      <c r="B1291" t="inlineStr">
        <is>
          <t>Torres Segura Encarnación</t>
        </is>
      </c>
      <c r="C1291" t="inlineStr">
        <is>
          <t>VIERNES</t>
        </is>
      </c>
      <c r="D1291" t="n">
        <v>2</v>
      </c>
      <c r="E1291" t="n">
        <v>1</v>
      </c>
      <c r="F1291" t="n">
        <v>2</v>
      </c>
      <c r="G1291" t="inlineStr">
        <is>
          <t>07:15</t>
        </is>
      </c>
      <c r="H1291" t="inlineStr">
        <is>
          <t>08:00</t>
        </is>
      </c>
      <c r="I1291" t="inlineStr">
        <is>
          <t>AREAS_MULTIPLES</t>
        </is>
      </c>
      <c r="J1291" t="inlineStr">
        <is>
          <t>0301</t>
        </is>
      </c>
      <c r="K1291" t="inlineStr">
        <is>
          <t>ÁREAS MÚLTIPLES</t>
        </is>
      </c>
      <c r="L1291" t="inlineStr"/>
      <c r="M1291" t="inlineStr"/>
      <c r="N1291" t="inlineStr"/>
      <c r="O1291" t="inlineStr">
        <is>
          <t>Maestro de aula: todas las áreas con su grupo</t>
        </is>
      </c>
      <c r="P1291" t="inlineStr"/>
      <c r="Q1291">
        <f>IF(I1291="ENFASIS","ÉNFASIS "&amp;M1291,IFERROR(VLOOKUP(J1291,Grupos!$A$2:$D$100,4,FALSE),J1291))</f>
        <v/>
      </c>
      <c r="R1291">
        <f>O1291&amp;IF(N1291&lt;&gt;"",IF(O1291&lt;&gt;""," · ","")&amp;"Con: "&amp;N1291,"")</f>
        <v/>
      </c>
      <c r="S1291">
        <f>C1291&amp;"|"&amp;D1291</f>
        <v/>
      </c>
      <c r="T1291">
        <f>COUNTIF($S$2:S1291,S1291)</f>
        <v/>
      </c>
      <c r="U1291">
        <f>S1291&amp;"|"&amp;T1291</f>
        <v/>
      </c>
      <c r="V1291">
        <f>IFERROR(VLOOKUP(IF(I1291="ENFASIS",LEFT(M1291,FIND("+",M1291&amp;"+")-1),J1291),Direccion_Grupo!$A$2:$G$100,7,FALSE),"")</f>
        <v/>
      </c>
    </row>
    <row r="1292">
      <c r="A1292" t="n">
        <v>24</v>
      </c>
      <c r="B1292" t="inlineStr">
        <is>
          <t>Landázuri Gallón Teresa</t>
        </is>
      </c>
      <c r="C1292" t="inlineStr">
        <is>
          <t>VIERNES</t>
        </is>
      </c>
      <c r="D1292" t="n">
        <v>2</v>
      </c>
      <c r="E1292" t="n">
        <v>1</v>
      </c>
      <c r="F1292" t="n">
        <v>2</v>
      </c>
      <c r="G1292" t="inlineStr">
        <is>
          <t>07:15</t>
        </is>
      </c>
      <c r="H1292" t="inlineStr">
        <is>
          <t>08:00</t>
        </is>
      </c>
      <c r="I1292" t="inlineStr">
        <is>
          <t>AREAS_MULTIPLES</t>
        </is>
      </c>
      <c r="J1292" t="inlineStr">
        <is>
          <t>0302</t>
        </is>
      </c>
      <c r="K1292" t="inlineStr">
        <is>
          <t>ÁREAS MÚLTIPLES</t>
        </is>
      </c>
      <c r="L1292" t="inlineStr"/>
      <c r="M1292" t="inlineStr"/>
      <c r="N1292" t="inlineStr"/>
      <c r="O1292" t="inlineStr">
        <is>
          <t>Maestro de aula: todas las áreas con su grupo</t>
        </is>
      </c>
      <c r="P1292" t="inlineStr"/>
      <c r="Q1292">
        <f>IF(I1292="ENFASIS","ÉNFASIS "&amp;M1292,IFERROR(VLOOKUP(J1292,Grupos!$A$2:$D$100,4,FALSE),J1292))</f>
        <v/>
      </c>
      <c r="R1292">
        <f>O1292&amp;IF(N1292&lt;&gt;"",IF(O1292&lt;&gt;""," · ","")&amp;"Con: "&amp;N1292,"")</f>
        <v/>
      </c>
      <c r="S1292">
        <f>C1292&amp;"|"&amp;D1292</f>
        <v/>
      </c>
      <c r="T1292">
        <f>COUNTIF($S$2:S1292,S1292)</f>
        <v/>
      </c>
      <c r="U1292">
        <f>S1292&amp;"|"&amp;T1292</f>
        <v/>
      </c>
      <c r="V1292">
        <f>IFERROR(VLOOKUP(IF(I1292="ENFASIS",LEFT(M1292,FIND("+",M1292&amp;"+")-1),J1292),Direccion_Grupo!$A$2:$G$100,7,FALSE),"")</f>
        <v/>
      </c>
    </row>
    <row r="1293">
      <c r="A1293" t="n">
        <v>55</v>
      </c>
      <c r="B1293" t="inlineStr">
        <is>
          <t>Zamora Ordóñez Celia Pastora</t>
        </is>
      </c>
      <c r="C1293" t="inlineStr">
        <is>
          <t>VIERNES</t>
        </is>
      </c>
      <c r="D1293" t="n">
        <v>2</v>
      </c>
      <c r="E1293" t="n">
        <v>1</v>
      </c>
      <c r="F1293" t="n">
        <v>2</v>
      </c>
      <c r="G1293" t="inlineStr">
        <is>
          <t>07:15</t>
        </is>
      </c>
      <c r="H1293" t="inlineStr">
        <is>
          <t>08:00</t>
        </is>
      </c>
      <c r="I1293" t="inlineStr">
        <is>
          <t>AREAS_MULTIPLES</t>
        </is>
      </c>
      <c r="J1293" t="inlineStr">
        <is>
          <t>0401</t>
        </is>
      </c>
      <c r="K1293" t="inlineStr">
        <is>
          <t>ÁREAS MÚLTIPLES</t>
        </is>
      </c>
      <c r="L1293" t="inlineStr"/>
      <c r="M1293" t="inlineStr"/>
      <c r="N1293" t="inlineStr"/>
      <c r="O1293" t="inlineStr">
        <is>
          <t>Maestro de aula: todas las áreas con su grupo</t>
        </is>
      </c>
      <c r="P1293" t="inlineStr"/>
      <c r="Q1293">
        <f>IF(I1293="ENFASIS","ÉNFASIS "&amp;M1293,IFERROR(VLOOKUP(J1293,Grupos!$A$2:$D$100,4,FALSE),J1293))</f>
        <v/>
      </c>
      <c r="R1293">
        <f>O1293&amp;IF(N1293&lt;&gt;"",IF(O1293&lt;&gt;""," · ","")&amp;"Con: "&amp;N1293,"")</f>
        <v/>
      </c>
      <c r="S1293">
        <f>C1293&amp;"|"&amp;D1293</f>
        <v/>
      </c>
      <c r="T1293">
        <f>COUNTIF($S$2:S1293,S1293)</f>
        <v/>
      </c>
      <c r="U1293">
        <f>S1293&amp;"|"&amp;T1293</f>
        <v/>
      </c>
      <c r="V1293">
        <f>IFERROR(VLOOKUP(IF(I1293="ENFASIS",LEFT(M1293,FIND("+",M1293&amp;"+")-1),J1293),Direccion_Grupo!$A$2:$G$100,7,FALSE),"")</f>
        <v/>
      </c>
    </row>
    <row r="1294">
      <c r="A1294" t="n">
        <v>33</v>
      </c>
      <c r="B1294" t="inlineStr">
        <is>
          <t>Núñez Perlaza Elcy</t>
        </is>
      </c>
      <c r="C1294" t="inlineStr">
        <is>
          <t>VIERNES</t>
        </is>
      </c>
      <c r="D1294" t="n">
        <v>2</v>
      </c>
      <c r="E1294" t="n">
        <v>1</v>
      </c>
      <c r="F1294" t="n">
        <v>2</v>
      </c>
      <c r="G1294" t="inlineStr">
        <is>
          <t>07:15</t>
        </is>
      </c>
      <c r="H1294" t="inlineStr">
        <is>
          <t>08:00</t>
        </is>
      </c>
      <c r="I1294" t="inlineStr">
        <is>
          <t>AREAS_MULTIPLES</t>
        </is>
      </c>
      <c r="J1294" t="inlineStr">
        <is>
          <t>0402</t>
        </is>
      </c>
      <c r="K1294" t="inlineStr">
        <is>
          <t>ÁREAS MÚLTIPLES</t>
        </is>
      </c>
      <c r="L1294" t="inlineStr"/>
      <c r="M1294" t="inlineStr"/>
      <c r="N1294" t="inlineStr"/>
      <c r="O1294" t="inlineStr">
        <is>
          <t>Maestro de aula: todas las áreas con su grupo</t>
        </is>
      </c>
      <c r="P1294" t="inlineStr"/>
      <c r="Q1294">
        <f>IF(I1294="ENFASIS","ÉNFASIS "&amp;M1294,IFERROR(VLOOKUP(J1294,Grupos!$A$2:$D$100,4,FALSE),J1294))</f>
        <v/>
      </c>
      <c r="R1294">
        <f>O1294&amp;IF(N1294&lt;&gt;"",IF(O1294&lt;&gt;""," · ","")&amp;"Con: "&amp;N1294,"")</f>
        <v/>
      </c>
      <c r="S1294">
        <f>C1294&amp;"|"&amp;D1294</f>
        <v/>
      </c>
      <c r="T1294">
        <f>COUNTIF($S$2:S1294,S1294)</f>
        <v/>
      </c>
      <c r="U1294">
        <f>S1294&amp;"|"&amp;T1294</f>
        <v/>
      </c>
      <c r="V1294">
        <f>IFERROR(VLOOKUP(IF(I1294="ENFASIS",LEFT(M1294,FIND("+",M1294&amp;"+")-1),J1294),Direccion_Grupo!$A$2:$G$100,7,FALSE),"")</f>
        <v/>
      </c>
    </row>
    <row r="1295">
      <c r="A1295" t="n">
        <v>14</v>
      </c>
      <c r="B1295" t="inlineStr">
        <is>
          <t>Cuéllar Gallo Nemesia</t>
        </is>
      </c>
      <c r="C1295" t="inlineStr">
        <is>
          <t>VIERNES</t>
        </is>
      </c>
      <c r="D1295" t="n">
        <v>2</v>
      </c>
      <c r="E1295" t="n">
        <v>1</v>
      </c>
      <c r="F1295" t="n">
        <v>2</v>
      </c>
      <c r="G1295" t="inlineStr">
        <is>
          <t>07:15</t>
        </is>
      </c>
      <c r="H1295" t="inlineStr">
        <is>
          <t>08:00</t>
        </is>
      </c>
      <c r="I1295" t="inlineStr">
        <is>
          <t>AREAS_MULTIPLES</t>
        </is>
      </c>
      <c r="J1295" t="inlineStr">
        <is>
          <t>0501</t>
        </is>
      </c>
      <c r="K1295" t="inlineStr">
        <is>
          <t>ÁREAS MÚLTIPLES</t>
        </is>
      </c>
      <c r="L1295" t="inlineStr"/>
      <c r="M1295" t="inlineStr"/>
      <c r="N1295" t="inlineStr"/>
      <c r="O1295" t="inlineStr">
        <is>
          <t>Maestro de aula: todas las áreas con su grupo</t>
        </is>
      </c>
      <c r="P1295" t="inlineStr"/>
      <c r="Q1295">
        <f>IF(I1295="ENFASIS","ÉNFASIS "&amp;M1295,IFERROR(VLOOKUP(J1295,Grupos!$A$2:$D$100,4,FALSE),J1295))</f>
        <v/>
      </c>
      <c r="R1295">
        <f>O1295&amp;IF(N1295&lt;&gt;"",IF(O1295&lt;&gt;""," · ","")&amp;"Con: "&amp;N1295,"")</f>
        <v/>
      </c>
      <c r="S1295">
        <f>C1295&amp;"|"&amp;D1295</f>
        <v/>
      </c>
      <c r="T1295">
        <f>COUNTIF($S$2:S1295,S1295)</f>
        <v/>
      </c>
      <c r="U1295">
        <f>S1295&amp;"|"&amp;T1295</f>
        <v/>
      </c>
      <c r="V1295">
        <f>IFERROR(VLOOKUP(IF(I1295="ENFASIS",LEFT(M1295,FIND("+",M1295&amp;"+")-1),J1295),Direccion_Grupo!$A$2:$G$100,7,FALSE),"")</f>
        <v/>
      </c>
    </row>
    <row r="1296">
      <c r="A1296" t="n">
        <v>11</v>
      </c>
      <c r="B1296" t="inlineStr">
        <is>
          <t>Centeno Zúñiga Claudia Patricia</t>
        </is>
      </c>
      <c r="C1296" t="inlineStr">
        <is>
          <t>VIERNES</t>
        </is>
      </c>
      <c r="D1296" t="n">
        <v>2</v>
      </c>
      <c r="E1296" t="n">
        <v>1</v>
      </c>
      <c r="F1296" t="n">
        <v>2</v>
      </c>
      <c r="G1296" t="inlineStr">
        <is>
          <t>07:15</t>
        </is>
      </c>
      <c r="H1296" t="inlineStr">
        <is>
          <t>08:00</t>
        </is>
      </c>
      <c r="I1296" t="inlineStr">
        <is>
          <t>AREAS_MULTIPLES</t>
        </is>
      </c>
      <c r="J1296" t="inlineStr">
        <is>
          <t>0502</t>
        </is>
      </c>
      <c r="K1296" t="inlineStr">
        <is>
          <t>ÁREAS MÚLTIPLES</t>
        </is>
      </c>
      <c r="L1296" t="inlineStr"/>
      <c r="M1296" t="inlineStr"/>
      <c r="N1296" t="inlineStr"/>
      <c r="O1296" t="inlineStr">
        <is>
          <t>Maestro de aula: todas las áreas con su grupo</t>
        </is>
      </c>
      <c r="P1296" t="inlineStr"/>
      <c r="Q1296">
        <f>IF(I1296="ENFASIS","ÉNFASIS "&amp;M1296,IFERROR(VLOOKUP(J1296,Grupos!$A$2:$D$100,4,FALSE),J1296))</f>
        <v/>
      </c>
      <c r="R1296">
        <f>O1296&amp;IF(N1296&lt;&gt;"",IF(O1296&lt;&gt;""," · ","")&amp;"Con: "&amp;N1296,"")</f>
        <v/>
      </c>
      <c r="S1296">
        <f>C1296&amp;"|"&amp;D1296</f>
        <v/>
      </c>
      <c r="T1296">
        <f>COUNTIF($S$2:S1296,S1296)</f>
        <v/>
      </c>
      <c r="U1296">
        <f>S1296&amp;"|"&amp;T1296</f>
        <v/>
      </c>
      <c r="V1296">
        <f>IFERROR(VLOOKUP(IF(I1296="ENFASIS",LEFT(M1296,FIND("+",M1296&amp;"+")-1),J1296),Direccion_Grupo!$A$2:$G$100,7,FALSE),"")</f>
        <v/>
      </c>
    </row>
    <row r="1297">
      <c r="A1297" t="n">
        <v>32</v>
      </c>
      <c r="B1297" t="inlineStr">
        <is>
          <t>Narváez Sánchez Dora Alejandra</t>
        </is>
      </c>
      <c r="C1297" t="inlineStr">
        <is>
          <t>VIERNES</t>
        </is>
      </c>
      <c r="D1297" t="n">
        <v>2</v>
      </c>
      <c r="E1297" t="n">
        <v>1</v>
      </c>
      <c r="F1297" t="n">
        <v>2</v>
      </c>
      <c r="G1297" t="inlineStr">
        <is>
          <t>07:15</t>
        </is>
      </c>
      <c r="H1297" t="inlineStr">
        <is>
          <t>08:00</t>
        </is>
      </c>
      <c r="I1297" t="inlineStr">
        <is>
          <t>AREAS_MULTIPLES</t>
        </is>
      </c>
      <c r="J1297" t="inlineStr">
        <is>
          <t>0503</t>
        </is>
      </c>
      <c r="K1297" t="inlineStr">
        <is>
          <t>ÁREAS MÚLTIPLES</t>
        </is>
      </c>
      <c r="L1297" t="inlineStr"/>
      <c r="M1297" t="inlineStr"/>
      <c r="N1297" t="inlineStr"/>
      <c r="O1297" t="inlineStr">
        <is>
          <t>Maestro de aula: todas las áreas con su grupo</t>
        </is>
      </c>
      <c r="P1297" t="inlineStr"/>
      <c r="Q1297">
        <f>IF(I1297="ENFASIS","ÉNFASIS "&amp;M1297,IFERROR(VLOOKUP(J1297,Grupos!$A$2:$D$100,4,FALSE),J1297))</f>
        <v/>
      </c>
      <c r="R1297">
        <f>O1297&amp;IF(N1297&lt;&gt;"",IF(O1297&lt;&gt;""," · ","")&amp;"Con: "&amp;N1297,"")</f>
        <v/>
      </c>
      <c r="S1297">
        <f>C1297&amp;"|"&amp;D1297</f>
        <v/>
      </c>
      <c r="T1297">
        <f>COUNTIF($S$2:S1297,S1297)</f>
        <v/>
      </c>
      <c r="U1297">
        <f>S1297&amp;"|"&amp;T1297</f>
        <v/>
      </c>
      <c r="V1297">
        <f>IFERROR(VLOOKUP(IF(I1297="ENFASIS",LEFT(M1297,FIND("+",M1297&amp;"+")-1),J1297),Direccion_Grupo!$A$2:$G$100,7,FALSE),"")</f>
        <v/>
      </c>
    </row>
    <row r="1298">
      <c r="A1298" t="n">
        <v>17</v>
      </c>
      <c r="B1298" t="inlineStr">
        <is>
          <t>Escobar Cortés Liliana</t>
        </is>
      </c>
      <c r="C1298" t="inlineStr">
        <is>
          <t>VIERNES</t>
        </is>
      </c>
      <c r="D1298" t="n">
        <v>2</v>
      </c>
      <c r="E1298" t="n">
        <v>1</v>
      </c>
      <c r="F1298" t="n">
        <v>2</v>
      </c>
      <c r="G1298" t="inlineStr">
        <is>
          <t>07:15</t>
        </is>
      </c>
      <c r="H1298" t="inlineStr">
        <is>
          <t>08:00</t>
        </is>
      </c>
      <c r="I1298" t="inlineStr">
        <is>
          <t>AREAS_MULTIPLES</t>
        </is>
      </c>
      <c r="J1298" t="inlineStr">
        <is>
          <t>0504</t>
        </is>
      </c>
      <c r="K1298" t="inlineStr">
        <is>
          <t>ÁREAS MÚLTIPLES</t>
        </is>
      </c>
      <c r="L1298" t="inlineStr"/>
      <c r="M1298" t="inlineStr"/>
      <c r="N1298" t="inlineStr"/>
      <c r="O1298" t="inlineStr">
        <is>
          <t>Maestro de aula: todas las áreas con su grupo</t>
        </is>
      </c>
      <c r="P1298" t="inlineStr"/>
      <c r="Q1298">
        <f>IF(I1298="ENFASIS","ÉNFASIS "&amp;M1298,IFERROR(VLOOKUP(J1298,Grupos!$A$2:$D$100,4,FALSE),J1298))</f>
        <v/>
      </c>
      <c r="R1298">
        <f>O1298&amp;IF(N1298&lt;&gt;"",IF(O1298&lt;&gt;""," · ","")&amp;"Con: "&amp;N1298,"")</f>
        <v/>
      </c>
      <c r="S1298">
        <f>C1298&amp;"|"&amp;D1298</f>
        <v/>
      </c>
      <c r="T1298">
        <f>COUNTIF($S$2:S1298,S1298)</f>
        <v/>
      </c>
      <c r="U1298">
        <f>S1298&amp;"|"&amp;T1298</f>
        <v/>
      </c>
      <c r="V1298">
        <f>IFERROR(VLOOKUP(IF(I1298="ENFASIS",LEFT(M1298,FIND("+",M1298&amp;"+")-1),J1298),Direccion_Grupo!$A$2:$G$100,7,FALSE),"")</f>
        <v/>
      </c>
    </row>
    <row r="1299">
      <c r="A1299" t="n">
        <v>37</v>
      </c>
      <c r="B1299" t="inlineStr">
        <is>
          <t>Prado Quiñones Genís Maribel</t>
        </is>
      </c>
      <c r="C1299" t="inlineStr">
        <is>
          <t>VIERNES</t>
        </is>
      </c>
      <c r="D1299" t="n">
        <v>2</v>
      </c>
      <c r="E1299" t="n">
        <v>1</v>
      </c>
      <c r="F1299" t="n">
        <v>2</v>
      </c>
      <c r="G1299" t="inlineStr">
        <is>
          <t>07:15</t>
        </is>
      </c>
      <c r="H1299" t="inlineStr">
        <is>
          <t>08:00</t>
        </is>
      </c>
      <c r="I1299" t="inlineStr">
        <is>
          <t>CLASE</t>
        </is>
      </c>
      <c r="J1299" t="inlineStr">
        <is>
          <t>0601</t>
        </is>
      </c>
      <c r="K1299" t="inlineStr">
        <is>
          <t>CNA</t>
        </is>
      </c>
      <c r="L1299" t="inlineStr"/>
      <c r="M1299" t="inlineStr"/>
      <c r="N1299" t="inlineStr"/>
      <c r="O1299" t="inlineStr"/>
      <c r="P1299" t="inlineStr">
        <is>
          <t>0601-CNA</t>
        </is>
      </c>
      <c r="Q1299">
        <f>IF(I1299="ENFASIS","ÉNFASIS "&amp;M1299,IFERROR(VLOOKUP(J1299,Grupos!$A$2:$D$100,4,FALSE),J1299))</f>
        <v/>
      </c>
      <c r="R1299">
        <f>O1299&amp;IF(N1299&lt;&gt;"",IF(O1299&lt;&gt;""," · ","")&amp;"Con: "&amp;N1299,"")</f>
        <v/>
      </c>
      <c r="S1299">
        <f>C1299&amp;"|"&amp;D1299</f>
        <v/>
      </c>
      <c r="T1299">
        <f>COUNTIF($S$2:S1299,S1299)</f>
        <v/>
      </c>
      <c r="U1299">
        <f>S1299&amp;"|"&amp;T1299</f>
        <v/>
      </c>
      <c r="V1299">
        <f>IFERROR(VLOOKUP(IF(I1299="ENFASIS",LEFT(M1299,FIND("+",M1299&amp;"+")-1),J1299),Direccion_Grupo!$A$2:$G$100,7,FALSE),"")</f>
        <v/>
      </c>
    </row>
    <row r="1300">
      <c r="A1300" t="n">
        <v>42</v>
      </c>
      <c r="B1300" t="inlineStr">
        <is>
          <t>Quiñones Cabezas Marcos Vidal</t>
        </is>
      </c>
      <c r="C1300" t="inlineStr">
        <is>
          <t>VIERNES</t>
        </is>
      </c>
      <c r="D1300" t="n">
        <v>2</v>
      </c>
      <c r="E1300" t="n">
        <v>1</v>
      </c>
      <c r="F1300" t="n">
        <v>2</v>
      </c>
      <c r="G1300" t="inlineStr">
        <is>
          <t>07:15</t>
        </is>
      </c>
      <c r="H1300" t="inlineStr">
        <is>
          <t>08:00</t>
        </is>
      </c>
      <c r="I1300" t="inlineStr">
        <is>
          <t>CLASE</t>
        </is>
      </c>
      <c r="J1300" t="inlineStr">
        <is>
          <t>0602</t>
        </is>
      </c>
      <c r="K1300" t="inlineStr">
        <is>
          <t>MAT</t>
        </is>
      </c>
      <c r="L1300" t="inlineStr"/>
      <c r="M1300" t="inlineStr"/>
      <c r="N1300" t="inlineStr"/>
      <c r="O1300" t="inlineStr"/>
      <c r="P1300" t="inlineStr">
        <is>
          <t>0602-MAT</t>
        </is>
      </c>
      <c r="Q1300">
        <f>IF(I1300="ENFASIS","ÉNFASIS "&amp;M1300,IFERROR(VLOOKUP(J1300,Grupos!$A$2:$D$100,4,FALSE),J1300))</f>
        <v/>
      </c>
      <c r="R1300">
        <f>O1300&amp;IF(N1300&lt;&gt;"",IF(O1300&lt;&gt;""," · ","")&amp;"Con: "&amp;N1300,"")</f>
        <v/>
      </c>
      <c r="S1300">
        <f>C1300&amp;"|"&amp;D1300</f>
        <v/>
      </c>
      <c r="T1300">
        <f>COUNTIF($S$2:S1300,S1300)</f>
        <v/>
      </c>
      <c r="U1300">
        <f>S1300&amp;"|"&amp;T1300</f>
        <v/>
      </c>
      <c r="V1300">
        <f>IFERROR(VLOOKUP(IF(I1300="ENFASIS",LEFT(M1300,FIND("+",M1300&amp;"+")-1),J1300),Direccion_Grupo!$A$2:$G$100,7,FALSE),"")</f>
        <v/>
      </c>
    </row>
    <row r="1301">
      <c r="A1301" t="n">
        <v>4</v>
      </c>
      <c r="B1301" t="inlineStr">
        <is>
          <t>Arizala Castro Roberto Carlos</t>
        </is>
      </c>
      <c r="C1301" t="inlineStr">
        <is>
          <t>VIERNES</t>
        </is>
      </c>
      <c r="D1301" t="n">
        <v>2</v>
      </c>
      <c r="E1301" t="n">
        <v>1</v>
      </c>
      <c r="F1301" t="n">
        <v>2</v>
      </c>
      <c r="G1301" t="inlineStr">
        <is>
          <t>07:15</t>
        </is>
      </c>
      <c r="H1301" t="inlineStr">
        <is>
          <t>08:00</t>
        </is>
      </c>
      <c r="I1301" t="inlineStr">
        <is>
          <t>CLASE</t>
        </is>
      </c>
      <c r="J1301" t="inlineStr">
        <is>
          <t>0701</t>
        </is>
      </c>
      <c r="K1301" t="inlineStr">
        <is>
          <t>ERD</t>
        </is>
      </c>
      <c r="L1301" t="inlineStr"/>
      <c r="M1301" t="inlineStr"/>
      <c r="N1301" t="inlineStr"/>
      <c r="O1301" t="inlineStr"/>
      <c r="P1301" t="inlineStr">
        <is>
          <t>0701-ERD</t>
        </is>
      </c>
      <c r="Q1301">
        <f>IF(I1301="ENFASIS","ÉNFASIS "&amp;M1301,IFERROR(VLOOKUP(J1301,Grupos!$A$2:$D$100,4,FALSE),J1301))</f>
        <v/>
      </c>
      <c r="R1301">
        <f>O1301&amp;IF(N1301&lt;&gt;"",IF(O1301&lt;&gt;""," · ","")&amp;"Con: "&amp;N1301,"")</f>
        <v/>
      </c>
      <c r="S1301">
        <f>C1301&amp;"|"&amp;D1301</f>
        <v/>
      </c>
      <c r="T1301">
        <f>COUNTIF($S$2:S1301,S1301)</f>
        <v/>
      </c>
      <c r="U1301">
        <f>S1301&amp;"|"&amp;T1301</f>
        <v/>
      </c>
      <c r="V1301">
        <f>IFERROR(VLOOKUP(IF(I1301="ENFASIS",LEFT(M1301,FIND("+",M1301&amp;"+")-1),J1301),Direccion_Grupo!$A$2:$G$100,7,FALSE),"")</f>
        <v/>
      </c>
    </row>
    <row r="1302">
      <c r="A1302" t="n">
        <v>39</v>
      </c>
      <c r="B1302" t="inlineStr">
        <is>
          <t>Puches Ana Milena</t>
        </is>
      </c>
      <c r="C1302" t="inlineStr">
        <is>
          <t>VIERNES</t>
        </is>
      </c>
      <c r="D1302" t="n">
        <v>2</v>
      </c>
      <c r="E1302" t="n">
        <v>1</v>
      </c>
      <c r="F1302" t="n">
        <v>2</v>
      </c>
      <c r="G1302" t="inlineStr">
        <is>
          <t>07:15</t>
        </is>
      </c>
      <c r="H1302" t="inlineStr">
        <is>
          <t>08:00</t>
        </is>
      </c>
      <c r="I1302" t="inlineStr">
        <is>
          <t>CLASE</t>
        </is>
      </c>
      <c r="J1302" t="inlineStr">
        <is>
          <t>0702</t>
        </is>
      </c>
      <c r="K1302" t="inlineStr">
        <is>
          <t>ART</t>
        </is>
      </c>
      <c r="L1302" t="inlineStr"/>
      <c r="M1302" t="inlineStr"/>
      <c r="N1302" t="inlineStr"/>
      <c r="O1302" t="inlineStr"/>
      <c r="P1302" t="inlineStr">
        <is>
          <t>0702-ART</t>
        </is>
      </c>
      <c r="Q1302">
        <f>IF(I1302="ENFASIS","ÉNFASIS "&amp;M1302,IFERROR(VLOOKUP(J1302,Grupos!$A$2:$D$100,4,FALSE),J1302))</f>
        <v/>
      </c>
      <c r="R1302">
        <f>O1302&amp;IF(N1302&lt;&gt;"",IF(O1302&lt;&gt;""," · ","")&amp;"Con: "&amp;N1302,"")</f>
        <v/>
      </c>
      <c r="S1302">
        <f>C1302&amp;"|"&amp;D1302</f>
        <v/>
      </c>
      <c r="T1302">
        <f>COUNTIF($S$2:S1302,S1302)</f>
        <v/>
      </c>
      <c r="U1302">
        <f>S1302&amp;"|"&amp;T1302</f>
        <v/>
      </c>
      <c r="V1302">
        <f>IFERROR(VLOOKUP(IF(I1302="ENFASIS",LEFT(M1302,FIND("+",M1302&amp;"+")-1),J1302),Direccion_Grupo!$A$2:$G$100,7,FALSE),"")</f>
        <v/>
      </c>
    </row>
    <row r="1303">
      <c r="A1303" t="n">
        <v>10</v>
      </c>
      <c r="B1303" t="inlineStr">
        <is>
          <t>Castillo Cuero Daira Eneida</t>
        </is>
      </c>
      <c r="C1303" t="inlineStr">
        <is>
          <t>VIERNES</t>
        </is>
      </c>
      <c r="D1303" t="n">
        <v>2</v>
      </c>
      <c r="E1303" t="n">
        <v>1</v>
      </c>
      <c r="F1303" t="n">
        <v>2</v>
      </c>
      <c r="G1303" t="inlineStr">
        <is>
          <t>07:15</t>
        </is>
      </c>
      <c r="H1303" t="inlineStr">
        <is>
          <t>08:00</t>
        </is>
      </c>
      <c r="I1303" t="inlineStr">
        <is>
          <t>CLASE</t>
        </is>
      </c>
      <c r="J1303" t="inlineStr">
        <is>
          <t>0703</t>
        </is>
      </c>
      <c r="K1303" t="inlineStr">
        <is>
          <t>CAS</t>
        </is>
      </c>
      <c r="L1303" t="inlineStr"/>
      <c r="M1303" t="inlineStr"/>
      <c r="N1303" t="inlineStr"/>
      <c r="O1303" t="inlineStr"/>
      <c r="P1303" t="inlineStr">
        <is>
          <t>0703-CAS</t>
        </is>
      </c>
      <c r="Q1303">
        <f>IF(I1303="ENFASIS","ÉNFASIS "&amp;M1303,IFERROR(VLOOKUP(J1303,Grupos!$A$2:$D$100,4,FALSE),J1303))</f>
        <v/>
      </c>
      <c r="R1303">
        <f>O1303&amp;IF(N1303&lt;&gt;"",IF(O1303&lt;&gt;""," · ","")&amp;"Con: "&amp;N1303,"")</f>
        <v/>
      </c>
      <c r="S1303">
        <f>C1303&amp;"|"&amp;D1303</f>
        <v/>
      </c>
      <c r="T1303">
        <f>COUNTIF($S$2:S1303,S1303)</f>
        <v/>
      </c>
      <c r="U1303">
        <f>S1303&amp;"|"&amp;T1303</f>
        <v/>
      </c>
      <c r="V1303">
        <f>IFERROR(VLOOKUP(IF(I1303="ENFASIS",LEFT(M1303,FIND("+",M1303&amp;"+")-1),J1303),Direccion_Grupo!$A$2:$G$100,7,FALSE),"")</f>
        <v/>
      </c>
    </row>
    <row r="1304">
      <c r="A1304" t="n">
        <v>34</v>
      </c>
      <c r="B1304" t="inlineStr">
        <is>
          <t>Ordóñez Tenorio Jaime Marcial</t>
        </is>
      </c>
      <c r="C1304" t="inlineStr">
        <is>
          <t>VIERNES</t>
        </is>
      </c>
      <c r="D1304" t="n">
        <v>2</v>
      </c>
      <c r="E1304" t="n">
        <v>1</v>
      </c>
      <c r="F1304" t="n">
        <v>2</v>
      </c>
      <c r="G1304" t="inlineStr">
        <is>
          <t>07:15</t>
        </is>
      </c>
      <c r="H1304" t="inlineStr">
        <is>
          <t>08:00</t>
        </is>
      </c>
      <c r="I1304" t="inlineStr">
        <is>
          <t>CLASE</t>
        </is>
      </c>
      <c r="J1304" t="inlineStr">
        <is>
          <t>0704</t>
        </is>
      </c>
      <c r="K1304" t="inlineStr">
        <is>
          <t>CNA</t>
        </is>
      </c>
      <c r="L1304" t="inlineStr"/>
      <c r="M1304" t="inlineStr"/>
      <c r="N1304" t="inlineStr"/>
      <c r="O1304" t="inlineStr"/>
      <c r="P1304" t="inlineStr">
        <is>
          <t>0704-CNA</t>
        </is>
      </c>
      <c r="Q1304">
        <f>IF(I1304="ENFASIS","ÉNFASIS "&amp;M1304,IFERROR(VLOOKUP(J1304,Grupos!$A$2:$D$100,4,FALSE),J1304))</f>
        <v/>
      </c>
      <c r="R1304">
        <f>O1304&amp;IF(N1304&lt;&gt;"",IF(O1304&lt;&gt;""," · ","")&amp;"Con: "&amp;N1304,"")</f>
        <v/>
      </c>
      <c r="S1304">
        <f>C1304&amp;"|"&amp;D1304</f>
        <v/>
      </c>
      <c r="T1304">
        <f>COUNTIF($S$2:S1304,S1304)</f>
        <v/>
      </c>
      <c r="U1304">
        <f>S1304&amp;"|"&amp;T1304</f>
        <v/>
      </c>
      <c r="V1304">
        <f>IFERROR(VLOOKUP(IF(I1304="ENFASIS",LEFT(M1304,FIND("+",M1304&amp;"+")-1),J1304),Direccion_Grupo!$A$2:$G$100,7,FALSE),"")</f>
        <v/>
      </c>
    </row>
    <row r="1305">
      <c r="A1305" t="n">
        <v>35</v>
      </c>
      <c r="B1305" t="inlineStr">
        <is>
          <t>Ortiz Araujo Adiela Carlota</t>
        </is>
      </c>
      <c r="C1305" t="inlineStr">
        <is>
          <t>VIERNES</t>
        </is>
      </c>
      <c r="D1305" t="n">
        <v>2</v>
      </c>
      <c r="E1305" t="n">
        <v>1</v>
      </c>
      <c r="F1305" t="n">
        <v>2</v>
      </c>
      <c r="G1305" t="inlineStr">
        <is>
          <t>07:15</t>
        </is>
      </c>
      <c r="H1305" t="inlineStr">
        <is>
          <t>08:00</t>
        </is>
      </c>
      <c r="I1305" t="inlineStr">
        <is>
          <t>CLASE</t>
        </is>
      </c>
      <c r="J1305" t="inlineStr">
        <is>
          <t>0801</t>
        </is>
      </c>
      <c r="K1305" t="inlineStr">
        <is>
          <t>CSI</t>
        </is>
      </c>
      <c r="L1305" t="inlineStr"/>
      <c r="M1305" t="inlineStr"/>
      <c r="N1305" t="inlineStr"/>
      <c r="O1305" t="inlineStr">
        <is>
          <t>Sociales / Inglés (alternan cada semana)</t>
        </is>
      </c>
      <c r="P1305" t="inlineStr">
        <is>
          <t>0801-CSI</t>
        </is>
      </c>
      <c r="Q1305">
        <f>IF(I1305="ENFASIS","ÉNFASIS "&amp;M1305,IFERROR(VLOOKUP(J1305,Grupos!$A$2:$D$100,4,FALSE),J1305))</f>
        <v/>
      </c>
      <c r="R1305">
        <f>O1305&amp;IF(N1305&lt;&gt;"",IF(O1305&lt;&gt;""," · ","")&amp;"Con: "&amp;N1305,"")</f>
        <v/>
      </c>
      <c r="S1305">
        <f>C1305&amp;"|"&amp;D1305</f>
        <v/>
      </c>
      <c r="T1305">
        <f>COUNTIF($S$2:S1305,S1305)</f>
        <v/>
      </c>
      <c r="U1305">
        <f>S1305&amp;"|"&amp;T1305</f>
        <v/>
      </c>
      <c r="V1305">
        <f>IFERROR(VLOOKUP(IF(I1305="ENFASIS",LEFT(M1305,FIND("+",M1305&amp;"+")-1),J1305),Direccion_Grupo!$A$2:$G$100,7,FALSE),"")</f>
        <v/>
      </c>
    </row>
    <row r="1306">
      <c r="A1306" t="n">
        <v>19</v>
      </c>
      <c r="B1306" t="inlineStr">
        <is>
          <t>Fernández Vélez Alfredo Enrique</t>
        </is>
      </c>
      <c r="C1306" t="inlineStr">
        <is>
          <t>VIERNES</t>
        </is>
      </c>
      <c r="D1306" t="n">
        <v>2</v>
      </c>
      <c r="E1306" t="n">
        <v>1</v>
      </c>
      <c r="F1306" t="n">
        <v>2</v>
      </c>
      <c r="G1306" t="inlineStr">
        <is>
          <t>07:15</t>
        </is>
      </c>
      <c r="H1306" t="inlineStr">
        <is>
          <t>08:00</t>
        </is>
      </c>
      <c r="I1306" t="inlineStr">
        <is>
          <t>CLASE</t>
        </is>
      </c>
      <c r="J1306" t="inlineStr">
        <is>
          <t>0802</t>
        </is>
      </c>
      <c r="K1306" t="inlineStr">
        <is>
          <t>TEI</t>
        </is>
      </c>
      <c r="L1306" t="inlineStr"/>
      <c r="M1306" t="inlineStr"/>
      <c r="N1306" t="inlineStr"/>
      <c r="O1306" t="inlineStr"/>
      <c r="P1306" t="inlineStr">
        <is>
          <t>0802-TEI</t>
        </is>
      </c>
      <c r="Q1306">
        <f>IF(I1306="ENFASIS","ÉNFASIS "&amp;M1306,IFERROR(VLOOKUP(J1306,Grupos!$A$2:$D$100,4,FALSE),J1306))</f>
        <v/>
      </c>
      <c r="R1306">
        <f>O1306&amp;IF(N1306&lt;&gt;"",IF(O1306&lt;&gt;""," · ","")&amp;"Con: "&amp;N1306,"")</f>
        <v/>
      </c>
      <c r="S1306">
        <f>C1306&amp;"|"&amp;D1306</f>
        <v/>
      </c>
      <c r="T1306">
        <f>COUNTIF($S$2:S1306,S1306)</f>
        <v/>
      </c>
      <c r="U1306">
        <f>S1306&amp;"|"&amp;T1306</f>
        <v/>
      </c>
      <c r="V1306">
        <f>IFERROR(VLOOKUP(IF(I1306="ENFASIS",LEFT(M1306,FIND("+",M1306&amp;"+")-1),J1306),Direccion_Grupo!$A$2:$G$100,7,FALSE),"")</f>
        <v/>
      </c>
    </row>
    <row r="1307">
      <c r="A1307" t="n">
        <v>29</v>
      </c>
      <c r="B1307" t="inlineStr">
        <is>
          <t>Mindineros Satizábal John Jáver</t>
        </is>
      </c>
      <c r="C1307" t="inlineStr">
        <is>
          <t>VIERNES</t>
        </is>
      </c>
      <c r="D1307" t="n">
        <v>2</v>
      </c>
      <c r="E1307" t="n">
        <v>1</v>
      </c>
      <c r="F1307" t="n">
        <v>2</v>
      </c>
      <c r="G1307" t="inlineStr">
        <is>
          <t>07:15</t>
        </is>
      </c>
      <c r="H1307" t="inlineStr">
        <is>
          <t>08:00</t>
        </is>
      </c>
      <c r="I1307" t="inlineStr">
        <is>
          <t>CLASE</t>
        </is>
      </c>
      <c r="J1307" t="inlineStr">
        <is>
          <t>0901</t>
        </is>
      </c>
      <c r="K1307" t="inlineStr">
        <is>
          <t>TEI</t>
        </is>
      </c>
      <c r="L1307" t="inlineStr"/>
      <c r="M1307" t="inlineStr"/>
      <c r="N1307" t="inlineStr"/>
      <c r="O1307" t="inlineStr"/>
      <c r="P1307" t="inlineStr">
        <is>
          <t>0901-TEI</t>
        </is>
      </c>
      <c r="Q1307">
        <f>IF(I1307="ENFASIS","ÉNFASIS "&amp;M1307,IFERROR(VLOOKUP(J1307,Grupos!$A$2:$D$100,4,FALSE),J1307))</f>
        <v/>
      </c>
      <c r="R1307">
        <f>O1307&amp;IF(N1307&lt;&gt;"",IF(O1307&lt;&gt;""," · ","")&amp;"Con: "&amp;N1307,"")</f>
        <v/>
      </c>
      <c r="S1307">
        <f>C1307&amp;"|"&amp;D1307</f>
        <v/>
      </c>
      <c r="T1307">
        <f>COUNTIF($S$2:S1307,S1307)</f>
        <v/>
      </c>
      <c r="U1307">
        <f>S1307&amp;"|"&amp;T1307</f>
        <v/>
      </c>
      <c r="V1307">
        <f>IFERROR(VLOOKUP(IF(I1307="ENFASIS",LEFT(M1307,FIND("+",M1307&amp;"+")-1),J1307),Direccion_Grupo!$A$2:$G$100,7,FALSE),"")</f>
        <v/>
      </c>
    </row>
    <row r="1308">
      <c r="A1308" t="n">
        <v>18</v>
      </c>
      <c r="B1308" t="inlineStr">
        <is>
          <t>Estacio Estupiñán Rosario</t>
        </is>
      </c>
      <c r="C1308" t="inlineStr">
        <is>
          <t>VIERNES</t>
        </is>
      </c>
      <c r="D1308" t="n">
        <v>2</v>
      </c>
      <c r="E1308" t="n">
        <v>1</v>
      </c>
      <c r="F1308" t="n">
        <v>2</v>
      </c>
      <c r="G1308" t="inlineStr">
        <is>
          <t>07:15</t>
        </is>
      </c>
      <c r="H1308" t="inlineStr">
        <is>
          <t>08:00</t>
        </is>
      </c>
      <c r="I1308" t="inlineStr">
        <is>
          <t>CLASE</t>
        </is>
      </c>
      <c r="J1308" t="inlineStr">
        <is>
          <t>0902</t>
        </is>
      </c>
      <c r="K1308" t="inlineStr">
        <is>
          <t>ETR</t>
        </is>
      </c>
      <c r="L1308" t="inlineStr"/>
      <c r="M1308" t="inlineStr"/>
      <c r="N1308" t="inlineStr"/>
      <c r="O1308" t="inlineStr">
        <is>
          <t>Ética / Religión (alternan cada semana)</t>
        </is>
      </c>
      <c r="P1308" t="inlineStr">
        <is>
          <t>0902-ETR</t>
        </is>
      </c>
      <c r="Q1308">
        <f>IF(I1308="ENFASIS","ÉNFASIS "&amp;M1308,IFERROR(VLOOKUP(J1308,Grupos!$A$2:$D$100,4,FALSE),J1308))</f>
        <v/>
      </c>
      <c r="R1308">
        <f>O1308&amp;IF(N1308&lt;&gt;"",IF(O1308&lt;&gt;""," · ","")&amp;"Con: "&amp;N1308,"")</f>
        <v/>
      </c>
      <c r="S1308">
        <f>C1308&amp;"|"&amp;D1308</f>
        <v/>
      </c>
      <c r="T1308">
        <f>COUNTIF($S$2:S1308,S1308)</f>
        <v/>
      </c>
      <c r="U1308">
        <f>S1308&amp;"|"&amp;T1308</f>
        <v/>
      </c>
      <c r="V1308">
        <f>IFERROR(VLOOKUP(IF(I1308="ENFASIS",LEFT(M1308,FIND("+",M1308&amp;"+")-1),J1308),Direccion_Grupo!$A$2:$G$100,7,FALSE),"")</f>
        <v/>
      </c>
    </row>
    <row r="1309">
      <c r="A1309" t="n">
        <v>6</v>
      </c>
      <c r="B1309" t="inlineStr">
        <is>
          <t>Betancourth Ocampo Yohana Patricia</t>
        </is>
      </c>
      <c r="C1309" t="inlineStr">
        <is>
          <t>VIERNES</t>
        </is>
      </c>
      <c r="D1309" t="n">
        <v>2</v>
      </c>
      <c r="E1309" t="n">
        <v>1</v>
      </c>
      <c r="F1309" t="n">
        <v>2</v>
      </c>
      <c r="G1309" t="inlineStr">
        <is>
          <t>07:15</t>
        </is>
      </c>
      <c r="H1309" t="inlineStr">
        <is>
          <t>08:00</t>
        </is>
      </c>
      <c r="I1309" t="inlineStr">
        <is>
          <t>CLASE</t>
        </is>
      </c>
      <c r="J1309" t="inlineStr">
        <is>
          <t>1001</t>
        </is>
      </c>
      <c r="K1309" t="inlineStr">
        <is>
          <t>CSI</t>
        </is>
      </c>
      <c r="L1309" t="inlineStr"/>
      <c r="M1309" t="inlineStr"/>
      <c r="N1309" t="inlineStr"/>
      <c r="O1309" t="inlineStr">
        <is>
          <t>Sociales / Inglés (alternan cada semana)</t>
        </is>
      </c>
      <c r="P1309" t="inlineStr">
        <is>
          <t>1001-CSI</t>
        </is>
      </c>
      <c r="Q1309">
        <f>IF(I1309="ENFASIS","ÉNFASIS "&amp;M1309,IFERROR(VLOOKUP(J1309,Grupos!$A$2:$D$100,4,FALSE),J1309))</f>
        <v/>
      </c>
      <c r="R1309">
        <f>O1309&amp;IF(N1309&lt;&gt;"",IF(O1309&lt;&gt;""," · ","")&amp;"Con: "&amp;N1309,"")</f>
        <v/>
      </c>
      <c r="S1309">
        <f>C1309&amp;"|"&amp;D1309</f>
        <v/>
      </c>
      <c r="T1309">
        <f>COUNTIF($S$2:S1309,S1309)</f>
        <v/>
      </c>
      <c r="U1309">
        <f>S1309&amp;"|"&amp;T1309</f>
        <v/>
      </c>
      <c r="V1309">
        <f>IFERROR(VLOOKUP(IF(I1309="ENFASIS",LEFT(M1309,FIND("+",M1309&amp;"+")-1),J1309),Direccion_Grupo!$A$2:$G$100,7,FALSE),"")</f>
        <v/>
      </c>
    </row>
    <row r="1310">
      <c r="A1310" t="n">
        <v>3</v>
      </c>
      <c r="B1310" t="inlineStr">
        <is>
          <t>Arboleda Ortiz Luz América</t>
        </is>
      </c>
      <c r="C1310" t="inlineStr">
        <is>
          <t>VIERNES</t>
        </is>
      </c>
      <c r="D1310" t="n">
        <v>2</v>
      </c>
      <c r="E1310" t="n">
        <v>1</v>
      </c>
      <c r="F1310" t="n">
        <v>2</v>
      </c>
      <c r="G1310" t="inlineStr">
        <is>
          <t>07:15</t>
        </is>
      </c>
      <c r="H1310" t="inlineStr">
        <is>
          <t>08:00</t>
        </is>
      </c>
      <c r="I1310" t="inlineStr">
        <is>
          <t>CLASE</t>
        </is>
      </c>
      <c r="J1310" t="inlineStr">
        <is>
          <t>1002</t>
        </is>
      </c>
      <c r="K1310" t="inlineStr">
        <is>
          <t>ART</t>
        </is>
      </c>
      <c r="L1310" t="inlineStr"/>
      <c r="M1310" t="inlineStr"/>
      <c r="N1310" t="inlineStr"/>
      <c r="O1310" t="inlineStr"/>
      <c r="P1310" t="inlineStr">
        <is>
          <t>1002-ART</t>
        </is>
      </c>
      <c r="Q1310">
        <f>IF(I1310="ENFASIS","ÉNFASIS "&amp;M1310,IFERROR(VLOOKUP(J1310,Grupos!$A$2:$D$100,4,FALSE),J1310))</f>
        <v/>
      </c>
      <c r="R1310">
        <f>O1310&amp;IF(N1310&lt;&gt;"",IF(O1310&lt;&gt;""," · ","")&amp;"Con: "&amp;N1310,"")</f>
        <v/>
      </c>
      <c r="S1310">
        <f>C1310&amp;"|"&amp;D1310</f>
        <v/>
      </c>
      <c r="T1310">
        <f>COUNTIF($S$2:S1310,S1310)</f>
        <v/>
      </c>
      <c r="U1310">
        <f>S1310&amp;"|"&amp;T1310</f>
        <v/>
      </c>
      <c r="V1310">
        <f>IFERROR(VLOOKUP(IF(I1310="ENFASIS",LEFT(M1310,FIND("+",M1310&amp;"+")-1),J1310),Direccion_Grupo!$A$2:$G$100,7,FALSE),"")</f>
        <v/>
      </c>
    </row>
    <row r="1311">
      <c r="A1311" t="n">
        <v>43</v>
      </c>
      <c r="B1311" t="inlineStr">
        <is>
          <t>Ramírez Guerra Jimmy Eduardo</t>
        </is>
      </c>
      <c r="C1311" t="inlineStr">
        <is>
          <t>VIERNES</t>
        </is>
      </c>
      <c r="D1311" t="n">
        <v>2</v>
      </c>
      <c r="E1311" t="n">
        <v>1</v>
      </c>
      <c r="F1311" t="n">
        <v>2</v>
      </c>
      <c r="G1311" t="inlineStr">
        <is>
          <t>07:15</t>
        </is>
      </c>
      <c r="H1311" t="inlineStr">
        <is>
          <t>08:00</t>
        </is>
      </c>
      <c r="I1311" t="inlineStr">
        <is>
          <t>CLASE</t>
        </is>
      </c>
      <c r="J1311" t="inlineStr">
        <is>
          <t>1101</t>
        </is>
      </c>
      <c r="K1311" t="inlineStr">
        <is>
          <t>ERD</t>
        </is>
      </c>
      <c r="L1311" t="inlineStr"/>
      <c r="M1311" t="inlineStr"/>
      <c r="N1311" t="inlineStr"/>
      <c r="O1311" t="inlineStr"/>
      <c r="P1311" t="inlineStr">
        <is>
          <t>1101-ERD</t>
        </is>
      </c>
      <c r="Q1311">
        <f>IF(I1311="ENFASIS","ÉNFASIS "&amp;M1311,IFERROR(VLOOKUP(J1311,Grupos!$A$2:$D$100,4,FALSE),J1311))</f>
        <v/>
      </c>
      <c r="R1311">
        <f>O1311&amp;IF(N1311&lt;&gt;"",IF(O1311&lt;&gt;""," · ","")&amp;"Con: "&amp;N1311,"")</f>
        <v/>
      </c>
      <c r="S1311">
        <f>C1311&amp;"|"&amp;D1311</f>
        <v/>
      </c>
      <c r="T1311">
        <f>COUNTIF($S$2:S1311,S1311)</f>
        <v/>
      </c>
      <c r="U1311">
        <f>S1311&amp;"|"&amp;T1311</f>
        <v/>
      </c>
      <c r="V1311">
        <f>IFERROR(VLOOKUP(IF(I1311="ENFASIS",LEFT(M1311,FIND("+",M1311&amp;"+")-1),J1311),Direccion_Grupo!$A$2:$G$100,7,FALSE),"")</f>
        <v/>
      </c>
    </row>
    <row r="1312">
      <c r="A1312" t="n">
        <v>15</v>
      </c>
      <c r="B1312" t="inlineStr">
        <is>
          <t>Cuero Bamba Berte Levi</t>
        </is>
      </c>
      <c r="C1312" t="inlineStr">
        <is>
          <t>VIERNES</t>
        </is>
      </c>
      <c r="D1312" t="n">
        <v>2</v>
      </c>
      <c r="E1312" t="n">
        <v>1</v>
      </c>
      <c r="F1312" t="n">
        <v>2</v>
      </c>
      <c r="G1312" t="inlineStr">
        <is>
          <t>07:15</t>
        </is>
      </c>
      <c r="H1312" t="inlineStr">
        <is>
          <t>08:00</t>
        </is>
      </c>
      <c r="I1312" t="inlineStr">
        <is>
          <t>CLASE</t>
        </is>
      </c>
      <c r="J1312" t="inlineStr">
        <is>
          <t>CS202</t>
        </is>
      </c>
      <c r="K1312" t="inlineStr">
        <is>
          <t>ERD</t>
        </is>
      </c>
      <c r="L1312" t="inlineStr"/>
      <c r="M1312" t="inlineStr"/>
      <c r="N1312" t="inlineStr"/>
      <c r="O1312" t="inlineStr"/>
      <c r="P1312" t="inlineStr">
        <is>
          <t>CS202-ERD</t>
        </is>
      </c>
      <c r="Q1312">
        <f>IF(I1312="ENFASIS","ÉNFASIS "&amp;M1312,IFERROR(VLOOKUP(J1312,Grupos!$A$2:$D$100,4,FALSE),J1312))</f>
        <v/>
      </c>
      <c r="R1312">
        <f>O1312&amp;IF(N1312&lt;&gt;"",IF(O1312&lt;&gt;""," · ","")&amp;"Con: "&amp;N1312,"")</f>
        <v/>
      </c>
      <c r="S1312">
        <f>C1312&amp;"|"&amp;D1312</f>
        <v/>
      </c>
      <c r="T1312">
        <f>COUNTIF($S$2:S1312,S1312)</f>
        <v/>
      </c>
      <c r="U1312">
        <f>S1312&amp;"|"&amp;T1312</f>
        <v/>
      </c>
      <c r="V1312">
        <f>IFERROR(VLOOKUP(IF(I1312="ENFASIS",LEFT(M1312,FIND("+",M1312&amp;"+")-1),J1312),Direccion_Grupo!$A$2:$G$100,7,FALSE),"")</f>
        <v/>
      </c>
    </row>
    <row r="1313">
      <c r="A1313" t="n">
        <v>7</v>
      </c>
      <c r="B1313" t="inlineStr">
        <is>
          <t>Casanova Casanova Johana Andrea</t>
        </is>
      </c>
      <c r="C1313" t="inlineStr">
        <is>
          <t>VIERNES</t>
        </is>
      </c>
      <c r="D1313" t="n">
        <v>2</v>
      </c>
      <c r="E1313" t="n">
        <v>1</v>
      </c>
      <c r="F1313" t="n">
        <v>2</v>
      </c>
      <c r="G1313" t="inlineStr">
        <is>
          <t>07:15</t>
        </is>
      </c>
      <c r="H1313" t="inlineStr">
        <is>
          <t>08:00</t>
        </is>
      </c>
      <c r="I1313" t="inlineStr">
        <is>
          <t>ORIENTACION</t>
        </is>
      </c>
      <c r="J1313" t="inlineStr">
        <is>
          <t>ORIENT</t>
        </is>
      </c>
      <c r="K1313" t="inlineStr">
        <is>
          <t>ORIENTACIÓN ESCOLAR</t>
        </is>
      </c>
      <c r="L1313" t="inlineStr"/>
      <c r="M1313" t="inlineStr"/>
      <c r="N1313" t="inlineStr"/>
      <c r="O1313" t="inlineStr">
        <is>
          <t>Jornada 07:30 a 14:30</t>
        </is>
      </c>
      <c r="P1313" t="inlineStr"/>
      <c r="Q1313">
        <f>IF(I1313="ENFASIS","ÉNFASIS "&amp;M1313,IFERROR(VLOOKUP(J1313,Grupos!$A$2:$D$100,4,FALSE),J1313))</f>
        <v/>
      </c>
      <c r="R1313">
        <f>O1313&amp;IF(N1313&lt;&gt;"",IF(O1313&lt;&gt;""," · ","")&amp;"Con: "&amp;N1313,"")</f>
        <v/>
      </c>
      <c r="S1313">
        <f>C1313&amp;"|"&amp;D1313</f>
        <v/>
      </c>
      <c r="T1313">
        <f>COUNTIF($S$2:S1313,S1313)</f>
        <v/>
      </c>
      <c r="U1313">
        <f>S1313&amp;"|"&amp;T1313</f>
        <v/>
      </c>
      <c r="V1313">
        <f>IFERROR(VLOOKUP(IF(I1313="ENFASIS",LEFT(M1313,FIND("+",M1313&amp;"+")-1),J1313),Direccion_Grupo!$A$2:$G$100,7,FALSE),"")</f>
        <v/>
      </c>
    </row>
    <row r="1314">
      <c r="A1314" t="n">
        <v>56</v>
      </c>
      <c r="B1314" t="inlineStr">
        <is>
          <t>Ortiz Estacio Martha Cecilia</t>
        </is>
      </c>
      <c r="C1314" t="inlineStr">
        <is>
          <t>VIERNES</t>
        </is>
      </c>
      <c r="D1314" t="n">
        <v>2</v>
      </c>
      <c r="E1314" t="n">
        <v>1</v>
      </c>
      <c r="F1314" t="n">
        <v>2</v>
      </c>
      <c r="G1314" t="inlineStr">
        <is>
          <t>07:15</t>
        </is>
      </c>
      <c r="H1314" t="inlineStr">
        <is>
          <t>08:00</t>
        </is>
      </c>
      <c r="I1314" t="inlineStr">
        <is>
          <t>TUTORIA</t>
        </is>
      </c>
      <c r="J1314" t="inlineStr">
        <is>
          <t>PTAFI</t>
        </is>
      </c>
      <c r="K1314" t="inlineStr">
        <is>
          <t>TUTORÍA PTAFI</t>
        </is>
      </c>
      <c r="L1314" t="inlineStr"/>
      <c r="M1314" t="inlineStr"/>
      <c r="N1314" t="inlineStr"/>
      <c r="O1314" t="inlineStr">
        <is>
          <t>Jornada 06:30 a 12:00</t>
        </is>
      </c>
      <c r="P1314" t="inlineStr"/>
      <c r="Q1314">
        <f>IF(I1314="ENFASIS","ÉNFASIS "&amp;M1314,IFERROR(VLOOKUP(J1314,Grupos!$A$2:$D$100,4,FALSE),J1314))</f>
        <v/>
      </c>
      <c r="R1314">
        <f>O1314&amp;IF(N1314&lt;&gt;"",IF(O1314&lt;&gt;""," · ","")&amp;"Con: "&amp;N1314,"")</f>
        <v/>
      </c>
      <c r="S1314">
        <f>C1314&amp;"|"&amp;D1314</f>
        <v/>
      </c>
      <c r="T1314">
        <f>COUNTIF($S$2:S1314,S1314)</f>
        <v/>
      </c>
      <c r="U1314">
        <f>S1314&amp;"|"&amp;T1314</f>
        <v/>
      </c>
      <c r="V1314">
        <f>IFERROR(VLOOKUP(IF(I1314="ENFASIS",LEFT(M1314,FIND("+",M1314&amp;"+")-1),J1314),Direccion_Grupo!$A$2:$G$100,7,FALSE),"")</f>
        <v/>
      </c>
    </row>
    <row r="1315">
      <c r="A1315" t="n">
        <v>2</v>
      </c>
      <c r="B1315" t="inlineStr">
        <is>
          <t>Angulo Lucero Andrés Mauricio</t>
        </is>
      </c>
      <c r="C1315" t="inlineStr">
        <is>
          <t>VIERNES</t>
        </is>
      </c>
      <c r="D1315" t="n">
        <v>2</v>
      </c>
      <c r="E1315" t="n">
        <v>1</v>
      </c>
      <c r="F1315" t="n">
        <v>2</v>
      </c>
      <c r="G1315" t="inlineStr">
        <is>
          <t>07:15</t>
        </is>
      </c>
      <c r="H1315" t="inlineStr">
        <is>
          <t>08:00</t>
        </is>
      </c>
      <c r="I1315" t="inlineStr">
        <is>
          <t>ENFASIS</t>
        </is>
      </c>
      <c r="J1315" t="inlineStr"/>
      <c r="K1315" t="inlineStr">
        <is>
          <t>TEI</t>
        </is>
      </c>
      <c r="L1315" t="inlineStr">
        <is>
          <t>D5-11°</t>
        </is>
      </c>
      <c r="M1315" t="inlineStr">
        <is>
          <t>1102</t>
        </is>
      </c>
      <c r="N1315" t="inlineStr">
        <is>
          <t>Pulgarín Ortiz César Marino (CSI); Montaño Arizala Leidis Claudina (ETR); Villota Rubio Janeth del Carmen (MAT)</t>
        </is>
      </c>
      <c r="O1315" t="inlineStr">
        <is>
          <t>EQUIPO DE 4: cada docente atiende un grupo de estudiantes en su área</t>
        </is>
      </c>
      <c r="P1315" t="inlineStr">
        <is>
          <t>ENFASIS-D5-11°</t>
        </is>
      </c>
      <c r="Q1315">
        <f>IF(I1315="ENFASIS","ÉNFASIS "&amp;M1315,IFERROR(VLOOKUP(J1315,Grupos!$A$2:$D$100,4,FALSE),J1315))</f>
        <v/>
      </c>
      <c r="R1315">
        <f>O1315&amp;IF(N1315&lt;&gt;"",IF(O1315&lt;&gt;""," · ","")&amp;"Con: "&amp;N1315,"")</f>
        <v/>
      </c>
      <c r="S1315">
        <f>C1315&amp;"|"&amp;D1315</f>
        <v/>
      </c>
      <c r="T1315">
        <f>COUNTIF($S$2:S1315,S1315)</f>
        <v/>
      </c>
      <c r="U1315">
        <f>S1315&amp;"|"&amp;T1315</f>
        <v/>
      </c>
      <c r="V1315">
        <f>IFERROR(VLOOKUP(IF(I1315="ENFASIS",LEFT(M1315,FIND("+",M1315&amp;"+")-1),J1315),Direccion_Grupo!$A$2:$G$100,7,FALSE),"")</f>
        <v/>
      </c>
    </row>
    <row r="1316">
      <c r="A1316" t="n">
        <v>31</v>
      </c>
      <c r="B1316" t="inlineStr">
        <is>
          <t>Montaño Arizala Leidis Claudina</t>
        </is>
      </c>
      <c r="C1316" t="inlineStr">
        <is>
          <t>VIERNES</t>
        </is>
      </c>
      <c r="D1316" t="n">
        <v>2</v>
      </c>
      <c r="E1316" t="n">
        <v>1</v>
      </c>
      <c r="F1316" t="n">
        <v>2</v>
      </c>
      <c r="G1316" t="inlineStr">
        <is>
          <t>07:15</t>
        </is>
      </c>
      <c r="H1316" t="inlineStr">
        <is>
          <t>08:00</t>
        </is>
      </c>
      <c r="I1316" t="inlineStr">
        <is>
          <t>ENFASIS</t>
        </is>
      </c>
      <c r="J1316" t="inlineStr"/>
      <c r="K1316" t="inlineStr">
        <is>
          <t>ETR</t>
        </is>
      </c>
      <c r="L1316" t="inlineStr">
        <is>
          <t>D5-11°</t>
        </is>
      </c>
      <c r="M1316" t="inlineStr">
        <is>
          <t>1102</t>
        </is>
      </c>
      <c r="N1316" t="inlineStr">
        <is>
          <t>Pulgarín Ortiz César Marino (CSI); Villota Rubio Janeth del Carmen (MAT); Angulo Lucero Andrés Mauricio (TEI)</t>
        </is>
      </c>
      <c r="O1316" t="inlineStr">
        <is>
          <t>EQUIPO DE 4: cada docente atiende un grupo de estudiantes en su área</t>
        </is>
      </c>
      <c r="P1316" t="inlineStr">
        <is>
          <t>ENFASIS-D5-11°</t>
        </is>
      </c>
      <c r="Q1316">
        <f>IF(I1316="ENFASIS","ÉNFASIS "&amp;M1316,IFERROR(VLOOKUP(J1316,Grupos!$A$2:$D$100,4,FALSE),J1316))</f>
        <v/>
      </c>
      <c r="R1316">
        <f>O1316&amp;IF(N1316&lt;&gt;"",IF(O1316&lt;&gt;""," · ","")&amp;"Con: "&amp;N1316,"")</f>
        <v/>
      </c>
      <c r="S1316">
        <f>C1316&amp;"|"&amp;D1316</f>
        <v/>
      </c>
      <c r="T1316">
        <f>COUNTIF($S$2:S1316,S1316)</f>
        <v/>
      </c>
      <c r="U1316">
        <f>S1316&amp;"|"&amp;T1316</f>
        <v/>
      </c>
      <c r="V1316">
        <f>IFERROR(VLOOKUP(IF(I1316="ENFASIS",LEFT(M1316,FIND("+",M1316&amp;"+")-1),J1316),Direccion_Grupo!$A$2:$G$100,7,FALSE),"")</f>
        <v/>
      </c>
    </row>
    <row r="1317">
      <c r="A1317" t="n">
        <v>40</v>
      </c>
      <c r="B1317" t="inlineStr">
        <is>
          <t>Pulgarín Ortiz César Marino</t>
        </is>
      </c>
      <c r="C1317" t="inlineStr">
        <is>
          <t>VIERNES</t>
        </is>
      </c>
      <c r="D1317" t="n">
        <v>2</v>
      </c>
      <c r="E1317" t="n">
        <v>1</v>
      </c>
      <c r="F1317" t="n">
        <v>2</v>
      </c>
      <c r="G1317" t="inlineStr">
        <is>
          <t>07:15</t>
        </is>
      </c>
      <c r="H1317" t="inlineStr">
        <is>
          <t>08:00</t>
        </is>
      </c>
      <c r="I1317" t="inlineStr">
        <is>
          <t>ENFASIS</t>
        </is>
      </c>
      <c r="J1317" t="inlineStr"/>
      <c r="K1317" t="inlineStr">
        <is>
          <t>CSI</t>
        </is>
      </c>
      <c r="L1317" t="inlineStr">
        <is>
          <t>D5-11°</t>
        </is>
      </c>
      <c r="M1317" t="inlineStr">
        <is>
          <t>1102</t>
        </is>
      </c>
      <c r="N1317" t="inlineStr">
        <is>
          <t>Montaño Arizala Leidis Claudina (ETR); Villota Rubio Janeth del Carmen (MAT); Angulo Lucero Andrés Mauricio (TEI)</t>
        </is>
      </c>
      <c r="O1317" t="inlineStr">
        <is>
          <t>EQUIPO DE 4: cada docente atiende un grupo de estudiantes en su área</t>
        </is>
      </c>
      <c r="P1317" t="inlineStr">
        <is>
          <t>ENFASIS-D5-11°</t>
        </is>
      </c>
      <c r="Q1317">
        <f>IF(I1317="ENFASIS","ÉNFASIS "&amp;M1317,IFERROR(VLOOKUP(J1317,Grupos!$A$2:$D$100,4,FALSE),J1317))</f>
        <v/>
      </c>
      <c r="R1317">
        <f>O1317&amp;IF(N1317&lt;&gt;"",IF(O1317&lt;&gt;""," · ","")&amp;"Con: "&amp;N1317,"")</f>
        <v/>
      </c>
      <c r="S1317">
        <f>C1317&amp;"|"&amp;D1317</f>
        <v/>
      </c>
      <c r="T1317">
        <f>COUNTIF($S$2:S1317,S1317)</f>
        <v/>
      </c>
      <c r="U1317">
        <f>S1317&amp;"|"&amp;T1317</f>
        <v/>
      </c>
      <c r="V1317">
        <f>IFERROR(VLOOKUP(IF(I1317="ENFASIS",LEFT(M1317,FIND("+",M1317&amp;"+")-1),J1317),Direccion_Grupo!$A$2:$G$100,7,FALSE),"")</f>
        <v/>
      </c>
    </row>
    <row r="1318">
      <c r="A1318" t="n">
        <v>54</v>
      </c>
      <c r="B1318" t="inlineStr">
        <is>
          <t>Villota Rubio Janeth del Carmen</t>
        </is>
      </c>
      <c r="C1318" t="inlineStr">
        <is>
          <t>VIERNES</t>
        </is>
      </c>
      <c r="D1318" t="n">
        <v>2</v>
      </c>
      <c r="E1318" t="n">
        <v>1</v>
      </c>
      <c r="F1318" t="n">
        <v>2</v>
      </c>
      <c r="G1318" t="inlineStr">
        <is>
          <t>07:15</t>
        </is>
      </c>
      <c r="H1318" t="inlineStr">
        <is>
          <t>08:00</t>
        </is>
      </c>
      <c r="I1318" t="inlineStr">
        <is>
          <t>ENFASIS</t>
        </is>
      </c>
      <c r="J1318" t="inlineStr"/>
      <c r="K1318" t="inlineStr">
        <is>
          <t>MAT</t>
        </is>
      </c>
      <c r="L1318" t="inlineStr">
        <is>
          <t>D5-11°</t>
        </is>
      </c>
      <c r="M1318" t="inlineStr">
        <is>
          <t>1102</t>
        </is>
      </c>
      <c r="N1318" t="inlineStr">
        <is>
          <t>Pulgarín Ortiz César Marino (CSI); Montaño Arizala Leidis Claudina (ETR); Angulo Lucero Andrés Mauricio (TEI)</t>
        </is>
      </c>
      <c r="O1318" t="inlineStr">
        <is>
          <t>EQUIPO DE 4: cada docente atiende un grupo de estudiantes en su área</t>
        </is>
      </c>
      <c r="P1318" t="inlineStr">
        <is>
          <t>ENFASIS-D5-11°</t>
        </is>
      </c>
      <c r="Q1318">
        <f>IF(I1318="ENFASIS","ÉNFASIS "&amp;M1318,IFERROR(VLOOKUP(J1318,Grupos!$A$2:$D$100,4,FALSE),J1318))</f>
        <v/>
      </c>
      <c r="R1318">
        <f>O1318&amp;IF(N1318&lt;&gt;"",IF(O1318&lt;&gt;""," · ","")&amp;"Con: "&amp;N1318,"")</f>
        <v/>
      </c>
      <c r="S1318">
        <f>C1318&amp;"|"&amp;D1318</f>
        <v/>
      </c>
      <c r="T1318">
        <f>COUNTIF($S$2:S1318,S1318)</f>
        <v/>
      </c>
      <c r="U1318">
        <f>S1318&amp;"|"&amp;T1318</f>
        <v/>
      </c>
      <c r="V1318">
        <f>IFERROR(VLOOKUP(IF(I1318="ENFASIS",LEFT(M1318,FIND("+",M1318&amp;"+")-1),J1318),Direccion_Grupo!$A$2:$G$100,7,FALSE),"")</f>
        <v/>
      </c>
    </row>
    <row r="1319">
      <c r="A1319" t="n">
        <v>20</v>
      </c>
      <c r="B1319" t="inlineStr">
        <is>
          <t>García Gobea Saydi Magali</t>
        </is>
      </c>
      <c r="C1319" t="inlineStr">
        <is>
          <t>VIERNES</t>
        </is>
      </c>
      <c r="D1319" t="n">
        <v>2</v>
      </c>
      <c r="E1319" t="n">
        <v>1</v>
      </c>
      <c r="F1319" t="n">
        <v>2</v>
      </c>
      <c r="G1319" t="inlineStr">
        <is>
          <t>07:15</t>
        </is>
      </c>
      <c r="H1319" t="inlineStr">
        <is>
          <t>08:00</t>
        </is>
      </c>
      <c r="I1319" t="inlineStr">
        <is>
          <t>ENFASIS</t>
        </is>
      </c>
      <c r="J1319" t="inlineStr"/>
      <c r="K1319" t="inlineStr">
        <is>
          <t>CSI</t>
        </is>
      </c>
      <c r="L1319" t="inlineStr">
        <is>
          <t>CS101</t>
        </is>
      </c>
      <c r="M1319" t="inlineStr">
        <is>
          <t>CS101</t>
        </is>
      </c>
      <c r="N1319" t="inlineStr">
        <is>
          <t>Lozano Torres Amanda Inés (ETR)</t>
        </is>
      </c>
      <c r="O1319" t="inlineStr">
        <is>
          <t>PAREJA: comparten el énfasis y alternan por semana</t>
        </is>
      </c>
      <c r="P1319" t="inlineStr">
        <is>
          <t>ENFASIS-CS101</t>
        </is>
      </c>
      <c r="Q1319">
        <f>IF(I1319="ENFASIS","ÉNFASIS "&amp;M1319,IFERROR(VLOOKUP(J1319,Grupos!$A$2:$D$100,4,FALSE),J1319))</f>
        <v/>
      </c>
      <c r="R1319">
        <f>O1319&amp;IF(N1319&lt;&gt;"",IF(O1319&lt;&gt;""," · ","")&amp;"Con: "&amp;N1319,"")</f>
        <v/>
      </c>
      <c r="S1319">
        <f>C1319&amp;"|"&amp;D1319</f>
        <v/>
      </c>
      <c r="T1319">
        <f>COUNTIF($S$2:S1319,S1319)</f>
        <v/>
      </c>
      <c r="U1319">
        <f>S1319&amp;"|"&amp;T1319</f>
        <v/>
      </c>
      <c r="V1319">
        <f>IFERROR(VLOOKUP(IF(I1319="ENFASIS",LEFT(M1319,FIND("+",M1319&amp;"+")-1),J1319),Direccion_Grupo!$A$2:$G$100,7,FALSE),"")</f>
        <v/>
      </c>
    </row>
    <row r="1320">
      <c r="A1320" t="n">
        <v>26</v>
      </c>
      <c r="B1320" t="inlineStr">
        <is>
          <t>Lozano Torres Amanda Inés</t>
        </is>
      </c>
      <c r="C1320" t="inlineStr">
        <is>
          <t>VIERNES</t>
        </is>
      </c>
      <c r="D1320" t="n">
        <v>2</v>
      </c>
      <c r="E1320" t="n">
        <v>1</v>
      </c>
      <c r="F1320" t="n">
        <v>2</v>
      </c>
      <c r="G1320" t="inlineStr">
        <is>
          <t>07:15</t>
        </is>
      </c>
      <c r="H1320" t="inlineStr">
        <is>
          <t>08:00</t>
        </is>
      </c>
      <c r="I1320" t="inlineStr">
        <is>
          <t>ENFASIS</t>
        </is>
      </c>
      <c r="J1320" t="inlineStr"/>
      <c r="K1320" t="inlineStr">
        <is>
          <t>ETR</t>
        </is>
      </c>
      <c r="L1320" t="inlineStr">
        <is>
          <t>CS101</t>
        </is>
      </c>
      <c r="M1320" t="inlineStr">
        <is>
          <t>CS101</t>
        </is>
      </c>
      <c r="N1320" t="inlineStr">
        <is>
          <t>García Gobea Saydi Magali (CSI)</t>
        </is>
      </c>
      <c r="O1320" t="inlineStr">
        <is>
          <t>PAREJA: comparten el énfasis y alternan por semana</t>
        </is>
      </c>
      <c r="P1320" t="inlineStr">
        <is>
          <t>ENFASIS-CS101</t>
        </is>
      </c>
      <c r="Q1320">
        <f>IF(I1320="ENFASIS","ÉNFASIS "&amp;M1320,IFERROR(VLOOKUP(J1320,Grupos!$A$2:$D$100,4,FALSE),J1320))</f>
        <v/>
      </c>
      <c r="R1320">
        <f>O1320&amp;IF(N1320&lt;&gt;"",IF(O1320&lt;&gt;""," · ","")&amp;"Con: "&amp;N1320,"")</f>
        <v/>
      </c>
      <c r="S1320">
        <f>C1320&amp;"|"&amp;D1320</f>
        <v/>
      </c>
      <c r="T1320">
        <f>COUNTIF($S$2:S1320,S1320)</f>
        <v/>
      </c>
      <c r="U1320">
        <f>S1320&amp;"|"&amp;T1320</f>
        <v/>
      </c>
      <c r="V1320">
        <f>IFERROR(VLOOKUP(IF(I1320="ENFASIS",LEFT(M1320,FIND("+",M1320&amp;"+")-1),J1320),Direccion_Grupo!$A$2:$G$100,7,FALSE),"")</f>
        <v/>
      </c>
    </row>
    <row r="1321">
      <c r="A1321" t="n">
        <v>1</v>
      </c>
      <c r="B1321" t="inlineStr">
        <is>
          <t>Aguirre Riascos Jorge Andrés</t>
        </is>
      </c>
      <c r="C1321" t="inlineStr">
        <is>
          <t>VIERNES</t>
        </is>
      </c>
      <c r="D1321" t="n">
        <v>2</v>
      </c>
      <c r="E1321" t="n">
        <v>1</v>
      </c>
      <c r="F1321" t="n">
        <v>2</v>
      </c>
      <c r="G1321" t="inlineStr">
        <is>
          <t>07:15</t>
        </is>
      </c>
      <c r="H1321" t="inlineStr">
        <is>
          <t>08:00</t>
        </is>
      </c>
      <c r="I1321" t="inlineStr">
        <is>
          <t>ENFASIS</t>
        </is>
      </c>
      <c r="J1321" t="inlineStr"/>
      <c r="K1321" t="inlineStr">
        <is>
          <t>TEI</t>
        </is>
      </c>
      <c r="L1321" t="inlineStr">
        <is>
          <t>CS102</t>
        </is>
      </c>
      <c r="M1321" t="inlineStr">
        <is>
          <t>CS102</t>
        </is>
      </c>
      <c r="N1321" t="inlineStr">
        <is>
          <t>Vásquez Valencia Segundo Leoncio (MAT)</t>
        </is>
      </c>
      <c r="O1321" t="inlineStr">
        <is>
          <t>PAREJA: comparten el énfasis y alternan por semana</t>
        </is>
      </c>
      <c r="P1321" t="inlineStr">
        <is>
          <t>ENFASIS-CS102</t>
        </is>
      </c>
      <c r="Q1321">
        <f>IF(I1321="ENFASIS","ÉNFASIS "&amp;M1321,IFERROR(VLOOKUP(J1321,Grupos!$A$2:$D$100,4,FALSE),J1321))</f>
        <v/>
      </c>
      <c r="R1321">
        <f>O1321&amp;IF(N1321&lt;&gt;"",IF(O1321&lt;&gt;""," · ","")&amp;"Con: "&amp;N1321,"")</f>
        <v/>
      </c>
      <c r="S1321">
        <f>C1321&amp;"|"&amp;D1321</f>
        <v/>
      </c>
      <c r="T1321">
        <f>COUNTIF($S$2:S1321,S1321)</f>
        <v/>
      </c>
      <c r="U1321">
        <f>S1321&amp;"|"&amp;T1321</f>
        <v/>
      </c>
      <c r="V1321">
        <f>IFERROR(VLOOKUP(IF(I1321="ENFASIS",LEFT(M1321,FIND("+",M1321&amp;"+")-1),J1321),Direccion_Grupo!$A$2:$G$100,7,FALSE),"")</f>
        <v/>
      </c>
    </row>
    <row r="1322">
      <c r="A1322" t="n">
        <v>52</v>
      </c>
      <c r="B1322" t="inlineStr">
        <is>
          <t>Vásquez Valencia Segundo Leoncio</t>
        </is>
      </c>
      <c r="C1322" t="inlineStr">
        <is>
          <t>VIERNES</t>
        </is>
      </c>
      <c r="D1322" t="n">
        <v>2</v>
      </c>
      <c r="E1322" t="n">
        <v>1</v>
      </c>
      <c r="F1322" t="n">
        <v>2</v>
      </c>
      <c r="G1322" t="inlineStr">
        <is>
          <t>07:15</t>
        </is>
      </c>
      <c r="H1322" t="inlineStr">
        <is>
          <t>08:00</t>
        </is>
      </c>
      <c r="I1322" t="inlineStr">
        <is>
          <t>ENFASIS</t>
        </is>
      </c>
      <c r="J1322" t="inlineStr"/>
      <c r="K1322" t="inlineStr">
        <is>
          <t>MAT</t>
        </is>
      </c>
      <c r="L1322" t="inlineStr">
        <is>
          <t>CS102</t>
        </is>
      </c>
      <c r="M1322" t="inlineStr">
        <is>
          <t>CS102</t>
        </is>
      </c>
      <c r="N1322" t="inlineStr">
        <is>
          <t>Aguirre Riascos Jorge Andrés (TEI)</t>
        </is>
      </c>
      <c r="O1322" t="inlineStr">
        <is>
          <t>PAREJA: comparten el énfasis y alternan por semana</t>
        </is>
      </c>
      <c r="P1322" t="inlineStr">
        <is>
          <t>ENFASIS-CS102</t>
        </is>
      </c>
      <c r="Q1322">
        <f>IF(I1322="ENFASIS","ÉNFASIS "&amp;M1322,IFERROR(VLOOKUP(J1322,Grupos!$A$2:$D$100,4,FALSE),J1322))</f>
        <v/>
      </c>
      <c r="R1322">
        <f>O1322&amp;IF(N1322&lt;&gt;"",IF(O1322&lt;&gt;""," · ","")&amp;"Con: "&amp;N1322,"")</f>
        <v/>
      </c>
      <c r="S1322">
        <f>C1322&amp;"|"&amp;D1322</f>
        <v/>
      </c>
      <c r="T1322">
        <f>COUNTIF($S$2:S1322,S1322)</f>
        <v/>
      </c>
      <c r="U1322">
        <f>S1322&amp;"|"&amp;T1322</f>
        <v/>
      </c>
      <c r="V1322">
        <f>IFERROR(VLOOKUP(IF(I1322="ENFASIS",LEFT(M1322,FIND("+",M1322&amp;"+")-1),J1322),Direccion_Grupo!$A$2:$G$100,7,FALSE),"")</f>
        <v/>
      </c>
    </row>
    <row r="1323">
      <c r="A1323" t="n">
        <v>22</v>
      </c>
      <c r="B1323" t="inlineStr">
        <is>
          <t>González Castillo Jólmer Jimy</t>
        </is>
      </c>
      <c r="C1323" t="inlineStr">
        <is>
          <t>VIERNES</t>
        </is>
      </c>
      <c r="D1323" t="n">
        <v>2</v>
      </c>
      <c r="E1323" t="n">
        <v>1</v>
      </c>
      <c r="F1323" t="n">
        <v>2</v>
      </c>
      <c r="G1323" t="inlineStr">
        <is>
          <t>07:15</t>
        </is>
      </c>
      <c r="H1323" t="inlineStr">
        <is>
          <t>08:00</t>
        </is>
      </c>
      <c r="I1323" t="inlineStr">
        <is>
          <t>ENFASIS</t>
        </is>
      </c>
      <c r="J1323" t="inlineStr"/>
      <c r="K1323" t="inlineStr">
        <is>
          <t>ERD</t>
        </is>
      </c>
      <c r="L1323" t="inlineStr">
        <is>
          <t>CS201</t>
        </is>
      </c>
      <c r="M1323" t="inlineStr">
        <is>
          <t>CS201</t>
        </is>
      </c>
      <c r="N1323" t="inlineStr">
        <is>
          <t>Valencia Marínez Saidy Eufemia (ART); Meza Banguera Gladys Alicia (CAS); Lemos Guancha Miriam (CNA)</t>
        </is>
      </c>
      <c r="O1323" t="inlineStr">
        <is>
          <t>EQUIPO DE 4: cada docente atiende un grupo de estudiantes en su área</t>
        </is>
      </c>
      <c r="P1323" t="inlineStr">
        <is>
          <t>ENFASIS-CS201</t>
        </is>
      </c>
      <c r="Q1323">
        <f>IF(I1323="ENFASIS","ÉNFASIS "&amp;M1323,IFERROR(VLOOKUP(J1323,Grupos!$A$2:$D$100,4,FALSE),J1323))</f>
        <v/>
      </c>
      <c r="R1323">
        <f>O1323&amp;IF(N1323&lt;&gt;"",IF(O1323&lt;&gt;""," · ","")&amp;"Con: "&amp;N1323,"")</f>
        <v/>
      </c>
      <c r="S1323">
        <f>C1323&amp;"|"&amp;D1323</f>
        <v/>
      </c>
      <c r="T1323">
        <f>COUNTIF($S$2:S1323,S1323)</f>
        <v/>
      </c>
      <c r="U1323">
        <f>S1323&amp;"|"&amp;T1323</f>
        <v/>
      </c>
      <c r="V1323">
        <f>IFERROR(VLOOKUP(IF(I1323="ENFASIS",LEFT(M1323,FIND("+",M1323&amp;"+")-1),J1323),Direccion_Grupo!$A$2:$G$100,7,FALSE),"")</f>
        <v/>
      </c>
    </row>
    <row r="1324">
      <c r="A1324" t="n">
        <v>25</v>
      </c>
      <c r="B1324" t="inlineStr">
        <is>
          <t>Lemos Guancha Miriam</t>
        </is>
      </c>
      <c r="C1324" t="inlineStr">
        <is>
          <t>VIERNES</t>
        </is>
      </c>
      <c r="D1324" t="n">
        <v>2</v>
      </c>
      <c r="E1324" t="n">
        <v>1</v>
      </c>
      <c r="F1324" t="n">
        <v>2</v>
      </c>
      <c r="G1324" t="inlineStr">
        <is>
          <t>07:15</t>
        </is>
      </c>
      <c r="H1324" t="inlineStr">
        <is>
          <t>08:00</t>
        </is>
      </c>
      <c r="I1324" t="inlineStr">
        <is>
          <t>ENFASIS</t>
        </is>
      </c>
      <c r="J1324" t="inlineStr"/>
      <c r="K1324" t="inlineStr">
        <is>
          <t>CNA</t>
        </is>
      </c>
      <c r="L1324" t="inlineStr">
        <is>
          <t>CS201</t>
        </is>
      </c>
      <c r="M1324" t="inlineStr">
        <is>
          <t>CS201</t>
        </is>
      </c>
      <c r="N1324" t="inlineStr">
        <is>
          <t>Valencia Marínez Saidy Eufemia (ART); Meza Banguera Gladys Alicia (CAS); González Castillo Jólmer Jimy (ERD)</t>
        </is>
      </c>
      <c r="O1324" t="inlineStr">
        <is>
          <t>EQUIPO DE 4: cada docente atiende un grupo de estudiantes en su área</t>
        </is>
      </c>
      <c r="P1324" t="inlineStr">
        <is>
          <t>ENFASIS-CS201</t>
        </is>
      </c>
      <c r="Q1324">
        <f>IF(I1324="ENFASIS","ÉNFASIS "&amp;M1324,IFERROR(VLOOKUP(J1324,Grupos!$A$2:$D$100,4,FALSE),J1324))</f>
        <v/>
      </c>
      <c r="R1324">
        <f>O1324&amp;IF(N1324&lt;&gt;"",IF(O1324&lt;&gt;""," · ","")&amp;"Con: "&amp;N1324,"")</f>
        <v/>
      </c>
      <c r="S1324">
        <f>C1324&amp;"|"&amp;D1324</f>
        <v/>
      </c>
      <c r="T1324">
        <f>COUNTIF($S$2:S1324,S1324)</f>
        <v/>
      </c>
      <c r="U1324">
        <f>S1324&amp;"|"&amp;T1324</f>
        <v/>
      </c>
      <c r="V1324">
        <f>IFERROR(VLOOKUP(IF(I1324="ENFASIS",LEFT(M1324,FIND("+",M1324&amp;"+")-1),J1324),Direccion_Grupo!$A$2:$G$100,7,FALSE),"")</f>
        <v/>
      </c>
    </row>
    <row r="1325">
      <c r="A1325" t="n">
        <v>28</v>
      </c>
      <c r="B1325" t="inlineStr">
        <is>
          <t>Meza Banguera Gladys Alicia</t>
        </is>
      </c>
      <c r="C1325" t="inlineStr">
        <is>
          <t>VIERNES</t>
        </is>
      </c>
      <c r="D1325" t="n">
        <v>2</v>
      </c>
      <c r="E1325" t="n">
        <v>1</v>
      </c>
      <c r="F1325" t="n">
        <v>2</v>
      </c>
      <c r="G1325" t="inlineStr">
        <is>
          <t>07:15</t>
        </is>
      </c>
      <c r="H1325" t="inlineStr">
        <is>
          <t>08:00</t>
        </is>
      </c>
      <c r="I1325" t="inlineStr">
        <is>
          <t>ENFASIS</t>
        </is>
      </c>
      <c r="J1325" t="inlineStr"/>
      <c r="K1325" t="inlineStr">
        <is>
          <t>CAS</t>
        </is>
      </c>
      <c r="L1325" t="inlineStr">
        <is>
          <t>CS201</t>
        </is>
      </c>
      <c r="M1325" t="inlineStr">
        <is>
          <t>CS201</t>
        </is>
      </c>
      <c r="N1325" t="inlineStr">
        <is>
          <t>Valencia Marínez Saidy Eufemia (ART); González Castillo Jólmer Jimy (ERD); Lemos Guancha Miriam (CNA)</t>
        </is>
      </c>
      <c r="O1325" t="inlineStr">
        <is>
          <t>EQUIPO DE 4: cada docente atiende un grupo de estudiantes en su área</t>
        </is>
      </c>
      <c r="P1325" t="inlineStr">
        <is>
          <t>ENFASIS-CS201</t>
        </is>
      </c>
      <c r="Q1325">
        <f>IF(I1325="ENFASIS","ÉNFASIS "&amp;M1325,IFERROR(VLOOKUP(J1325,Grupos!$A$2:$D$100,4,FALSE),J1325))</f>
        <v/>
      </c>
      <c r="R1325">
        <f>O1325&amp;IF(N1325&lt;&gt;"",IF(O1325&lt;&gt;""," · ","")&amp;"Con: "&amp;N1325,"")</f>
        <v/>
      </c>
      <c r="S1325">
        <f>C1325&amp;"|"&amp;D1325</f>
        <v/>
      </c>
      <c r="T1325">
        <f>COUNTIF($S$2:S1325,S1325)</f>
        <v/>
      </c>
      <c r="U1325">
        <f>S1325&amp;"|"&amp;T1325</f>
        <v/>
      </c>
      <c r="V1325">
        <f>IFERROR(VLOOKUP(IF(I1325="ENFASIS",LEFT(M1325,FIND("+",M1325&amp;"+")-1),J1325),Direccion_Grupo!$A$2:$G$100,7,FALSE),"")</f>
        <v/>
      </c>
    </row>
    <row r="1326">
      <c r="A1326" t="n">
        <v>49</v>
      </c>
      <c r="B1326" t="inlineStr">
        <is>
          <t>Valencia Marínez Saidy Eufemia</t>
        </is>
      </c>
      <c r="C1326" t="inlineStr">
        <is>
          <t>VIERNES</t>
        </is>
      </c>
      <c r="D1326" t="n">
        <v>2</v>
      </c>
      <c r="E1326" t="n">
        <v>1</v>
      </c>
      <c r="F1326" t="n">
        <v>2</v>
      </c>
      <c r="G1326" t="inlineStr">
        <is>
          <t>07:15</t>
        </is>
      </c>
      <c r="H1326" t="inlineStr">
        <is>
          <t>08:00</t>
        </is>
      </c>
      <c r="I1326" t="inlineStr">
        <is>
          <t>ENFASIS</t>
        </is>
      </c>
      <c r="J1326" t="inlineStr"/>
      <c r="K1326" t="inlineStr">
        <is>
          <t>ART</t>
        </is>
      </c>
      <c r="L1326" t="inlineStr">
        <is>
          <t>CS201</t>
        </is>
      </c>
      <c r="M1326" t="inlineStr">
        <is>
          <t>CS201</t>
        </is>
      </c>
      <c r="N1326" t="inlineStr">
        <is>
          <t>Meza Banguera Gladys Alicia (CAS); González Castillo Jólmer Jimy (ERD); Lemos Guancha Miriam (CNA)</t>
        </is>
      </c>
      <c r="O1326" t="inlineStr">
        <is>
          <t>EQUIPO DE 4: cada docente atiende un grupo de estudiantes en su área</t>
        </is>
      </c>
      <c r="P1326" t="inlineStr">
        <is>
          <t>ENFASIS-CS201</t>
        </is>
      </c>
      <c r="Q1326">
        <f>IF(I1326="ENFASIS","ÉNFASIS "&amp;M1326,IFERROR(VLOOKUP(J1326,Grupos!$A$2:$D$100,4,FALSE),J1326))</f>
        <v/>
      </c>
      <c r="R1326">
        <f>O1326&amp;IF(N1326&lt;&gt;"",IF(O1326&lt;&gt;""," · ","")&amp;"Con: "&amp;N1326,"")</f>
        <v/>
      </c>
      <c r="S1326">
        <f>C1326&amp;"|"&amp;D1326</f>
        <v/>
      </c>
      <c r="T1326">
        <f>COUNTIF($S$2:S1326,S1326)</f>
        <v/>
      </c>
      <c r="U1326">
        <f>S1326&amp;"|"&amp;T1326</f>
        <v/>
      </c>
      <c r="V1326">
        <f>IFERROR(VLOOKUP(IF(I1326="ENFASIS",LEFT(M1326,FIND("+",M1326&amp;"+")-1),J1326),Direccion_Grupo!$A$2:$G$100,7,FALSE),"")</f>
        <v/>
      </c>
    </row>
    <row r="1327">
      <c r="A1327" t="n">
        <v>50</v>
      </c>
      <c r="B1327" t="inlineStr">
        <is>
          <t>Valencia Solís Gloria Alexa</t>
        </is>
      </c>
      <c r="C1327" t="inlineStr">
        <is>
          <t>VIERNES</t>
        </is>
      </c>
      <c r="D1327" t="n">
        <v>3</v>
      </c>
      <c r="E1327" t="n">
        <v>2</v>
      </c>
      <c r="F1327" t="n">
        <v>1</v>
      </c>
      <c r="G1327" t="inlineStr">
        <is>
          <t>07:30</t>
        </is>
      </c>
      <c r="H1327" t="inlineStr">
        <is>
          <t>08:30</t>
        </is>
      </c>
      <c r="I1327" t="inlineStr">
        <is>
          <t>AREAS_MULTIPLES</t>
        </is>
      </c>
      <c r="J1327" t="inlineStr">
        <is>
          <t>0001</t>
        </is>
      </c>
      <c r="K1327" t="inlineStr">
        <is>
          <t>ÁREAS MÚLTIPLES</t>
        </is>
      </c>
      <c r="L1327" t="inlineStr"/>
      <c r="M1327" t="inlineStr"/>
      <c r="N1327" t="inlineStr"/>
      <c r="O1327" t="inlineStr">
        <is>
          <t>Maestro de aula: todas las áreas con su grupo</t>
        </is>
      </c>
      <c r="P1327" t="inlineStr"/>
      <c r="Q1327">
        <f>IF(I1327="ENFASIS","ÉNFASIS "&amp;M1327,IFERROR(VLOOKUP(J1327,Grupos!$A$2:$D$100,4,FALSE),J1327))</f>
        <v/>
      </c>
      <c r="R1327">
        <f>O1327&amp;IF(N1327&lt;&gt;"",IF(O1327&lt;&gt;""," · ","")&amp;"Con: "&amp;N1327,"")</f>
        <v/>
      </c>
      <c r="S1327">
        <f>C1327&amp;"|"&amp;D1327</f>
        <v/>
      </c>
      <c r="T1327">
        <f>COUNTIF($S$2:S1327,S1327)</f>
        <v/>
      </c>
      <c r="U1327">
        <f>S1327&amp;"|"&amp;T1327</f>
        <v/>
      </c>
      <c r="V1327">
        <f>IFERROR(VLOOKUP(IF(I1327="ENFASIS",LEFT(M1327,FIND("+",M1327&amp;"+")-1),J1327),Direccion_Grupo!$A$2:$G$100,7,FALSE),"")</f>
        <v/>
      </c>
    </row>
    <row r="1328">
      <c r="A1328" t="n">
        <v>27</v>
      </c>
      <c r="B1328" t="inlineStr">
        <is>
          <t>Martínez Álvarez Andrea Ascención</t>
        </is>
      </c>
      <c r="C1328" t="inlineStr">
        <is>
          <t>VIERNES</t>
        </is>
      </c>
      <c r="D1328" t="n">
        <v>3</v>
      </c>
      <c r="E1328" t="n">
        <v>2</v>
      </c>
      <c r="F1328" t="n">
        <v>1</v>
      </c>
      <c r="G1328" t="inlineStr">
        <is>
          <t>07:30</t>
        </is>
      </c>
      <c r="H1328" t="inlineStr">
        <is>
          <t>08:30</t>
        </is>
      </c>
      <c r="I1328" t="inlineStr">
        <is>
          <t>AREAS_MULTIPLES</t>
        </is>
      </c>
      <c r="J1328" t="inlineStr">
        <is>
          <t>0002</t>
        </is>
      </c>
      <c r="K1328" t="inlineStr">
        <is>
          <t>ÁREAS MÚLTIPLES</t>
        </is>
      </c>
      <c r="L1328" t="inlineStr"/>
      <c r="M1328" t="inlineStr"/>
      <c r="N1328" t="inlineStr"/>
      <c r="O1328" t="inlineStr">
        <is>
          <t>Maestro de aula: todas las áreas con su grupo</t>
        </is>
      </c>
      <c r="P1328" t="inlineStr"/>
      <c r="Q1328">
        <f>IF(I1328="ENFASIS","ÉNFASIS "&amp;M1328,IFERROR(VLOOKUP(J1328,Grupos!$A$2:$D$100,4,FALSE),J1328))</f>
        <v/>
      </c>
      <c r="R1328">
        <f>O1328&amp;IF(N1328&lt;&gt;"",IF(O1328&lt;&gt;""," · ","")&amp;"Con: "&amp;N1328,"")</f>
        <v/>
      </c>
      <c r="S1328">
        <f>C1328&amp;"|"&amp;D1328</f>
        <v/>
      </c>
      <c r="T1328">
        <f>COUNTIF($S$2:S1328,S1328)</f>
        <v/>
      </c>
      <c r="U1328">
        <f>S1328&amp;"|"&amp;T1328</f>
        <v/>
      </c>
      <c r="V1328">
        <f>IFERROR(VLOOKUP(IF(I1328="ENFASIS",LEFT(M1328,FIND("+",M1328&amp;"+")-1),J1328),Direccion_Grupo!$A$2:$G$100,7,FALSE),"")</f>
        <v/>
      </c>
    </row>
    <row r="1329">
      <c r="A1329" t="n">
        <v>23</v>
      </c>
      <c r="B1329" t="inlineStr">
        <is>
          <t>Landázuri Quiñones María Elia</t>
        </is>
      </c>
      <c r="C1329" t="inlineStr">
        <is>
          <t>VIERNES</t>
        </is>
      </c>
      <c r="D1329" t="n">
        <v>3</v>
      </c>
      <c r="E1329" t="n">
        <v>2</v>
      </c>
      <c r="F1329" t="n">
        <v>1</v>
      </c>
      <c r="G1329" t="inlineStr">
        <is>
          <t>08:20</t>
        </is>
      </c>
      <c r="H1329" t="inlineStr">
        <is>
          <t>09:05</t>
        </is>
      </c>
      <c r="I1329" t="inlineStr">
        <is>
          <t>AREAS_MULTIPLES</t>
        </is>
      </c>
      <c r="J1329" t="inlineStr">
        <is>
          <t>0101</t>
        </is>
      </c>
      <c r="K1329" t="inlineStr">
        <is>
          <t>ÁREAS MÚLTIPLES</t>
        </is>
      </c>
      <c r="L1329" t="inlineStr"/>
      <c r="M1329" t="inlineStr"/>
      <c r="N1329" t="inlineStr"/>
      <c r="O1329" t="inlineStr">
        <is>
          <t>Maestro de aula: todas las áreas con su grupo</t>
        </is>
      </c>
      <c r="P1329" t="inlineStr"/>
      <c r="Q1329">
        <f>IF(I1329="ENFASIS","ÉNFASIS "&amp;M1329,IFERROR(VLOOKUP(J1329,Grupos!$A$2:$D$100,4,FALSE),J1329))</f>
        <v/>
      </c>
      <c r="R1329">
        <f>O1329&amp;IF(N1329&lt;&gt;"",IF(O1329&lt;&gt;""," · ","")&amp;"Con: "&amp;N1329,"")</f>
        <v/>
      </c>
      <c r="S1329">
        <f>C1329&amp;"|"&amp;D1329</f>
        <v/>
      </c>
      <c r="T1329">
        <f>COUNTIF($S$2:S1329,S1329)</f>
        <v/>
      </c>
      <c r="U1329">
        <f>S1329&amp;"|"&amp;T1329</f>
        <v/>
      </c>
      <c r="V1329">
        <f>IFERROR(VLOOKUP(IF(I1329="ENFASIS",LEFT(M1329,FIND("+",M1329&amp;"+")-1),J1329),Direccion_Grupo!$A$2:$G$100,7,FALSE),"")</f>
        <v/>
      </c>
    </row>
    <row r="1330">
      <c r="A1330" t="n">
        <v>45</v>
      </c>
      <c r="B1330" t="inlineStr">
        <is>
          <t>Sinisterra Ana Lucía</t>
        </is>
      </c>
      <c r="C1330" t="inlineStr">
        <is>
          <t>VIERNES</t>
        </is>
      </c>
      <c r="D1330" t="n">
        <v>3</v>
      </c>
      <c r="E1330" t="n">
        <v>2</v>
      </c>
      <c r="F1330" t="n">
        <v>1</v>
      </c>
      <c r="G1330" t="inlineStr">
        <is>
          <t>08:20</t>
        </is>
      </c>
      <c r="H1330" t="inlineStr">
        <is>
          <t>09:05</t>
        </is>
      </c>
      <c r="I1330" t="inlineStr">
        <is>
          <t>AREAS_MULTIPLES</t>
        </is>
      </c>
      <c r="J1330" t="inlineStr">
        <is>
          <t>0102</t>
        </is>
      </c>
      <c r="K1330" t="inlineStr">
        <is>
          <t>ÁREAS MÚLTIPLES</t>
        </is>
      </c>
      <c r="L1330" t="inlineStr"/>
      <c r="M1330" t="inlineStr"/>
      <c r="N1330" t="inlineStr"/>
      <c r="O1330" t="inlineStr">
        <is>
          <t>Maestro de aula: todas las áreas con su grupo</t>
        </is>
      </c>
      <c r="P1330" t="inlineStr"/>
      <c r="Q1330">
        <f>IF(I1330="ENFASIS","ÉNFASIS "&amp;M1330,IFERROR(VLOOKUP(J1330,Grupos!$A$2:$D$100,4,FALSE),J1330))</f>
        <v/>
      </c>
      <c r="R1330">
        <f>O1330&amp;IF(N1330&lt;&gt;"",IF(O1330&lt;&gt;""," · ","")&amp;"Con: "&amp;N1330,"")</f>
        <v/>
      </c>
      <c r="S1330">
        <f>C1330&amp;"|"&amp;D1330</f>
        <v/>
      </c>
      <c r="T1330">
        <f>COUNTIF($S$2:S1330,S1330)</f>
        <v/>
      </c>
      <c r="U1330">
        <f>S1330&amp;"|"&amp;T1330</f>
        <v/>
      </c>
      <c r="V1330">
        <f>IFERROR(VLOOKUP(IF(I1330="ENFASIS",LEFT(M1330,FIND("+",M1330&amp;"+")-1),J1330),Direccion_Grupo!$A$2:$G$100,7,FALSE),"")</f>
        <v/>
      </c>
    </row>
    <row r="1331">
      <c r="A1331" t="n">
        <v>13</v>
      </c>
      <c r="B1331" t="inlineStr">
        <is>
          <t>Cortés Salazar María Ebelice</t>
        </is>
      </c>
      <c r="C1331" t="inlineStr">
        <is>
          <t>VIERNES</t>
        </is>
      </c>
      <c r="D1331" t="n">
        <v>3</v>
      </c>
      <c r="E1331" t="n">
        <v>2</v>
      </c>
      <c r="F1331" t="n">
        <v>1</v>
      </c>
      <c r="G1331" t="inlineStr">
        <is>
          <t>08:20</t>
        </is>
      </c>
      <c r="H1331" t="inlineStr">
        <is>
          <t>09:05</t>
        </is>
      </c>
      <c r="I1331" t="inlineStr">
        <is>
          <t>AREAS_MULTIPLES</t>
        </is>
      </c>
      <c r="J1331" t="inlineStr">
        <is>
          <t>0201</t>
        </is>
      </c>
      <c r="K1331" t="inlineStr">
        <is>
          <t>ÁREAS MÚLTIPLES</t>
        </is>
      </c>
      <c r="L1331" t="inlineStr"/>
      <c r="M1331" t="inlineStr"/>
      <c r="N1331" t="inlineStr"/>
      <c r="O1331" t="inlineStr">
        <is>
          <t>Maestro de aula: todas las áreas con su grupo</t>
        </is>
      </c>
      <c r="P1331" t="inlineStr"/>
      <c r="Q1331">
        <f>IF(I1331="ENFASIS","ÉNFASIS "&amp;M1331,IFERROR(VLOOKUP(J1331,Grupos!$A$2:$D$100,4,FALSE),J1331))</f>
        <v/>
      </c>
      <c r="R1331">
        <f>O1331&amp;IF(N1331&lt;&gt;"",IF(O1331&lt;&gt;""," · ","")&amp;"Con: "&amp;N1331,"")</f>
        <v/>
      </c>
      <c r="S1331">
        <f>C1331&amp;"|"&amp;D1331</f>
        <v/>
      </c>
      <c r="T1331">
        <f>COUNTIF($S$2:S1331,S1331)</f>
        <v/>
      </c>
      <c r="U1331">
        <f>S1331&amp;"|"&amp;T1331</f>
        <v/>
      </c>
      <c r="V1331">
        <f>IFERROR(VLOOKUP(IF(I1331="ENFASIS",LEFT(M1331,FIND("+",M1331&amp;"+")-1),J1331),Direccion_Grupo!$A$2:$G$100,7,FALSE),"")</f>
        <v/>
      </c>
    </row>
    <row r="1332">
      <c r="A1332" t="n">
        <v>21</v>
      </c>
      <c r="B1332" t="inlineStr">
        <is>
          <t>Garzón Quiñones Sixta Janina</t>
        </is>
      </c>
      <c r="C1332" t="inlineStr">
        <is>
          <t>VIERNES</t>
        </is>
      </c>
      <c r="D1332" t="n">
        <v>3</v>
      </c>
      <c r="E1332" t="n">
        <v>2</v>
      </c>
      <c r="F1332" t="n">
        <v>1</v>
      </c>
      <c r="G1332" t="inlineStr">
        <is>
          <t>08:20</t>
        </is>
      </c>
      <c r="H1332" t="inlineStr">
        <is>
          <t>09:05</t>
        </is>
      </c>
      <c r="I1332" t="inlineStr">
        <is>
          <t>AREAS_MULTIPLES</t>
        </is>
      </c>
      <c r="J1332" t="inlineStr">
        <is>
          <t>0202</t>
        </is>
      </c>
      <c r="K1332" t="inlineStr">
        <is>
          <t>ÁREAS MÚLTIPLES</t>
        </is>
      </c>
      <c r="L1332" t="inlineStr"/>
      <c r="M1332" t="inlineStr"/>
      <c r="N1332" t="inlineStr"/>
      <c r="O1332" t="inlineStr">
        <is>
          <t>Maestro de aula: todas las áreas con su grupo</t>
        </is>
      </c>
      <c r="P1332" t="inlineStr"/>
      <c r="Q1332">
        <f>IF(I1332="ENFASIS","ÉNFASIS "&amp;M1332,IFERROR(VLOOKUP(J1332,Grupos!$A$2:$D$100,4,FALSE),J1332))</f>
        <v/>
      </c>
      <c r="R1332">
        <f>O1332&amp;IF(N1332&lt;&gt;"",IF(O1332&lt;&gt;""," · ","")&amp;"Con: "&amp;N1332,"")</f>
        <v/>
      </c>
      <c r="S1332">
        <f>C1332&amp;"|"&amp;D1332</f>
        <v/>
      </c>
      <c r="T1332">
        <f>COUNTIF($S$2:S1332,S1332)</f>
        <v/>
      </c>
      <c r="U1332">
        <f>S1332&amp;"|"&amp;T1332</f>
        <v/>
      </c>
      <c r="V1332">
        <f>IFERROR(VLOOKUP(IF(I1332="ENFASIS",LEFT(M1332,FIND("+",M1332&amp;"+")-1),J1332),Direccion_Grupo!$A$2:$G$100,7,FALSE),"")</f>
        <v/>
      </c>
    </row>
    <row r="1333">
      <c r="A1333" t="n">
        <v>46</v>
      </c>
      <c r="B1333" t="inlineStr">
        <is>
          <t>Tenorio Cuero Lucy Bivian</t>
        </is>
      </c>
      <c r="C1333" t="inlineStr">
        <is>
          <t>VIERNES</t>
        </is>
      </c>
      <c r="D1333" t="n">
        <v>3</v>
      </c>
      <c r="E1333" t="n">
        <v>2</v>
      </c>
      <c r="F1333" t="n">
        <v>1</v>
      </c>
      <c r="G1333" t="inlineStr">
        <is>
          <t>08:20</t>
        </is>
      </c>
      <c r="H1333" t="inlineStr">
        <is>
          <t>09:05</t>
        </is>
      </c>
      <c r="I1333" t="inlineStr">
        <is>
          <t>AREAS_MULTIPLES</t>
        </is>
      </c>
      <c r="J1333" t="inlineStr">
        <is>
          <t>0203</t>
        </is>
      </c>
      <c r="K1333" t="inlineStr">
        <is>
          <t>ÁREAS MÚLTIPLES</t>
        </is>
      </c>
      <c r="L1333" t="inlineStr"/>
      <c r="M1333" t="inlineStr"/>
      <c r="N1333" t="inlineStr"/>
      <c r="O1333" t="inlineStr">
        <is>
          <t>Maestro de aula: todas las áreas con su grupo</t>
        </is>
      </c>
      <c r="P1333" t="inlineStr"/>
      <c r="Q1333">
        <f>IF(I1333="ENFASIS","ÉNFASIS "&amp;M1333,IFERROR(VLOOKUP(J1333,Grupos!$A$2:$D$100,4,FALSE),J1333))</f>
        <v/>
      </c>
      <c r="R1333">
        <f>O1333&amp;IF(N1333&lt;&gt;"",IF(O1333&lt;&gt;""," · ","")&amp;"Con: "&amp;N1333,"")</f>
        <v/>
      </c>
      <c r="S1333">
        <f>C1333&amp;"|"&amp;D1333</f>
        <v/>
      </c>
      <c r="T1333">
        <f>COUNTIF($S$2:S1333,S1333)</f>
        <v/>
      </c>
      <c r="U1333">
        <f>S1333&amp;"|"&amp;T1333</f>
        <v/>
      </c>
      <c r="V1333">
        <f>IFERROR(VLOOKUP(IF(I1333="ENFASIS",LEFT(M1333,FIND("+",M1333&amp;"+")-1),J1333),Direccion_Grupo!$A$2:$G$100,7,FALSE),"")</f>
        <v/>
      </c>
    </row>
    <row r="1334">
      <c r="A1334" t="n">
        <v>48</v>
      </c>
      <c r="B1334" t="inlineStr">
        <is>
          <t>Torres Segura Encarnación</t>
        </is>
      </c>
      <c r="C1334" t="inlineStr">
        <is>
          <t>VIERNES</t>
        </is>
      </c>
      <c r="D1334" t="n">
        <v>3</v>
      </c>
      <c r="E1334" t="n">
        <v>2</v>
      </c>
      <c r="F1334" t="n">
        <v>1</v>
      </c>
      <c r="G1334" t="inlineStr">
        <is>
          <t>08:20</t>
        </is>
      </c>
      <c r="H1334" t="inlineStr">
        <is>
          <t>09:05</t>
        </is>
      </c>
      <c r="I1334" t="inlineStr">
        <is>
          <t>AREAS_MULTIPLES</t>
        </is>
      </c>
      <c r="J1334" t="inlineStr">
        <is>
          <t>0301</t>
        </is>
      </c>
      <c r="K1334" t="inlineStr">
        <is>
          <t>ÁREAS MÚLTIPLES</t>
        </is>
      </c>
      <c r="L1334" t="inlineStr"/>
      <c r="M1334" t="inlineStr"/>
      <c r="N1334" t="inlineStr"/>
      <c r="O1334" t="inlineStr">
        <is>
          <t>Maestro de aula: todas las áreas con su grupo</t>
        </is>
      </c>
      <c r="P1334" t="inlineStr"/>
      <c r="Q1334">
        <f>IF(I1334="ENFASIS","ÉNFASIS "&amp;M1334,IFERROR(VLOOKUP(J1334,Grupos!$A$2:$D$100,4,FALSE),J1334))</f>
        <v/>
      </c>
      <c r="R1334">
        <f>O1334&amp;IF(N1334&lt;&gt;"",IF(O1334&lt;&gt;""," · ","")&amp;"Con: "&amp;N1334,"")</f>
        <v/>
      </c>
      <c r="S1334">
        <f>C1334&amp;"|"&amp;D1334</f>
        <v/>
      </c>
      <c r="T1334">
        <f>COUNTIF($S$2:S1334,S1334)</f>
        <v/>
      </c>
      <c r="U1334">
        <f>S1334&amp;"|"&amp;T1334</f>
        <v/>
      </c>
      <c r="V1334">
        <f>IFERROR(VLOOKUP(IF(I1334="ENFASIS",LEFT(M1334,FIND("+",M1334&amp;"+")-1),J1334),Direccion_Grupo!$A$2:$G$100,7,FALSE),"")</f>
        <v/>
      </c>
    </row>
    <row r="1335">
      <c r="A1335" t="n">
        <v>24</v>
      </c>
      <c r="B1335" t="inlineStr">
        <is>
          <t>Landázuri Gallón Teresa</t>
        </is>
      </c>
      <c r="C1335" t="inlineStr">
        <is>
          <t>VIERNES</t>
        </is>
      </c>
      <c r="D1335" t="n">
        <v>3</v>
      </c>
      <c r="E1335" t="n">
        <v>2</v>
      </c>
      <c r="F1335" t="n">
        <v>1</v>
      </c>
      <c r="G1335" t="inlineStr">
        <is>
          <t>08:20</t>
        </is>
      </c>
      <c r="H1335" t="inlineStr">
        <is>
          <t>09:05</t>
        </is>
      </c>
      <c r="I1335" t="inlineStr">
        <is>
          <t>AREAS_MULTIPLES</t>
        </is>
      </c>
      <c r="J1335" t="inlineStr">
        <is>
          <t>0302</t>
        </is>
      </c>
      <c r="K1335" t="inlineStr">
        <is>
          <t>ÁREAS MÚLTIPLES</t>
        </is>
      </c>
      <c r="L1335" t="inlineStr"/>
      <c r="M1335" t="inlineStr"/>
      <c r="N1335" t="inlineStr"/>
      <c r="O1335" t="inlineStr">
        <is>
          <t>Maestro de aula: todas las áreas con su grupo</t>
        </is>
      </c>
      <c r="P1335" t="inlineStr"/>
      <c r="Q1335">
        <f>IF(I1335="ENFASIS","ÉNFASIS "&amp;M1335,IFERROR(VLOOKUP(J1335,Grupos!$A$2:$D$100,4,FALSE),J1335))</f>
        <v/>
      </c>
      <c r="R1335">
        <f>O1335&amp;IF(N1335&lt;&gt;"",IF(O1335&lt;&gt;""," · ","")&amp;"Con: "&amp;N1335,"")</f>
        <v/>
      </c>
      <c r="S1335">
        <f>C1335&amp;"|"&amp;D1335</f>
        <v/>
      </c>
      <c r="T1335">
        <f>COUNTIF($S$2:S1335,S1335)</f>
        <v/>
      </c>
      <c r="U1335">
        <f>S1335&amp;"|"&amp;T1335</f>
        <v/>
      </c>
      <c r="V1335">
        <f>IFERROR(VLOOKUP(IF(I1335="ENFASIS",LEFT(M1335,FIND("+",M1335&amp;"+")-1),J1335),Direccion_Grupo!$A$2:$G$100,7,FALSE),"")</f>
        <v/>
      </c>
    </row>
    <row r="1336">
      <c r="A1336" t="n">
        <v>55</v>
      </c>
      <c r="B1336" t="inlineStr">
        <is>
          <t>Zamora Ordóñez Celia Pastora</t>
        </is>
      </c>
      <c r="C1336" t="inlineStr">
        <is>
          <t>VIERNES</t>
        </is>
      </c>
      <c r="D1336" t="n">
        <v>3</v>
      </c>
      <c r="E1336" t="n">
        <v>2</v>
      </c>
      <c r="F1336" t="n">
        <v>1</v>
      </c>
      <c r="G1336" t="inlineStr">
        <is>
          <t>08:20</t>
        </is>
      </c>
      <c r="H1336" t="inlineStr">
        <is>
          <t>09:05</t>
        </is>
      </c>
      <c r="I1336" t="inlineStr">
        <is>
          <t>AREAS_MULTIPLES</t>
        </is>
      </c>
      <c r="J1336" t="inlineStr">
        <is>
          <t>0401</t>
        </is>
      </c>
      <c r="K1336" t="inlineStr">
        <is>
          <t>ÁREAS MÚLTIPLES</t>
        </is>
      </c>
      <c r="L1336" t="inlineStr"/>
      <c r="M1336" t="inlineStr"/>
      <c r="N1336" t="inlineStr"/>
      <c r="O1336" t="inlineStr">
        <is>
          <t>Maestro de aula: todas las áreas con su grupo</t>
        </is>
      </c>
      <c r="P1336" t="inlineStr"/>
      <c r="Q1336">
        <f>IF(I1336="ENFASIS","ÉNFASIS "&amp;M1336,IFERROR(VLOOKUP(J1336,Grupos!$A$2:$D$100,4,FALSE),J1336))</f>
        <v/>
      </c>
      <c r="R1336">
        <f>O1336&amp;IF(N1336&lt;&gt;"",IF(O1336&lt;&gt;""," · ","")&amp;"Con: "&amp;N1336,"")</f>
        <v/>
      </c>
      <c r="S1336">
        <f>C1336&amp;"|"&amp;D1336</f>
        <v/>
      </c>
      <c r="T1336">
        <f>COUNTIF($S$2:S1336,S1336)</f>
        <v/>
      </c>
      <c r="U1336">
        <f>S1336&amp;"|"&amp;T1336</f>
        <v/>
      </c>
      <c r="V1336">
        <f>IFERROR(VLOOKUP(IF(I1336="ENFASIS",LEFT(M1336,FIND("+",M1336&amp;"+")-1),J1336),Direccion_Grupo!$A$2:$G$100,7,FALSE),"")</f>
        <v/>
      </c>
    </row>
    <row r="1337">
      <c r="A1337" t="n">
        <v>33</v>
      </c>
      <c r="B1337" t="inlineStr">
        <is>
          <t>Núñez Perlaza Elcy</t>
        </is>
      </c>
      <c r="C1337" t="inlineStr">
        <is>
          <t>VIERNES</t>
        </is>
      </c>
      <c r="D1337" t="n">
        <v>3</v>
      </c>
      <c r="E1337" t="n">
        <v>2</v>
      </c>
      <c r="F1337" t="n">
        <v>1</v>
      </c>
      <c r="G1337" t="inlineStr">
        <is>
          <t>08:20</t>
        </is>
      </c>
      <c r="H1337" t="inlineStr">
        <is>
          <t>09:05</t>
        </is>
      </c>
      <c r="I1337" t="inlineStr">
        <is>
          <t>AREAS_MULTIPLES</t>
        </is>
      </c>
      <c r="J1337" t="inlineStr">
        <is>
          <t>0402</t>
        </is>
      </c>
      <c r="K1337" t="inlineStr">
        <is>
          <t>ÁREAS MÚLTIPLES</t>
        </is>
      </c>
      <c r="L1337" t="inlineStr"/>
      <c r="M1337" t="inlineStr"/>
      <c r="N1337" t="inlineStr"/>
      <c r="O1337" t="inlineStr">
        <is>
          <t>Maestro de aula: todas las áreas con su grupo</t>
        </is>
      </c>
      <c r="P1337" t="inlineStr"/>
      <c r="Q1337">
        <f>IF(I1337="ENFASIS","ÉNFASIS "&amp;M1337,IFERROR(VLOOKUP(J1337,Grupos!$A$2:$D$100,4,FALSE),J1337))</f>
        <v/>
      </c>
      <c r="R1337">
        <f>O1337&amp;IF(N1337&lt;&gt;"",IF(O1337&lt;&gt;""," · ","")&amp;"Con: "&amp;N1337,"")</f>
        <v/>
      </c>
      <c r="S1337">
        <f>C1337&amp;"|"&amp;D1337</f>
        <v/>
      </c>
      <c r="T1337">
        <f>COUNTIF($S$2:S1337,S1337)</f>
        <v/>
      </c>
      <c r="U1337">
        <f>S1337&amp;"|"&amp;T1337</f>
        <v/>
      </c>
      <c r="V1337">
        <f>IFERROR(VLOOKUP(IF(I1337="ENFASIS",LEFT(M1337,FIND("+",M1337&amp;"+")-1),J1337),Direccion_Grupo!$A$2:$G$100,7,FALSE),"")</f>
        <v/>
      </c>
    </row>
    <row r="1338">
      <c r="A1338" t="n">
        <v>14</v>
      </c>
      <c r="B1338" t="inlineStr">
        <is>
          <t>Cuéllar Gallo Nemesia</t>
        </is>
      </c>
      <c r="C1338" t="inlineStr">
        <is>
          <t>VIERNES</t>
        </is>
      </c>
      <c r="D1338" t="n">
        <v>3</v>
      </c>
      <c r="E1338" t="n">
        <v>2</v>
      </c>
      <c r="F1338" t="n">
        <v>1</v>
      </c>
      <c r="G1338" t="inlineStr">
        <is>
          <t>08:20</t>
        </is>
      </c>
      <c r="H1338" t="inlineStr">
        <is>
          <t>09:05</t>
        </is>
      </c>
      <c r="I1338" t="inlineStr">
        <is>
          <t>AREAS_MULTIPLES</t>
        </is>
      </c>
      <c r="J1338" t="inlineStr">
        <is>
          <t>0501</t>
        </is>
      </c>
      <c r="K1338" t="inlineStr">
        <is>
          <t>ÁREAS MÚLTIPLES</t>
        </is>
      </c>
      <c r="L1338" t="inlineStr"/>
      <c r="M1338" t="inlineStr"/>
      <c r="N1338" t="inlineStr"/>
      <c r="O1338" t="inlineStr">
        <is>
          <t>Maestro de aula: todas las áreas con su grupo</t>
        </is>
      </c>
      <c r="P1338" t="inlineStr"/>
      <c r="Q1338">
        <f>IF(I1338="ENFASIS","ÉNFASIS "&amp;M1338,IFERROR(VLOOKUP(J1338,Grupos!$A$2:$D$100,4,FALSE),J1338))</f>
        <v/>
      </c>
      <c r="R1338">
        <f>O1338&amp;IF(N1338&lt;&gt;"",IF(O1338&lt;&gt;""," · ","")&amp;"Con: "&amp;N1338,"")</f>
        <v/>
      </c>
      <c r="S1338">
        <f>C1338&amp;"|"&amp;D1338</f>
        <v/>
      </c>
      <c r="T1338">
        <f>COUNTIF($S$2:S1338,S1338)</f>
        <v/>
      </c>
      <c r="U1338">
        <f>S1338&amp;"|"&amp;T1338</f>
        <v/>
      </c>
      <c r="V1338">
        <f>IFERROR(VLOOKUP(IF(I1338="ENFASIS",LEFT(M1338,FIND("+",M1338&amp;"+")-1),J1338),Direccion_Grupo!$A$2:$G$100,7,FALSE),"")</f>
        <v/>
      </c>
    </row>
    <row r="1339">
      <c r="A1339" t="n">
        <v>11</v>
      </c>
      <c r="B1339" t="inlineStr">
        <is>
          <t>Centeno Zúñiga Claudia Patricia</t>
        </is>
      </c>
      <c r="C1339" t="inlineStr">
        <is>
          <t>VIERNES</t>
        </is>
      </c>
      <c r="D1339" t="n">
        <v>3</v>
      </c>
      <c r="E1339" t="n">
        <v>2</v>
      </c>
      <c r="F1339" t="n">
        <v>1</v>
      </c>
      <c r="G1339" t="inlineStr">
        <is>
          <t>08:20</t>
        </is>
      </c>
      <c r="H1339" t="inlineStr">
        <is>
          <t>09:05</t>
        </is>
      </c>
      <c r="I1339" t="inlineStr">
        <is>
          <t>AREAS_MULTIPLES</t>
        </is>
      </c>
      <c r="J1339" t="inlineStr">
        <is>
          <t>0502</t>
        </is>
      </c>
      <c r="K1339" t="inlineStr">
        <is>
          <t>ÁREAS MÚLTIPLES</t>
        </is>
      </c>
      <c r="L1339" t="inlineStr"/>
      <c r="M1339" t="inlineStr"/>
      <c r="N1339" t="inlineStr"/>
      <c r="O1339" t="inlineStr">
        <is>
          <t>Maestro de aula: todas las áreas con su grupo</t>
        </is>
      </c>
      <c r="P1339" t="inlineStr"/>
      <c r="Q1339">
        <f>IF(I1339="ENFASIS","ÉNFASIS "&amp;M1339,IFERROR(VLOOKUP(J1339,Grupos!$A$2:$D$100,4,FALSE),J1339))</f>
        <v/>
      </c>
      <c r="R1339">
        <f>O1339&amp;IF(N1339&lt;&gt;"",IF(O1339&lt;&gt;""," · ","")&amp;"Con: "&amp;N1339,"")</f>
        <v/>
      </c>
      <c r="S1339">
        <f>C1339&amp;"|"&amp;D1339</f>
        <v/>
      </c>
      <c r="T1339">
        <f>COUNTIF($S$2:S1339,S1339)</f>
        <v/>
      </c>
      <c r="U1339">
        <f>S1339&amp;"|"&amp;T1339</f>
        <v/>
      </c>
      <c r="V1339">
        <f>IFERROR(VLOOKUP(IF(I1339="ENFASIS",LEFT(M1339,FIND("+",M1339&amp;"+")-1),J1339),Direccion_Grupo!$A$2:$G$100,7,FALSE),"")</f>
        <v/>
      </c>
    </row>
    <row r="1340">
      <c r="A1340" t="n">
        <v>32</v>
      </c>
      <c r="B1340" t="inlineStr">
        <is>
          <t>Narváez Sánchez Dora Alejandra</t>
        </is>
      </c>
      <c r="C1340" t="inlineStr">
        <is>
          <t>VIERNES</t>
        </is>
      </c>
      <c r="D1340" t="n">
        <v>3</v>
      </c>
      <c r="E1340" t="n">
        <v>2</v>
      </c>
      <c r="F1340" t="n">
        <v>1</v>
      </c>
      <c r="G1340" t="inlineStr">
        <is>
          <t>08:20</t>
        </is>
      </c>
      <c r="H1340" t="inlineStr">
        <is>
          <t>09:05</t>
        </is>
      </c>
      <c r="I1340" t="inlineStr">
        <is>
          <t>AREAS_MULTIPLES</t>
        </is>
      </c>
      <c r="J1340" t="inlineStr">
        <is>
          <t>0503</t>
        </is>
      </c>
      <c r="K1340" t="inlineStr">
        <is>
          <t>ÁREAS MÚLTIPLES</t>
        </is>
      </c>
      <c r="L1340" t="inlineStr"/>
      <c r="M1340" t="inlineStr"/>
      <c r="N1340" t="inlineStr"/>
      <c r="O1340" t="inlineStr">
        <is>
          <t>Maestro de aula: todas las áreas con su grupo</t>
        </is>
      </c>
      <c r="P1340" t="inlineStr"/>
      <c r="Q1340">
        <f>IF(I1340="ENFASIS","ÉNFASIS "&amp;M1340,IFERROR(VLOOKUP(J1340,Grupos!$A$2:$D$100,4,FALSE),J1340))</f>
        <v/>
      </c>
      <c r="R1340">
        <f>O1340&amp;IF(N1340&lt;&gt;"",IF(O1340&lt;&gt;""," · ","")&amp;"Con: "&amp;N1340,"")</f>
        <v/>
      </c>
      <c r="S1340">
        <f>C1340&amp;"|"&amp;D1340</f>
        <v/>
      </c>
      <c r="T1340">
        <f>COUNTIF($S$2:S1340,S1340)</f>
        <v/>
      </c>
      <c r="U1340">
        <f>S1340&amp;"|"&amp;T1340</f>
        <v/>
      </c>
      <c r="V1340">
        <f>IFERROR(VLOOKUP(IF(I1340="ENFASIS",LEFT(M1340,FIND("+",M1340&amp;"+")-1),J1340),Direccion_Grupo!$A$2:$G$100,7,FALSE),"")</f>
        <v/>
      </c>
    </row>
    <row r="1341">
      <c r="A1341" t="n">
        <v>17</v>
      </c>
      <c r="B1341" t="inlineStr">
        <is>
          <t>Escobar Cortés Liliana</t>
        </is>
      </c>
      <c r="C1341" t="inlineStr">
        <is>
          <t>VIERNES</t>
        </is>
      </c>
      <c r="D1341" t="n">
        <v>3</v>
      </c>
      <c r="E1341" t="n">
        <v>2</v>
      </c>
      <c r="F1341" t="n">
        <v>1</v>
      </c>
      <c r="G1341" t="inlineStr">
        <is>
          <t>08:20</t>
        </is>
      </c>
      <c r="H1341" t="inlineStr">
        <is>
          <t>09:05</t>
        </is>
      </c>
      <c r="I1341" t="inlineStr">
        <is>
          <t>AREAS_MULTIPLES</t>
        </is>
      </c>
      <c r="J1341" t="inlineStr">
        <is>
          <t>0504</t>
        </is>
      </c>
      <c r="K1341" t="inlineStr">
        <is>
          <t>ÁREAS MÚLTIPLES</t>
        </is>
      </c>
      <c r="L1341" t="inlineStr"/>
      <c r="M1341" t="inlineStr"/>
      <c r="N1341" t="inlineStr"/>
      <c r="O1341" t="inlineStr">
        <is>
          <t>Maestro de aula: todas las áreas con su grupo</t>
        </is>
      </c>
      <c r="P1341" t="inlineStr"/>
      <c r="Q1341">
        <f>IF(I1341="ENFASIS","ÉNFASIS "&amp;M1341,IFERROR(VLOOKUP(J1341,Grupos!$A$2:$D$100,4,FALSE),J1341))</f>
        <v/>
      </c>
      <c r="R1341">
        <f>O1341&amp;IF(N1341&lt;&gt;"",IF(O1341&lt;&gt;""," · ","")&amp;"Con: "&amp;N1341,"")</f>
        <v/>
      </c>
      <c r="S1341">
        <f>C1341&amp;"|"&amp;D1341</f>
        <v/>
      </c>
      <c r="T1341">
        <f>COUNTIF($S$2:S1341,S1341)</f>
        <v/>
      </c>
      <c r="U1341">
        <f>S1341&amp;"|"&amp;T1341</f>
        <v/>
      </c>
      <c r="V1341">
        <f>IFERROR(VLOOKUP(IF(I1341="ENFASIS",LEFT(M1341,FIND("+",M1341&amp;"+")-1),J1341),Direccion_Grupo!$A$2:$G$100,7,FALSE),"")</f>
        <v/>
      </c>
    </row>
    <row r="1342">
      <c r="A1342" t="n">
        <v>16</v>
      </c>
      <c r="B1342" t="inlineStr">
        <is>
          <t>Cuero Rincón Hernando Jesús</t>
        </is>
      </c>
      <c r="C1342" t="inlineStr">
        <is>
          <t>VIERNES</t>
        </is>
      </c>
      <c r="D1342" t="n">
        <v>3</v>
      </c>
      <c r="E1342" t="n">
        <v>2</v>
      </c>
      <c r="F1342" t="n">
        <v>1</v>
      </c>
      <c r="G1342" t="inlineStr">
        <is>
          <t>08:20</t>
        </is>
      </c>
      <c r="H1342" t="inlineStr">
        <is>
          <t>09:05</t>
        </is>
      </c>
      <c r="I1342" t="inlineStr">
        <is>
          <t>CLASE</t>
        </is>
      </c>
      <c r="J1342" t="inlineStr">
        <is>
          <t>0601</t>
        </is>
      </c>
      <c r="K1342" t="inlineStr">
        <is>
          <t>TEI</t>
        </is>
      </c>
      <c r="L1342" t="inlineStr"/>
      <c r="M1342" t="inlineStr"/>
      <c r="N1342" t="inlineStr"/>
      <c r="O1342" t="inlineStr"/>
      <c r="P1342" t="inlineStr">
        <is>
          <t>0601-TEI</t>
        </is>
      </c>
      <c r="Q1342">
        <f>IF(I1342="ENFASIS","ÉNFASIS "&amp;M1342,IFERROR(VLOOKUP(J1342,Grupos!$A$2:$D$100,4,FALSE),J1342))</f>
        <v/>
      </c>
      <c r="R1342">
        <f>O1342&amp;IF(N1342&lt;&gt;"",IF(O1342&lt;&gt;""," · ","")&amp;"Con: "&amp;N1342,"")</f>
        <v/>
      </c>
      <c r="S1342">
        <f>C1342&amp;"|"&amp;D1342</f>
        <v/>
      </c>
      <c r="T1342">
        <f>COUNTIF($S$2:S1342,S1342)</f>
        <v/>
      </c>
      <c r="U1342">
        <f>S1342&amp;"|"&amp;T1342</f>
        <v/>
      </c>
      <c r="V1342">
        <f>IFERROR(VLOOKUP(IF(I1342="ENFASIS",LEFT(M1342,FIND("+",M1342&amp;"+")-1),J1342),Direccion_Grupo!$A$2:$G$100,7,FALSE),"")</f>
        <v/>
      </c>
    </row>
    <row r="1343">
      <c r="A1343" t="n">
        <v>37</v>
      </c>
      <c r="B1343" t="inlineStr">
        <is>
          <t>Prado Quiñones Genís Maribel</t>
        </is>
      </c>
      <c r="C1343" t="inlineStr">
        <is>
          <t>VIERNES</t>
        </is>
      </c>
      <c r="D1343" t="n">
        <v>3</v>
      </c>
      <c r="E1343" t="n">
        <v>2</v>
      </c>
      <c r="F1343" t="n">
        <v>1</v>
      </c>
      <c r="G1343" t="inlineStr">
        <is>
          <t>08:20</t>
        </is>
      </c>
      <c r="H1343" t="inlineStr">
        <is>
          <t>09:05</t>
        </is>
      </c>
      <c r="I1343" t="inlineStr">
        <is>
          <t>CLASE</t>
        </is>
      </c>
      <c r="J1343" t="inlineStr">
        <is>
          <t>0602</t>
        </is>
      </c>
      <c r="K1343" t="inlineStr">
        <is>
          <t>CNA</t>
        </is>
      </c>
      <c r="L1343" t="inlineStr"/>
      <c r="M1343" t="inlineStr"/>
      <c r="N1343" t="inlineStr"/>
      <c r="O1343" t="inlineStr"/>
      <c r="P1343" t="inlineStr">
        <is>
          <t>0602-CNA</t>
        </is>
      </c>
      <c r="Q1343">
        <f>IF(I1343="ENFASIS","ÉNFASIS "&amp;M1343,IFERROR(VLOOKUP(J1343,Grupos!$A$2:$D$100,4,FALSE),J1343))</f>
        <v/>
      </c>
      <c r="R1343">
        <f>O1343&amp;IF(N1343&lt;&gt;"",IF(O1343&lt;&gt;""," · ","")&amp;"Con: "&amp;N1343,"")</f>
        <v/>
      </c>
      <c r="S1343">
        <f>C1343&amp;"|"&amp;D1343</f>
        <v/>
      </c>
      <c r="T1343">
        <f>COUNTIF($S$2:S1343,S1343)</f>
        <v/>
      </c>
      <c r="U1343">
        <f>S1343&amp;"|"&amp;T1343</f>
        <v/>
      </c>
      <c r="V1343">
        <f>IFERROR(VLOOKUP(IF(I1343="ENFASIS",LEFT(M1343,FIND("+",M1343&amp;"+")-1),J1343),Direccion_Grupo!$A$2:$G$100,7,FALSE),"")</f>
        <v/>
      </c>
    </row>
    <row r="1344">
      <c r="A1344" t="n">
        <v>10</v>
      </c>
      <c r="B1344" t="inlineStr">
        <is>
          <t>Castillo Cuero Daira Eneida</t>
        </is>
      </c>
      <c r="C1344" t="inlineStr">
        <is>
          <t>VIERNES</t>
        </is>
      </c>
      <c r="D1344" t="n">
        <v>3</v>
      </c>
      <c r="E1344" t="n">
        <v>2</v>
      </c>
      <c r="F1344" t="n">
        <v>1</v>
      </c>
      <c r="G1344" t="inlineStr">
        <is>
          <t>08:20</t>
        </is>
      </c>
      <c r="H1344" t="inlineStr">
        <is>
          <t>09:05</t>
        </is>
      </c>
      <c r="I1344" t="inlineStr">
        <is>
          <t>CLASE</t>
        </is>
      </c>
      <c r="J1344" t="inlineStr">
        <is>
          <t>0701</t>
        </is>
      </c>
      <c r="K1344" t="inlineStr">
        <is>
          <t>CAS</t>
        </is>
      </c>
      <c r="L1344" t="inlineStr"/>
      <c r="M1344" t="inlineStr"/>
      <c r="N1344" t="inlineStr"/>
      <c r="O1344" t="inlineStr"/>
      <c r="P1344" t="inlineStr">
        <is>
          <t>0701-CAS</t>
        </is>
      </c>
      <c r="Q1344">
        <f>IF(I1344="ENFASIS","ÉNFASIS "&amp;M1344,IFERROR(VLOOKUP(J1344,Grupos!$A$2:$D$100,4,FALSE),J1344))</f>
        <v/>
      </c>
      <c r="R1344">
        <f>O1344&amp;IF(N1344&lt;&gt;"",IF(O1344&lt;&gt;""," · ","")&amp;"Con: "&amp;N1344,"")</f>
        <v/>
      </c>
      <c r="S1344">
        <f>C1344&amp;"|"&amp;D1344</f>
        <v/>
      </c>
      <c r="T1344">
        <f>COUNTIF($S$2:S1344,S1344)</f>
        <v/>
      </c>
      <c r="U1344">
        <f>S1344&amp;"|"&amp;T1344</f>
        <v/>
      </c>
      <c r="V1344">
        <f>IFERROR(VLOOKUP(IF(I1344="ENFASIS",LEFT(M1344,FIND("+",M1344&amp;"+")-1),J1344),Direccion_Grupo!$A$2:$G$100,7,FALSE),"")</f>
        <v/>
      </c>
    </row>
    <row r="1345">
      <c r="A1345" t="n">
        <v>34</v>
      </c>
      <c r="B1345" t="inlineStr">
        <is>
          <t>Ordóñez Tenorio Jaime Marcial</t>
        </is>
      </c>
      <c r="C1345" t="inlineStr">
        <is>
          <t>VIERNES</t>
        </is>
      </c>
      <c r="D1345" t="n">
        <v>3</v>
      </c>
      <c r="E1345" t="n">
        <v>2</v>
      </c>
      <c r="F1345" t="n">
        <v>1</v>
      </c>
      <c r="G1345" t="inlineStr">
        <is>
          <t>08:20</t>
        </is>
      </c>
      <c r="H1345" t="inlineStr">
        <is>
          <t>09:05</t>
        </is>
      </c>
      <c r="I1345" t="inlineStr">
        <is>
          <t>CLASE</t>
        </is>
      </c>
      <c r="J1345" t="inlineStr">
        <is>
          <t>0702</t>
        </is>
      </c>
      <c r="K1345" t="inlineStr">
        <is>
          <t>CNA</t>
        </is>
      </c>
      <c r="L1345" t="inlineStr"/>
      <c r="M1345" t="inlineStr"/>
      <c r="N1345" t="inlineStr"/>
      <c r="O1345" t="inlineStr"/>
      <c r="P1345" t="inlineStr">
        <is>
          <t>0702-CNA</t>
        </is>
      </c>
      <c r="Q1345">
        <f>IF(I1345="ENFASIS","ÉNFASIS "&amp;M1345,IFERROR(VLOOKUP(J1345,Grupos!$A$2:$D$100,4,FALSE),J1345))</f>
        <v/>
      </c>
      <c r="R1345">
        <f>O1345&amp;IF(N1345&lt;&gt;"",IF(O1345&lt;&gt;""," · ","")&amp;"Con: "&amp;N1345,"")</f>
        <v/>
      </c>
      <c r="S1345">
        <f>C1345&amp;"|"&amp;D1345</f>
        <v/>
      </c>
      <c r="T1345">
        <f>COUNTIF($S$2:S1345,S1345)</f>
        <v/>
      </c>
      <c r="U1345">
        <f>S1345&amp;"|"&amp;T1345</f>
        <v/>
      </c>
      <c r="V1345">
        <f>IFERROR(VLOOKUP(IF(I1345="ENFASIS",LEFT(M1345,FIND("+",M1345&amp;"+")-1),J1345),Direccion_Grupo!$A$2:$G$100,7,FALSE),"")</f>
        <v/>
      </c>
    </row>
    <row r="1346">
      <c r="A1346" t="n">
        <v>1</v>
      </c>
      <c r="B1346" t="inlineStr">
        <is>
          <t>Aguirre Riascos Jorge Andrés</t>
        </is>
      </c>
      <c r="C1346" t="inlineStr">
        <is>
          <t>VIERNES</t>
        </is>
      </c>
      <c r="D1346" t="n">
        <v>3</v>
      </c>
      <c r="E1346" t="n">
        <v>2</v>
      </c>
      <c r="F1346" t="n">
        <v>1</v>
      </c>
      <c r="G1346" t="inlineStr">
        <is>
          <t>08:20</t>
        </is>
      </c>
      <c r="H1346" t="inlineStr">
        <is>
          <t>09:05</t>
        </is>
      </c>
      <c r="I1346" t="inlineStr">
        <is>
          <t>CLASE</t>
        </is>
      </c>
      <c r="J1346" t="inlineStr">
        <is>
          <t>0703</t>
        </is>
      </c>
      <c r="K1346" t="inlineStr">
        <is>
          <t>TEI</t>
        </is>
      </c>
      <c r="L1346" t="inlineStr"/>
      <c r="M1346" t="inlineStr"/>
      <c r="N1346" t="inlineStr"/>
      <c r="O1346" t="inlineStr"/>
      <c r="P1346" t="inlineStr">
        <is>
          <t>0703-TEI</t>
        </is>
      </c>
      <c r="Q1346">
        <f>IF(I1346="ENFASIS","ÉNFASIS "&amp;M1346,IFERROR(VLOOKUP(J1346,Grupos!$A$2:$D$100,4,FALSE),J1346))</f>
        <v/>
      </c>
      <c r="R1346">
        <f>O1346&amp;IF(N1346&lt;&gt;"",IF(O1346&lt;&gt;""," · ","")&amp;"Con: "&amp;N1346,"")</f>
        <v/>
      </c>
      <c r="S1346">
        <f>C1346&amp;"|"&amp;D1346</f>
        <v/>
      </c>
      <c r="T1346">
        <f>COUNTIF($S$2:S1346,S1346)</f>
        <v/>
      </c>
      <c r="U1346">
        <f>S1346&amp;"|"&amp;T1346</f>
        <v/>
      </c>
      <c r="V1346">
        <f>IFERROR(VLOOKUP(IF(I1346="ENFASIS",LEFT(M1346,FIND("+",M1346&amp;"+")-1),J1346),Direccion_Grupo!$A$2:$G$100,7,FALSE),"")</f>
        <v/>
      </c>
    </row>
    <row r="1347">
      <c r="A1347" t="n">
        <v>39</v>
      </c>
      <c r="B1347" t="inlineStr">
        <is>
          <t>Puches Ana Milena</t>
        </is>
      </c>
      <c r="C1347" t="inlineStr">
        <is>
          <t>VIERNES</t>
        </is>
      </c>
      <c r="D1347" t="n">
        <v>3</v>
      </c>
      <c r="E1347" t="n">
        <v>2</v>
      </c>
      <c r="F1347" t="n">
        <v>1</v>
      </c>
      <c r="G1347" t="inlineStr">
        <is>
          <t>08:20</t>
        </is>
      </c>
      <c r="H1347" t="inlineStr">
        <is>
          <t>09:05</t>
        </is>
      </c>
      <c r="I1347" t="inlineStr">
        <is>
          <t>CLASE</t>
        </is>
      </c>
      <c r="J1347" t="inlineStr">
        <is>
          <t>0704</t>
        </is>
      </c>
      <c r="K1347" t="inlineStr">
        <is>
          <t>ART</t>
        </is>
      </c>
      <c r="L1347" t="inlineStr"/>
      <c r="M1347" t="inlineStr"/>
      <c r="N1347" t="inlineStr"/>
      <c r="O1347" t="inlineStr"/>
      <c r="P1347" t="inlineStr">
        <is>
          <t>0704-ART</t>
        </is>
      </c>
      <c r="Q1347">
        <f>IF(I1347="ENFASIS","ÉNFASIS "&amp;M1347,IFERROR(VLOOKUP(J1347,Grupos!$A$2:$D$100,4,FALSE),J1347))</f>
        <v/>
      </c>
      <c r="R1347">
        <f>O1347&amp;IF(N1347&lt;&gt;"",IF(O1347&lt;&gt;""," · ","")&amp;"Con: "&amp;N1347,"")</f>
        <v/>
      </c>
      <c r="S1347">
        <f>C1347&amp;"|"&amp;D1347</f>
        <v/>
      </c>
      <c r="T1347">
        <f>COUNTIF($S$2:S1347,S1347)</f>
        <v/>
      </c>
      <c r="U1347">
        <f>S1347&amp;"|"&amp;T1347</f>
        <v/>
      </c>
      <c r="V1347">
        <f>IFERROR(VLOOKUP(IF(I1347="ENFASIS",LEFT(M1347,FIND("+",M1347&amp;"+")-1),J1347),Direccion_Grupo!$A$2:$G$100,7,FALSE),"")</f>
        <v/>
      </c>
    </row>
    <row r="1348">
      <c r="A1348" t="n">
        <v>15</v>
      </c>
      <c r="B1348" t="inlineStr">
        <is>
          <t>Cuero Bamba Berte Levi</t>
        </is>
      </c>
      <c r="C1348" t="inlineStr">
        <is>
          <t>VIERNES</t>
        </is>
      </c>
      <c r="D1348" t="n">
        <v>3</v>
      </c>
      <c r="E1348" t="n">
        <v>2</v>
      </c>
      <c r="F1348" t="n">
        <v>1</v>
      </c>
      <c r="G1348" t="inlineStr">
        <is>
          <t>08:20</t>
        </is>
      </c>
      <c r="H1348" t="inlineStr">
        <is>
          <t>09:05</t>
        </is>
      </c>
      <c r="I1348" t="inlineStr">
        <is>
          <t>CLASE</t>
        </is>
      </c>
      <c r="J1348" t="inlineStr">
        <is>
          <t>0801</t>
        </is>
      </c>
      <c r="K1348" t="inlineStr">
        <is>
          <t>ERD</t>
        </is>
      </c>
      <c r="L1348" t="inlineStr"/>
      <c r="M1348" t="inlineStr"/>
      <c r="N1348" t="inlineStr"/>
      <c r="O1348" t="inlineStr"/>
      <c r="P1348" t="inlineStr">
        <is>
          <t>0801-ERD</t>
        </is>
      </c>
      <c r="Q1348">
        <f>IF(I1348="ENFASIS","ÉNFASIS "&amp;M1348,IFERROR(VLOOKUP(J1348,Grupos!$A$2:$D$100,4,FALSE),J1348))</f>
        <v/>
      </c>
      <c r="R1348">
        <f>O1348&amp;IF(N1348&lt;&gt;"",IF(O1348&lt;&gt;""," · ","")&amp;"Con: "&amp;N1348,"")</f>
        <v/>
      </c>
      <c r="S1348">
        <f>C1348&amp;"|"&amp;D1348</f>
        <v/>
      </c>
      <c r="T1348">
        <f>COUNTIF($S$2:S1348,S1348)</f>
        <v/>
      </c>
      <c r="U1348">
        <f>S1348&amp;"|"&amp;T1348</f>
        <v/>
      </c>
      <c r="V1348">
        <f>IFERROR(VLOOKUP(IF(I1348="ENFASIS",LEFT(M1348,FIND("+",M1348&amp;"+")-1),J1348),Direccion_Grupo!$A$2:$G$100,7,FALSE),"")</f>
        <v/>
      </c>
    </row>
    <row r="1349">
      <c r="A1349" t="n">
        <v>28</v>
      </c>
      <c r="B1349" t="inlineStr">
        <is>
          <t>Meza Banguera Gladys Alicia</t>
        </is>
      </c>
      <c r="C1349" t="inlineStr">
        <is>
          <t>VIERNES</t>
        </is>
      </c>
      <c r="D1349" t="n">
        <v>3</v>
      </c>
      <c r="E1349" t="n">
        <v>2</v>
      </c>
      <c r="F1349" t="n">
        <v>1</v>
      </c>
      <c r="G1349" t="inlineStr">
        <is>
          <t>08:20</t>
        </is>
      </c>
      <c r="H1349" t="inlineStr">
        <is>
          <t>09:05</t>
        </is>
      </c>
      <c r="I1349" t="inlineStr">
        <is>
          <t>CLASE</t>
        </is>
      </c>
      <c r="J1349" t="inlineStr">
        <is>
          <t>0901</t>
        </is>
      </c>
      <c r="K1349" t="inlineStr">
        <is>
          <t>CAS</t>
        </is>
      </c>
      <c r="L1349" t="inlineStr"/>
      <c r="M1349" t="inlineStr"/>
      <c r="N1349" t="inlineStr"/>
      <c r="O1349" t="inlineStr"/>
      <c r="P1349" t="inlineStr">
        <is>
          <t>0901-CAS</t>
        </is>
      </c>
      <c r="Q1349">
        <f>IF(I1349="ENFASIS","ÉNFASIS "&amp;M1349,IFERROR(VLOOKUP(J1349,Grupos!$A$2:$D$100,4,FALSE),J1349))</f>
        <v/>
      </c>
      <c r="R1349">
        <f>O1349&amp;IF(N1349&lt;&gt;"",IF(O1349&lt;&gt;""," · ","")&amp;"Con: "&amp;N1349,"")</f>
        <v/>
      </c>
      <c r="S1349">
        <f>C1349&amp;"|"&amp;D1349</f>
        <v/>
      </c>
      <c r="T1349">
        <f>COUNTIF($S$2:S1349,S1349)</f>
        <v/>
      </c>
      <c r="U1349">
        <f>S1349&amp;"|"&amp;T1349</f>
        <v/>
      </c>
      <c r="V1349">
        <f>IFERROR(VLOOKUP(IF(I1349="ENFASIS",LEFT(M1349,FIND("+",M1349&amp;"+")-1),J1349),Direccion_Grupo!$A$2:$G$100,7,FALSE),"")</f>
        <v/>
      </c>
    </row>
    <row r="1350">
      <c r="A1350" t="n">
        <v>49</v>
      </c>
      <c r="B1350" t="inlineStr">
        <is>
          <t>Valencia Marínez Saidy Eufemia</t>
        </is>
      </c>
      <c r="C1350" t="inlineStr">
        <is>
          <t>VIERNES</t>
        </is>
      </c>
      <c r="D1350" t="n">
        <v>3</v>
      </c>
      <c r="E1350" t="n">
        <v>2</v>
      </c>
      <c r="F1350" t="n">
        <v>1</v>
      </c>
      <c r="G1350" t="inlineStr">
        <is>
          <t>08:20</t>
        </is>
      </c>
      <c r="H1350" t="inlineStr">
        <is>
          <t>09:05</t>
        </is>
      </c>
      <c r="I1350" t="inlineStr">
        <is>
          <t>CLASE</t>
        </is>
      </c>
      <c r="J1350" t="inlineStr">
        <is>
          <t>1001</t>
        </is>
      </c>
      <c r="K1350" t="inlineStr">
        <is>
          <t>ART</t>
        </is>
      </c>
      <c r="L1350" t="inlineStr"/>
      <c r="M1350" t="inlineStr"/>
      <c r="N1350" t="inlineStr"/>
      <c r="O1350" t="inlineStr"/>
      <c r="P1350" t="inlineStr">
        <is>
          <t>1001-ART</t>
        </is>
      </c>
      <c r="Q1350">
        <f>IF(I1350="ENFASIS","ÉNFASIS "&amp;M1350,IFERROR(VLOOKUP(J1350,Grupos!$A$2:$D$100,4,FALSE),J1350))</f>
        <v/>
      </c>
      <c r="R1350">
        <f>O1350&amp;IF(N1350&lt;&gt;"",IF(O1350&lt;&gt;""," · ","")&amp;"Con: "&amp;N1350,"")</f>
        <v/>
      </c>
      <c r="S1350">
        <f>C1350&amp;"|"&amp;D1350</f>
        <v/>
      </c>
      <c r="T1350">
        <f>COUNTIF($S$2:S1350,S1350)</f>
        <v/>
      </c>
      <c r="U1350">
        <f>S1350&amp;"|"&amp;T1350</f>
        <v/>
      </c>
      <c r="V1350">
        <f>IFERROR(VLOOKUP(IF(I1350="ENFASIS",LEFT(M1350,FIND("+",M1350&amp;"+")-1),J1350),Direccion_Grupo!$A$2:$G$100,7,FALSE),"")</f>
        <v/>
      </c>
    </row>
    <row r="1351">
      <c r="A1351" t="n">
        <v>30</v>
      </c>
      <c r="B1351" t="inlineStr">
        <is>
          <t>Montaño Anchico Favio Héctor</t>
        </is>
      </c>
      <c r="C1351" t="inlineStr">
        <is>
          <t>VIERNES</t>
        </is>
      </c>
      <c r="D1351" t="n">
        <v>3</v>
      </c>
      <c r="E1351" t="n">
        <v>2</v>
      </c>
      <c r="F1351" t="n">
        <v>1</v>
      </c>
      <c r="G1351" t="inlineStr">
        <is>
          <t>08:20</t>
        </is>
      </c>
      <c r="H1351" t="inlineStr">
        <is>
          <t>09:05</t>
        </is>
      </c>
      <c r="I1351" t="inlineStr">
        <is>
          <t>CLASE</t>
        </is>
      </c>
      <c r="J1351" t="inlineStr">
        <is>
          <t>1101</t>
        </is>
      </c>
      <c r="K1351" t="inlineStr">
        <is>
          <t>CAS</t>
        </is>
      </c>
      <c r="L1351" t="inlineStr"/>
      <c r="M1351" t="inlineStr"/>
      <c r="N1351" t="inlineStr"/>
      <c r="O1351" t="inlineStr"/>
      <c r="P1351" t="inlineStr">
        <is>
          <t>1101-CAS</t>
        </is>
      </c>
      <c r="Q1351">
        <f>IF(I1351="ENFASIS","ÉNFASIS "&amp;M1351,IFERROR(VLOOKUP(J1351,Grupos!$A$2:$D$100,4,FALSE),J1351))</f>
        <v/>
      </c>
      <c r="R1351">
        <f>O1351&amp;IF(N1351&lt;&gt;"",IF(O1351&lt;&gt;""," · ","")&amp;"Con: "&amp;N1351,"")</f>
        <v/>
      </c>
      <c r="S1351">
        <f>C1351&amp;"|"&amp;D1351</f>
        <v/>
      </c>
      <c r="T1351">
        <f>COUNTIF($S$2:S1351,S1351)</f>
        <v/>
      </c>
      <c r="U1351">
        <f>S1351&amp;"|"&amp;T1351</f>
        <v/>
      </c>
      <c r="V1351">
        <f>IFERROR(VLOOKUP(IF(I1351="ENFASIS",LEFT(M1351,FIND("+",M1351&amp;"+")-1),J1351),Direccion_Grupo!$A$2:$G$100,7,FALSE),"")</f>
        <v/>
      </c>
    </row>
    <row r="1352">
      <c r="A1352" t="n">
        <v>3</v>
      </c>
      <c r="B1352" t="inlineStr">
        <is>
          <t>Arboleda Ortiz Luz América</t>
        </is>
      </c>
      <c r="C1352" t="inlineStr">
        <is>
          <t>VIERNES</t>
        </is>
      </c>
      <c r="D1352" t="n">
        <v>3</v>
      </c>
      <c r="E1352" t="n">
        <v>2</v>
      </c>
      <c r="F1352" t="n">
        <v>1</v>
      </c>
      <c r="G1352" t="inlineStr">
        <is>
          <t>08:20</t>
        </is>
      </c>
      <c r="H1352" t="inlineStr">
        <is>
          <t>09:05</t>
        </is>
      </c>
      <c r="I1352" t="inlineStr">
        <is>
          <t>CLASE</t>
        </is>
      </c>
      <c r="J1352" t="inlineStr">
        <is>
          <t>1102</t>
        </is>
      </c>
      <c r="K1352" t="inlineStr">
        <is>
          <t>ART</t>
        </is>
      </c>
      <c r="L1352" t="inlineStr"/>
      <c r="M1352" t="inlineStr"/>
      <c r="N1352" t="inlineStr"/>
      <c r="O1352" t="inlineStr"/>
      <c r="P1352" t="inlineStr">
        <is>
          <t>1102-ART</t>
        </is>
      </c>
      <c r="Q1352">
        <f>IF(I1352="ENFASIS","ÉNFASIS "&amp;M1352,IFERROR(VLOOKUP(J1352,Grupos!$A$2:$D$100,4,FALSE),J1352))</f>
        <v/>
      </c>
      <c r="R1352">
        <f>O1352&amp;IF(N1352&lt;&gt;"",IF(O1352&lt;&gt;""," · ","")&amp;"Con: "&amp;N1352,"")</f>
        <v/>
      </c>
      <c r="S1352">
        <f>C1352&amp;"|"&amp;D1352</f>
        <v/>
      </c>
      <c r="T1352">
        <f>COUNTIF($S$2:S1352,S1352)</f>
        <v/>
      </c>
      <c r="U1352">
        <f>S1352&amp;"|"&amp;T1352</f>
        <v/>
      </c>
      <c r="V1352">
        <f>IFERROR(VLOOKUP(IF(I1352="ENFASIS",LEFT(M1352,FIND("+",M1352&amp;"+")-1),J1352),Direccion_Grupo!$A$2:$G$100,7,FALSE),"")</f>
        <v/>
      </c>
    </row>
    <row r="1353">
      <c r="A1353" t="n">
        <v>26</v>
      </c>
      <c r="B1353" t="inlineStr">
        <is>
          <t>Lozano Torres Amanda Inés</t>
        </is>
      </c>
      <c r="C1353" t="inlineStr">
        <is>
          <t>VIERNES</t>
        </is>
      </c>
      <c r="D1353" t="n">
        <v>3</v>
      </c>
      <c r="E1353" t="n">
        <v>2</v>
      </c>
      <c r="F1353" t="n">
        <v>1</v>
      </c>
      <c r="G1353" t="inlineStr">
        <is>
          <t>08:20</t>
        </is>
      </c>
      <c r="H1353" t="inlineStr">
        <is>
          <t>09:05</t>
        </is>
      </c>
      <c r="I1353" t="inlineStr">
        <is>
          <t>CLASE</t>
        </is>
      </c>
      <c r="J1353" t="inlineStr">
        <is>
          <t>CS101</t>
        </is>
      </c>
      <c r="K1353" t="inlineStr">
        <is>
          <t>ETR</t>
        </is>
      </c>
      <c r="L1353" t="inlineStr"/>
      <c r="M1353" t="inlineStr"/>
      <c r="N1353" t="inlineStr"/>
      <c r="O1353" t="inlineStr">
        <is>
          <t>Ética / Religión (alternan cada semana)</t>
        </is>
      </c>
      <c r="P1353" t="inlineStr">
        <is>
          <t>CS101-ETR</t>
        </is>
      </c>
      <c r="Q1353">
        <f>IF(I1353="ENFASIS","ÉNFASIS "&amp;M1353,IFERROR(VLOOKUP(J1353,Grupos!$A$2:$D$100,4,FALSE),J1353))</f>
        <v/>
      </c>
      <c r="R1353">
        <f>O1353&amp;IF(N1353&lt;&gt;"",IF(O1353&lt;&gt;""," · ","")&amp;"Con: "&amp;N1353,"")</f>
        <v/>
      </c>
      <c r="S1353">
        <f>C1353&amp;"|"&amp;D1353</f>
        <v/>
      </c>
      <c r="T1353">
        <f>COUNTIF($S$2:S1353,S1353)</f>
        <v/>
      </c>
      <c r="U1353">
        <f>S1353&amp;"|"&amp;T1353</f>
        <v/>
      </c>
      <c r="V1353">
        <f>IFERROR(VLOOKUP(IF(I1353="ENFASIS",LEFT(M1353,FIND("+",M1353&amp;"+")-1),J1353),Direccion_Grupo!$A$2:$G$100,7,FALSE),"")</f>
        <v/>
      </c>
    </row>
    <row r="1354">
      <c r="A1354" t="n">
        <v>20</v>
      </c>
      <c r="B1354" t="inlineStr">
        <is>
          <t>García Gobea Saydi Magali</t>
        </is>
      </c>
      <c r="C1354" t="inlineStr">
        <is>
          <t>VIERNES</t>
        </is>
      </c>
      <c r="D1354" t="n">
        <v>3</v>
      </c>
      <c r="E1354" t="n">
        <v>2</v>
      </c>
      <c r="F1354" t="n">
        <v>1</v>
      </c>
      <c r="G1354" t="inlineStr">
        <is>
          <t>08:20</t>
        </is>
      </c>
      <c r="H1354" t="inlineStr">
        <is>
          <t>09:05</t>
        </is>
      </c>
      <c r="I1354" t="inlineStr">
        <is>
          <t>CLASE</t>
        </is>
      </c>
      <c r="J1354" t="inlineStr">
        <is>
          <t>CS102</t>
        </is>
      </c>
      <c r="K1354" t="inlineStr">
        <is>
          <t>CSI</t>
        </is>
      </c>
      <c r="L1354" t="inlineStr"/>
      <c r="M1354" t="inlineStr"/>
      <c r="N1354" t="inlineStr"/>
      <c r="O1354" t="inlineStr">
        <is>
          <t>Sociales / Inglés (alternan cada semana)</t>
        </is>
      </c>
      <c r="P1354" t="inlineStr">
        <is>
          <t>CS102-CSI</t>
        </is>
      </c>
      <c r="Q1354">
        <f>IF(I1354="ENFASIS","ÉNFASIS "&amp;M1354,IFERROR(VLOOKUP(J1354,Grupos!$A$2:$D$100,4,FALSE),J1354))</f>
        <v/>
      </c>
      <c r="R1354">
        <f>O1354&amp;IF(N1354&lt;&gt;"",IF(O1354&lt;&gt;""," · ","")&amp;"Con: "&amp;N1354,"")</f>
        <v/>
      </c>
      <c r="S1354">
        <f>C1354&amp;"|"&amp;D1354</f>
        <v/>
      </c>
      <c r="T1354">
        <f>COUNTIF($S$2:S1354,S1354)</f>
        <v/>
      </c>
      <c r="U1354">
        <f>S1354&amp;"|"&amp;T1354</f>
        <v/>
      </c>
      <c r="V1354">
        <f>IFERROR(VLOOKUP(IF(I1354="ENFASIS",LEFT(M1354,FIND("+",M1354&amp;"+")-1),J1354),Direccion_Grupo!$A$2:$G$100,7,FALSE),"")</f>
        <v/>
      </c>
    </row>
    <row r="1355">
      <c r="A1355" t="n">
        <v>12</v>
      </c>
      <c r="B1355" t="inlineStr">
        <is>
          <t>Chillambo Quiñones María Rocío</t>
        </is>
      </c>
      <c r="C1355" t="inlineStr">
        <is>
          <t>VIERNES</t>
        </is>
      </c>
      <c r="D1355" t="n">
        <v>3</v>
      </c>
      <c r="E1355" t="n">
        <v>2</v>
      </c>
      <c r="F1355" t="n">
        <v>1</v>
      </c>
      <c r="G1355" t="inlineStr">
        <is>
          <t>08:20</t>
        </is>
      </c>
      <c r="H1355" t="inlineStr">
        <is>
          <t>09:05</t>
        </is>
      </c>
      <c r="I1355" t="inlineStr">
        <is>
          <t>CLASE</t>
        </is>
      </c>
      <c r="J1355" t="inlineStr">
        <is>
          <t>CS201</t>
        </is>
      </c>
      <c r="K1355" t="inlineStr">
        <is>
          <t>CNA</t>
        </is>
      </c>
      <c r="L1355" t="inlineStr"/>
      <c r="M1355" t="inlineStr"/>
      <c r="N1355" t="inlineStr"/>
      <c r="O1355" t="inlineStr"/>
      <c r="P1355" t="inlineStr">
        <is>
          <t>CS201-CNA</t>
        </is>
      </c>
      <c r="Q1355">
        <f>IF(I1355="ENFASIS","ÉNFASIS "&amp;M1355,IFERROR(VLOOKUP(J1355,Grupos!$A$2:$D$100,4,FALSE),J1355))</f>
        <v/>
      </c>
      <c r="R1355">
        <f>O1355&amp;IF(N1355&lt;&gt;"",IF(O1355&lt;&gt;""," · ","")&amp;"Con: "&amp;N1355,"")</f>
        <v/>
      </c>
      <c r="S1355">
        <f>C1355&amp;"|"&amp;D1355</f>
        <v/>
      </c>
      <c r="T1355">
        <f>COUNTIF($S$2:S1355,S1355)</f>
        <v/>
      </c>
      <c r="U1355">
        <f>S1355&amp;"|"&amp;T1355</f>
        <v/>
      </c>
      <c r="V1355">
        <f>IFERROR(VLOOKUP(IF(I1355="ENFASIS",LEFT(M1355,FIND("+",M1355&amp;"+")-1),J1355),Direccion_Grupo!$A$2:$G$100,7,FALSE),"")</f>
        <v/>
      </c>
    </row>
    <row r="1356">
      <c r="A1356" t="n">
        <v>44</v>
      </c>
      <c r="B1356" t="inlineStr">
        <is>
          <t>Samaniego Angulo Flor Mireya</t>
        </is>
      </c>
      <c r="C1356" t="inlineStr">
        <is>
          <t>VIERNES</t>
        </is>
      </c>
      <c r="D1356" t="n">
        <v>3</v>
      </c>
      <c r="E1356" t="n">
        <v>2</v>
      </c>
      <c r="F1356" t="n">
        <v>1</v>
      </c>
      <c r="G1356" t="inlineStr">
        <is>
          <t>08:20</t>
        </is>
      </c>
      <c r="H1356" t="inlineStr">
        <is>
          <t>09:05</t>
        </is>
      </c>
      <c r="I1356" t="inlineStr">
        <is>
          <t>CLASE</t>
        </is>
      </c>
      <c r="J1356" t="inlineStr">
        <is>
          <t>CS202</t>
        </is>
      </c>
      <c r="K1356" t="inlineStr">
        <is>
          <t>ART</t>
        </is>
      </c>
      <c r="L1356" t="inlineStr"/>
      <c r="M1356" t="inlineStr"/>
      <c r="N1356" t="inlineStr"/>
      <c r="O1356" t="inlineStr"/>
      <c r="P1356" t="inlineStr">
        <is>
          <t>CS202-ART</t>
        </is>
      </c>
      <c r="Q1356">
        <f>IF(I1356="ENFASIS","ÉNFASIS "&amp;M1356,IFERROR(VLOOKUP(J1356,Grupos!$A$2:$D$100,4,FALSE),J1356))</f>
        <v/>
      </c>
      <c r="R1356">
        <f>O1356&amp;IF(N1356&lt;&gt;"",IF(O1356&lt;&gt;""," · ","")&amp;"Con: "&amp;N1356,"")</f>
        <v/>
      </c>
      <c r="S1356">
        <f>C1356&amp;"|"&amp;D1356</f>
        <v/>
      </c>
      <c r="T1356">
        <f>COUNTIF($S$2:S1356,S1356)</f>
        <v/>
      </c>
      <c r="U1356">
        <f>S1356&amp;"|"&amp;T1356</f>
        <v/>
      </c>
      <c r="V1356">
        <f>IFERROR(VLOOKUP(IF(I1356="ENFASIS",LEFT(M1356,FIND("+",M1356&amp;"+")-1),J1356),Direccion_Grupo!$A$2:$G$100,7,FALSE),"")</f>
        <v/>
      </c>
    </row>
    <row r="1357">
      <c r="A1357" t="n">
        <v>7</v>
      </c>
      <c r="B1357" t="inlineStr">
        <is>
          <t>Casanova Casanova Johana Andrea</t>
        </is>
      </c>
      <c r="C1357" t="inlineStr">
        <is>
          <t>VIERNES</t>
        </is>
      </c>
      <c r="D1357" t="n">
        <v>3</v>
      </c>
      <c r="E1357" t="n">
        <v>2</v>
      </c>
      <c r="F1357" t="n">
        <v>1</v>
      </c>
      <c r="G1357" t="inlineStr">
        <is>
          <t>08:20</t>
        </is>
      </c>
      <c r="H1357" t="inlineStr">
        <is>
          <t>09:05</t>
        </is>
      </c>
      <c r="I1357" t="inlineStr">
        <is>
          <t>ORIENTACION</t>
        </is>
      </c>
      <c r="J1357" t="inlineStr">
        <is>
          <t>ORIENT</t>
        </is>
      </c>
      <c r="K1357" t="inlineStr">
        <is>
          <t>ORIENTACIÓN ESCOLAR</t>
        </is>
      </c>
      <c r="L1357" t="inlineStr"/>
      <c r="M1357" t="inlineStr"/>
      <c r="N1357" t="inlineStr"/>
      <c r="O1357" t="inlineStr">
        <is>
          <t>Jornada 07:30 a 14:30</t>
        </is>
      </c>
      <c r="P1357" t="inlineStr"/>
      <c r="Q1357">
        <f>IF(I1357="ENFASIS","ÉNFASIS "&amp;M1357,IFERROR(VLOOKUP(J1357,Grupos!$A$2:$D$100,4,FALSE),J1357))</f>
        <v/>
      </c>
      <c r="R1357">
        <f>O1357&amp;IF(N1357&lt;&gt;"",IF(O1357&lt;&gt;""," · ","")&amp;"Con: "&amp;N1357,"")</f>
        <v/>
      </c>
      <c r="S1357">
        <f>C1357&amp;"|"&amp;D1357</f>
        <v/>
      </c>
      <c r="T1357">
        <f>COUNTIF($S$2:S1357,S1357)</f>
        <v/>
      </c>
      <c r="U1357">
        <f>S1357&amp;"|"&amp;T1357</f>
        <v/>
      </c>
      <c r="V1357">
        <f>IFERROR(VLOOKUP(IF(I1357="ENFASIS",LEFT(M1357,FIND("+",M1357&amp;"+")-1),J1357),Direccion_Grupo!$A$2:$G$100,7,FALSE),"")</f>
        <v/>
      </c>
    </row>
    <row r="1358">
      <c r="A1358" t="n">
        <v>36</v>
      </c>
      <c r="B1358" t="inlineStr">
        <is>
          <t>Ponce Moncayo Ángela Paola</t>
        </is>
      </c>
      <c r="C1358" t="inlineStr">
        <is>
          <t>VIERNES</t>
        </is>
      </c>
      <c r="D1358" t="n">
        <v>3</v>
      </c>
      <c r="E1358" t="n">
        <v>2</v>
      </c>
      <c r="F1358" t="n">
        <v>1</v>
      </c>
      <c r="G1358" t="inlineStr">
        <is>
          <t>08:20</t>
        </is>
      </c>
      <c r="H1358" t="inlineStr">
        <is>
          <t>09:05</t>
        </is>
      </c>
      <c r="I1358" t="inlineStr">
        <is>
          <t>ORIENTACION</t>
        </is>
      </c>
      <c r="J1358" t="inlineStr">
        <is>
          <t>ORIENT</t>
        </is>
      </c>
      <c r="K1358" t="inlineStr">
        <is>
          <t>ORIENTACIÓN ESCOLAR</t>
        </is>
      </c>
      <c r="L1358" t="inlineStr"/>
      <c r="M1358" t="inlineStr"/>
      <c r="N1358" t="inlineStr"/>
      <c r="O1358" t="inlineStr">
        <is>
          <t>Jornada 08:30 a 13:30</t>
        </is>
      </c>
      <c r="P1358" t="inlineStr"/>
      <c r="Q1358">
        <f>IF(I1358="ENFASIS","ÉNFASIS "&amp;M1358,IFERROR(VLOOKUP(J1358,Grupos!$A$2:$D$100,4,FALSE),J1358))</f>
        <v/>
      </c>
      <c r="R1358">
        <f>O1358&amp;IF(N1358&lt;&gt;"",IF(O1358&lt;&gt;""," · ","")&amp;"Con: "&amp;N1358,"")</f>
        <v/>
      </c>
      <c r="S1358">
        <f>C1358&amp;"|"&amp;D1358</f>
        <v/>
      </c>
      <c r="T1358">
        <f>COUNTIF($S$2:S1358,S1358)</f>
        <v/>
      </c>
      <c r="U1358">
        <f>S1358&amp;"|"&amp;T1358</f>
        <v/>
      </c>
      <c r="V1358">
        <f>IFERROR(VLOOKUP(IF(I1358="ENFASIS",LEFT(M1358,FIND("+",M1358&amp;"+")-1),J1358),Direccion_Grupo!$A$2:$G$100,7,FALSE),"")</f>
        <v/>
      </c>
    </row>
    <row r="1359">
      <c r="A1359" t="n">
        <v>56</v>
      </c>
      <c r="B1359" t="inlineStr">
        <is>
          <t>Ortiz Estacio Martha Cecilia</t>
        </is>
      </c>
      <c r="C1359" t="inlineStr">
        <is>
          <t>VIERNES</t>
        </is>
      </c>
      <c r="D1359" t="n">
        <v>3</v>
      </c>
      <c r="E1359" t="n">
        <v>2</v>
      </c>
      <c r="F1359" t="n">
        <v>1</v>
      </c>
      <c r="G1359" t="inlineStr">
        <is>
          <t>08:20</t>
        </is>
      </c>
      <c r="H1359" t="inlineStr">
        <is>
          <t>09:05</t>
        </is>
      </c>
      <c r="I1359" t="inlineStr">
        <is>
          <t>TUTORIA</t>
        </is>
      </c>
      <c r="J1359" t="inlineStr">
        <is>
          <t>PTAFI</t>
        </is>
      </c>
      <c r="K1359" t="inlineStr">
        <is>
          <t>TUTORÍA PTAFI</t>
        </is>
      </c>
      <c r="L1359" t="inlineStr"/>
      <c r="M1359" t="inlineStr"/>
      <c r="N1359" t="inlineStr"/>
      <c r="O1359" t="inlineStr">
        <is>
          <t>Jornada 06:30 a 12:00</t>
        </is>
      </c>
      <c r="P1359" t="inlineStr"/>
      <c r="Q1359">
        <f>IF(I1359="ENFASIS","ÉNFASIS "&amp;M1359,IFERROR(VLOOKUP(J1359,Grupos!$A$2:$D$100,4,FALSE),J1359))</f>
        <v/>
      </c>
      <c r="R1359">
        <f>O1359&amp;IF(N1359&lt;&gt;"",IF(O1359&lt;&gt;""," · ","")&amp;"Con: "&amp;N1359,"")</f>
        <v/>
      </c>
      <c r="S1359">
        <f>C1359&amp;"|"&amp;D1359</f>
        <v/>
      </c>
      <c r="T1359">
        <f>COUNTIF($S$2:S1359,S1359)</f>
        <v/>
      </c>
      <c r="U1359">
        <f>S1359&amp;"|"&amp;T1359</f>
        <v/>
      </c>
      <c r="V1359">
        <f>IFERROR(VLOOKUP(IF(I1359="ENFASIS",LEFT(M1359,FIND("+",M1359&amp;"+")-1),J1359),Direccion_Grupo!$A$2:$G$100,7,FALSE),"")</f>
        <v/>
      </c>
    </row>
    <row r="1360">
      <c r="A1360" t="n">
        <v>9</v>
      </c>
      <c r="B1360" t="inlineStr">
        <is>
          <t>Castillo Angulo Martha Cecilia</t>
        </is>
      </c>
      <c r="C1360" t="inlineStr">
        <is>
          <t>VIERNES</t>
        </is>
      </c>
      <c r="D1360" t="n">
        <v>3</v>
      </c>
      <c r="E1360" t="n">
        <v>2</v>
      </c>
      <c r="F1360" t="n">
        <v>1</v>
      </c>
      <c r="G1360" t="inlineStr">
        <is>
          <t>08:20</t>
        </is>
      </c>
      <c r="H1360" t="inlineStr">
        <is>
          <t>09:05</t>
        </is>
      </c>
      <c r="I1360" t="inlineStr">
        <is>
          <t>ENFASIS</t>
        </is>
      </c>
      <c r="J1360" t="inlineStr"/>
      <c r="K1360" t="inlineStr">
        <is>
          <t>ETR</t>
        </is>
      </c>
      <c r="L1360" t="inlineStr">
        <is>
          <t>0802</t>
        </is>
      </c>
      <c r="M1360" t="inlineStr">
        <is>
          <t>0802</t>
        </is>
      </c>
      <c r="N1360" t="inlineStr">
        <is>
          <t>Ortiz Araujo Adiela Carlota (CSI)</t>
        </is>
      </c>
      <c r="O1360" t="inlineStr">
        <is>
          <t>PAREJA: comparten el énfasis y alternan por semana</t>
        </is>
      </c>
      <c r="P1360" t="inlineStr">
        <is>
          <t>ENFASIS-0802</t>
        </is>
      </c>
      <c r="Q1360">
        <f>IF(I1360="ENFASIS","ÉNFASIS "&amp;M1360,IFERROR(VLOOKUP(J1360,Grupos!$A$2:$D$100,4,FALSE),J1360))</f>
        <v/>
      </c>
      <c r="R1360">
        <f>O1360&amp;IF(N1360&lt;&gt;"",IF(O1360&lt;&gt;""," · ","")&amp;"Con: "&amp;N1360,"")</f>
        <v/>
      </c>
      <c r="S1360">
        <f>C1360&amp;"|"&amp;D1360</f>
        <v/>
      </c>
      <c r="T1360">
        <f>COUNTIF($S$2:S1360,S1360)</f>
        <v/>
      </c>
      <c r="U1360">
        <f>S1360&amp;"|"&amp;T1360</f>
        <v/>
      </c>
      <c r="V1360">
        <f>IFERROR(VLOOKUP(IF(I1360="ENFASIS",LEFT(M1360,FIND("+",M1360&amp;"+")-1),J1360),Direccion_Grupo!$A$2:$G$100,7,FALSE),"")</f>
        <v/>
      </c>
    </row>
    <row r="1361">
      <c r="A1361" t="n">
        <v>19</v>
      </c>
      <c r="B1361" t="inlineStr">
        <is>
          <t>Fernández Vélez Alfredo Enrique</t>
        </is>
      </c>
      <c r="C1361" t="inlineStr">
        <is>
          <t>VIERNES</t>
        </is>
      </c>
      <c r="D1361" t="n">
        <v>3</v>
      </c>
      <c r="E1361" t="n">
        <v>2</v>
      </c>
      <c r="F1361" t="n">
        <v>1</v>
      </c>
      <c r="G1361" t="inlineStr">
        <is>
          <t>08:20</t>
        </is>
      </c>
      <c r="H1361" t="inlineStr">
        <is>
          <t>09:05</t>
        </is>
      </c>
      <c r="I1361" t="inlineStr">
        <is>
          <t>ENFASIS</t>
        </is>
      </c>
      <c r="J1361" t="inlineStr"/>
      <c r="K1361" t="inlineStr">
        <is>
          <t>TEI</t>
        </is>
      </c>
      <c r="L1361" t="inlineStr">
        <is>
          <t>D3-8°</t>
        </is>
      </c>
      <c r="M1361" t="inlineStr">
        <is>
          <t>0802</t>
        </is>
      </c>
      <c r="N1361" t="inlineStr">
        <is>
          <t>Preciado Torres Oleisa (MAT)</t>
        </is>
      </c>
      <c r="O1361" t="inlineStr">
        <is>
          <t>PAREJA: comparten el énfasis y alternan por semana</t>
        </is>
      </c>
      <c r="P1361" t="inlineStr">
        <is>
          <t>ENFASIS-D3-8°</t>
        </is>
      </c>
      <c r="Q1361">
        <f>IF(I1361="ENFASIS","ÉNFASIS "&amp;M1361,IFERROR(VLOOKUP(J1361,Grupos!$A$2:$D$100,4,FALSE),J1361))</f>
        <v/>
      </c>
      <c r="R1361">
        <f>O1361&amp;IF(N1361&lt;&gt;"",IF(O1361&lt;&gt;""," · ","")&amp;"Con: "&amp;N1361,"")</f>
        <v/>
      </c>
      <c r="S1361">
        <f>C1361&amp;"|"&amp;D1361</f>
        <v/>
      </c>
      <c r="T1361">
        <f>COUNTIF($S$2:S1361,S1361)</f>
        <v/>
      </c>
      <c r="U1361">
        <f>S1361&amp;"|"&amp;T1361</f>
        <v/>
      </c>
      <c r="V1361">
        <f>IFERROR(VLOOKUP(IF(I1361="ENFASIS",LEFT(M1361,FIND("+",M1361&amp;"+")-1),J1361),Direccion_Grupo!$A$2:$G$100,7,FALSE),"")</f>
        <v/>
      </c>
    </row>
    <row r="1362">
      <c r="A1362" t="n">
        <v>35</v>
      </c>
      <c r="B1362" t="inlineStr">
        <is>
          <t>Ortiz Araujo Adiela Carlota</t>
        </is>
      </c>
      <c r="C1362" t="inlineStr">
        <is>
          <t>VIERNES</t>
        </is>
      </c>
      <c r="D1362" t="n">
        <v>3</v>
      </c>
      <c r="E1362" t="n">
        <v>2</v>
      </c>
      <c r="F1362" t="n">
        <v>1</v>
      </c>
      <c r="G1362" t="inlineStr">
        <is>
          <t>08:20</t>
        </is>
      </c>
      <c r="H1362" t="inlineStr">
        <is>
          <t>09:05</t>
        </is>
      </c>
      <c r="I1362" t="inlineStr">
        <is>
          <t>ENFASIS</t>
        </is>
      </c>
      <c r="J1362" t="inlineStr"/>
      <c r="K1362" t="inlineStr">
        <is>
          <t>CSI</t>
        </is>
      </c>
      <c r="L1362" t="inlineStr">
        <is>
          <t>0802</t>
        </is>
      </c>
      <c r="M1362" t="inlineStr">
        <is>
          <t>0802</t>
        </is>
      </c>
      <c r="N1362" t="inlineStr">
        <is>
          <t>Castillo Angulo Martha Cecilia (ETR)</t>
        </is>
      </c>
      <c r="O1362" t="inlineStr">
        <is>
          <t>PAREJA: comparten el énfasis y alternan por semana</t>
        </is>
      </c>
      <c r="P1362" t="inlineStr">
        <is>
          <t>ENFASIS-0802</t>
        </is>
      </c>
      <c r="Q1362">
        <f>IF(I1362="ENFASIS","ÉNFASIS "&amp;M1362,IFERROR(VLOOKUP(J1362,Grupos!$A$2:$D$100,4,FALSE),J1362))</f>
        <v/>
      </c>
      <c r="R1362">
        <f>O1362&amp;IF(N1362&lt;&gt;"",IF(O1362&lt;&gt;""," · ","")&amp;"Con: "&amp;N1362,"")</f>
        <v/>
      </c>
      <c r="S1362">
        <f>C1362&amp;"|"&amp;D1362</f>
        <v/>
      </c>
      <c r="T1362">
        <f>COUNTIF($S$2:S1362,S1362)</f>
        <v/>
      </c>
      <c r="U1362">
        <f>S1362&amp;"|"&amp;T1362</f>
        <v/>
      </c>
      <c r="V1362">
        <f>IFERROR(VLOOKUP(IF(I1362="ENFASIS",LEFT(M1362,FIND("+",M1362&amp;"+")-1),J1362),Direccion_Grupo!$A$2:$G$100,7,FALSE),"")</f>
        <v/>
      </c>
    </row>
    <row r="1363">
      <c r="A1363" t="n">
        <v>38</v>
      </c>
      <c r="B1363" t="inlineStr">
        <is>
          <t>Preciado Torres Oleisa</t>
        </is>
      </c>
      <c r="C1363" t="inlineStr">
        <is>
          <t>VIERNES</t>
        </is>
      </c>
      <c r="D1363" t="n">
        <v>3</v>
      </c>
      <c r="E1363" t="n">
        <v>2</v>
      </c>
      <c r="F1363" t="n">
        <v>1</v>
      </c>
      <c r="G1363" t="inlineStr">
        <is>
          <t>08:20</t>
        </is>
      </c>
      <c r="H1363" t="inlineStr">
        <is>
          <t>09:05</t>
        </is>
      </c>
      <c r="I1363" t="inlineStr">
        <is>
          <t>ENFASIS</t>
        </is>
      </c>
      <c r="J1363" t="inlineStr"/>
      <c r="K1363" t="inlineStr">
        <is>
          <t>MAT</t>
        </is>
      </c>
      <c r="L1363" t="inlineStr">
        <is>
          <t>D3-8°</t>
        </is>
      </c>
      <c r="M1363" t="inlineStr">
        <is>
          <t>0802</t>
        </is>
      </c>
      <c r="N1363" t="inlineStr">
        <is>
          <t>Fernández Vélez Alfredo Enrique (TEI)</t>
        </is>
      </c>
      <c r="O1363" t="inlineStr">
        <is>
          <t>PAREJA: comparten el énfasis y alternan por semana</t>
        </is>
      </c>
      <c r="P1363" t="inlineStr">
        <is>
          <t>ENFASIS-D3-8°</t>
        </is>
      </c>
      <c r="Q1363">
        <f>IF(I1363="ENFASIS","ÉNFASIS "&amp;M1363,IFERROR(VLOOKUP(J1363,Grupos!$A$2:$D$100,4,FALSE),J1363))</f>
        <v/>
      </c>
      <c r="R1363">
        <f>O1363&amp;IF(N1363&lt;&gt;"",IF(O1363&lt;&gt;""," · ","")&amp;"Con: "&amp;N1363,"")</f>
        <v/>
      </c>
      <c r="S1363">
        <f>C1363&amp;"|"&amp;D1363</f>
        <v/>
      </c>
      <c r="T1363">
        <f>COUNTIF($S$2:S1363,S1363)</f>
        <v/>
      </c>
      <c r="U1363">
        <f>S1363&amp;"|"&amp;T1363</f>
        <v/>
      </c>
      <c r="V1363">
        <f>IFERROR(VLOOKUP(IF(I1363="ENFASIS",LEFT(M1363,FIND("+",M1363&amp;"+")-1),J1363),Direccion_Grupo!$A$2:$G$100,7,FALSE),"")</f>
        <v/>
      </c>
    </row>
    <row r="1364">
      <c r="A1364" t="n">
        <v>5</v>
      </c>
      <c r="B1364" t="inlineStr">
        <is>
          <t>Bastidas Valencia Zeneida Judith</t>
        </is>
      </c>
      <c r="C1364" t="inlineStr">
        <is>
          <t>VIERNES</t>
        </is>
      </c>
      <c r="D1364" t="n">
        <v>3</v>
      </c>
      <c r="E1364" t="n">
        <v>2</v>
      </c>
      <c r="F1364" t="n">
        <v>1</v>
      </c>
      <c r="G1364" t="inlineStr">
        <is>
          <t>08:20</t>
        </is>
      </c>
      <c r="H1364" t="inlineStr">
        <is>
          <t>09:05</t>
        </is>
      </c>
      <c r="I1364" t="inlineStr">
        <is>
          <t>ENFASIS</t>
        </is>
      </c>
      <c r="J1364" t="inlineStr"/>
      <c r="K1364" t="inlineStr">
        <is>
          <t>MAT</t>
        </is>
      </c>
      <c r="L1364" t="inlineStr">
        <is>
          <t>0902</t>
        </is>
      </c>
      <c r="M1364" t="inlineStr">
        <is>
          <t>0902</t>
        </is>
      </c>
      <c r="N1364" t="inlineStr">
        <is>
          <t>Betancourth Ocampo Yohana Patricia (CSI); Estacio Estupiñán Rosario (ETR); Mindineros Satizábal John Jáver (TEI)</t>
        </is>
      </c>
      <c r="O1364" t="inlineStr">
        <is>
          <t>EQUIPO DE 4: cada docente atiende un grupo de estudiantes en su área</t>
        </is>
      </c>
      <c r="P1364" t="inlineStr">
        <is>
          <t>ENFASIS-0902</t>
        </is>
      </c>
      <c r="Q1364">
        <f>IF(I1364="ENFASIS","ÉNFASIS "&amp;M1364,IFERROR(VLOOKUP(J1364,Grupos!$A$2:$D$100,4,FALSE),J1364))</f>
        <v/>
      </c>
      <c r="R1364">
        <f>O1364&amp;IF(N1364&lt;&gt;"",IF(O1364&lt;&gt;""," · ","")&amp;"Con: "&amp;N1364,"")</f>
        <v/>
      </c>
      <c r="S1364">
        <f>C1364&amp;"|"&amp;D1364</f>
        <v/>
      </c>
      <c r="T1364">
        <f>COUNTIF($S$2:S1364,S1364)</f>
        <v/>
      </c>
      <c r="U1364">
        <f>S1364&amp;"|"&amp;T1364</f>
        <v/>
      </c>
      <c r="V1364">
        <f>IFERROR(VLOOKUP(IF(I1364="ENFASIS",LEFT(M1364,FIND("+",M1364&amp;"+")-1),J1364),Direccion_Grupo!$A$2:$G$100,7,FALSE),"")</f>
        <v/>
      </c>
    </row>
    <row r="1365">
      <c r="A1365" t="n">
        <v>6</v>
      </c>
      <c r="B1365" t="inlineStr">
        <is>
          <t>Betancourth Ocampo Yohana Patricia</t>
        </is>
      </c>
      <c r="C1365" t="inlineStr">
        <is>
          <t>VIERNES</t>
        </is>
      </c>
      <c r="D1365" t="n">
        <v>3</v>
      </c>
      <c r="E1365" t="n">
        <v>2</v>
      </c>
      <c r="F1365" t="n">
        <v>1</v>
      </c>
      <c r="G1365" t="inlineStr">
        <is>
          <t>08:20</t>
        </is>
      </c>
      <c r="H1365" t="inlineStr">
        <is>
          <t>09:05</t>
        </is>
      </c>
      <c r="I1365" t="inlineStr">
        <is>
          <t>ENFASIS</t>
        </is>
      </c>
      <c r="J1365" t="inlineStr"/>
      <c r="K1365" t="inlineStr">
        <is>
          <t>CSI</t>
        </is>
      </c>
      <c r="L1365" t="inlineStr">
        <is>
          <t>0902</t>
        </is>
      </c>
      <c r="M1365" t="inlineStr">
        <is>
          <t>0902</t>
        </is>
      </c>
      <c r="N1365" t="inlineStr">
        <is>
          <t>Estacio Estupiñán Rosario (ETR); Bastidas Valencia Zeneida Judith (MAT); Mindineros Satizábal John Jáver (TEI)</t>
        </is>
      </c>
      <c r="O1365" t="inlineStr">
        <is>
          <t>EQUIPO DE 4: cada docente atiende un grupo de estudiantes en su área</t>
        </is>
      </c>
      <c r="P1365" t="inlineStr">
        <is>
          <t>ENFASIS-0902</t>
        </is>
      </c>
      <c r="Q1365">
        <f>IF(I1365="ENFASIS","ÉNFASIS "&amp;M1365,IFERROR(VLOOKUP(J1365,Grupos!$A$2:$D$100,4,FALSE),J1365))</f>
        <v/>
      </c>
      <c r="R1365">
        <f>O1365&amp;IF(N1365&lt;&gt;"",IF(O1365&lt;&gt;""," · ","")&amp;"Con: "&amp;N1365,"")</f>
        <v/>
      </c>
      <c r="S1365">
        <f>C1365&amp;"|"&amp;D1365</f>
        <v/>
      </c>
      <c r="T1365">
        <f>COUNTIF($S$2:S1365,S1365)</f>
        <v/>
      </c>
      <c r="U1365">
        <f>S1365&amp;"|"&amp;T1365</f>
        <v/>
      </c>
      <c r="V1365">
        <f>IFERROR(VLOOKUP(IF(I1365="ENFASIS",LEFT(M1365,FIND("+",M1365&amp;"+")-1),J1365),Direccion_Grupo!$A$2:$G$100,7,FALSE),"")</f>
        <v/>
      </c>
    </row>
    <row r="1366">
      <c r="A1366" t="n">
        <v>18</v>
      </c>
      <c r="B1366" t="inlineStr">
        <is>
          <t>Estacio Estupiñán Rosario</t>
        </is>
      </c>
      <c r="C1366" t="inlineStr">
        <is>
          <t>VIERNES</t>
        </is>
      </c>
      <c r="D1366" t="n">
        <v>3</v>
      </c>
      <c r="E1366" t="n">
        <v>2</v>
      </c>
      <c r="F1366" t="n">
        <v>1</v>
      </c>
      <c r="G1366" t="inlineStr">
        <is>
          <t>08:20</t>
        </is>
      </c>
      <c r="H1366" t="inlineStr">
        <is>
          <t>09:05</t>
        </is>
      </c>
      <c r="I1366" t="inlineStr">
        <is>
          <t>ENFASIS</t>
        </is>
      </c>
      <c r="J1366" t="inlineStr"/>
      <c r="K1366" t="inlineStr">
        <is>
          <t>ETR</t>
        </is>
      </c>
      <c r="L1366" t="inlineStr">
        <is>
          <t>0902</t>
        </is>
      </c>
      <c r="M1366" t="inlineStr">
        <is>
          <t>0902</t>
        </is>
      </c>
      <c r="N1366" t="inlineStr">
        <is>
          <t>Betancourth Ocampo Yohana Patricia (CSI); Bastidas Valencia Zeneida Judith (MAT); Mindineros Satizábal John Jáver (TEI)</t>
        </is>
      </c>
      <c r="O1366" t="inlineStr">
        <is>
          <t>EQUIPO DE 4: cada docente atiende un grupo de estudiantes en su área</t>
        </is>
      </c>
      <c r="P1366" t="inlineStr">
        <is>
          <t>ENFASIS-0902</t>
        </is>
      </c>
      <c r="Q1366">
        <f>IF(I1366="ENFASIS","ÉNFASIS "&amp;M1366,IFERROR(VLOOKUP(J1366,Grupos!$A$2:$D$100,4,FALSE),J1366))</f>
        <v/>
      </c>
      <c r="R1366">
        <f>O1366&amp;IF(N1366&lt;&gt;"",IF(O1366&lt;&gt;""," · ","")&amp;"Con: "&amp;N1366,"")</f>
        <v/>
      </c>
      <c r="S1366">
        <f>C1366&amp;"|"&amp;D1366</f>
        <v/>
      </c>
      <c r="T1366">
        <f>COUNTIF($S$2:S1366,S1366)</f>
        <v/>
      </c>
      <c r="U1366">
        <f>S1366&amp;"|"&amp;T1366</f>
        <v/>
      </c>
      <c r="V1366">
        <f>IFERROR(VLOOKUP(IF(I1366="ENFASIS",LEFT(M1366,FIND("+",M1366&amp;"+")-1),J1366),Direccion_Grupo!$A$2:$G$100,7,FALSE),"")</f>
        <v/>
      </c>
    </row>
    <row r="1367">
      <c r="A1367" t="n">
        <v>29</v>
      </c>
      <c r="B1367" t="inlineStr">
        <is>
          <t>Mindineros Satizábal John Jáver</t>
        </is>
      </c>
      <c r="C1367" t="inlineStr">
        <is>
          <t>VIERNES</t>
        </is>
      </c>
      <c r="D1367" t="n">
        <v>3</v>
      </c>
      <c r="E1367" t="n">
        <v>2</v>
      </c>
      <c r="F1367" t="n">
        <v>1</v>
      </c>
      <c r="G1367" t="inlineStr">
        <is>
          <t>08:20</t>
        </is>
      </c>
      <c r="H1367" t="inlineStr">
        <is>
          <t>09:05</t>
        </is>
      </c>
      <c r="I1367" t="inlineStr">
        <is>
          <t>ENFASIS</t>
        </is>
      </c>
      <c r="J1367" t="inlineStr"/>
      <c r="K1367" t="inlineStr">
        <is>
          <t>TEI</t>
        </is>
      </c>
      <c r="L1367" t="inlineStr">
        <is>
          <t>0902</t>
        </is>
      </c>
      <c r="M1367" t="inlineStr">
        <is>
          <t>0902</t>
        </is>
      </c>
      <c r="N1367" t="inlineStr">
        <is>
          <t>Betancourth Ocampo Yohana Patricia (CSI); Estacio Estupiñán Rosario (ETR); Bastidas Valencia Zeneida Judith (MAT)</t>
        </is>
      </c>
      <c r="O1367" t="inlineStr">
        <is>
          <t>EQUIPO DE 4: cada docente atiende un grupo de estudiantes en su área</t>
        </is>
      </c>
      <c r="P1367" t="inlineStr">
        <is>
          <t>ENFASIS-0902</t>
        </is>
      </c>
      <c r="Q1367">
        <f>IF(I1367="ENFASIS","ÉNFASIS "&amp;M1367,IFERROR(VLOOKUP(J1367,Grupos!$A$2:$D$100,4,FALSE),J1367))</f>
        <v/>
      </c>
      <c r="R1367">
        <f>O1367&amp;IF(N1367&lt;&gt;"",IF(O1367&lt;&gt;""," · ","")&amp;"Con: "&amp;N1367,"")</f>
        <v/>
      </c>
      <c r="S1367">
        <f>C1367&amp;"|"&amp;D1367</f>
        <v/>
      </c>
      <c r="T1367">
        <f>COUNTIF($S$2:S1367,S1367)</f>
        <v/>
      </c>
      <c r="U1367">
        <f>S1367&amp;"|"&amp;T1367</f>
        <v/>
      </c>
      <c r="V1367">
        <f>IFERROR(VLOOKUP(IF(I1367="ENFASIS",LEFT(M1367,FIND("+",M1367&amp;"+")-1),J1367),Direccion_Grupo!$A$2:$G$100,7,FALSE),"")</f>
        <v/>
      </c>
    </row>
    <row r="1368">
      <c r="A1368" t="n">
        <v>2</v>
      </c>
      <c r="B1368" t="inlineStr">
        <is>
          <t>Angulo Lucero Andrés Mauricio</t>
        </is>
      </c>
      <c r="C1368" t="inlineStr">
        <is>
          <t>VIERNES</t>
        </is>
      </c>
      <c r="D1368" t="n">
        <v>3</v>
      </c>
      <c r="E1368" t="n">
        <v>2</v>
      </c>
      <c r="F1368" t="n">
        <v>1</v>
      </c>
      <c r="G1368" t="inlineStr">
        <is>
          <t>08:20</t>
        </is>
      </c>
      <c r="H1368" t="inlineStr">
        <is>
          <t>09:05</t>
        </is>
      </c>
      <c r="I1368" t="inlineStr">
        <is>
          <t>ENFASIS</t>
        </is>
      </c>
      <c r="J1368" t="inlineStr"/>
      <c r="K1368" t="inlineStr">
        <is>
          <t>TEI</t>
        </is>
      </c>
      <c r="L1368" t="inlineStr">
        <is>
          <t>D5-10°</t>
        </is>
      </c>
      <c r="M1368" t="inlineStr">
        <is>
          <t>1002</t>
        </is>
      </c>
      <c r="N1368" t="inlineStr">
        <is>
          <t>Pulgarín Ortiz César Marino (CSI); Montaño Arizala Leidis Claudina (ETR); Villota Rubio Janeth del Carmen (MAT)</t>
        </is>
      </c>
      <c r="O1368" t="inlineStr">
        <is>
          <t>EQUIPO DE 4: cada docente atiende un grupo de estudiantes en su área</t>
        </is>
      </c>
      <c r="P1368" t="inlineStr">
        <is>
          <t>ENFASIS-D5-10°</t>
        </is>
      </c>
      <c r="Q1368">
        <f>IF(I1368="ENFASIS","ÉNFASIS "&amp;M1368,IFERROR(VLOOKUP(J1368,Grupos!$A$2:$D$100,4,FALSE),J1368))</f>
        <v/>
      </c>
      <c r="R1368">
        <f>O1368&amp;IF(N1368&lt;&gt;"",IF(O1368&lt;&gt;""," · ","")&amp;"Con: "&amp;N1368,"")</f>
        <v/>
      </c>
      <c r="S1368">
        <f>C1368&amp;"|"&amp;D1368</f>
        <v/>
      </c>
      <c r="T1368">
        <f>COUNTIF($S$2:S1368,S1368)</f>
        <v/>
      </c>
      <c r="U1368">
        <f>S1368&amp;"|"&amp;T1368</f>
        <v/>
      </c>
      <c r="V1368">
        <f>IFERROR(VLOOKUP(IF(I1368="ENFASIS",LEFT(M1368,FIND("+",M1368&amp;"+")-1),J1368),Direccion_Grupo!$A$2:$G$100,7,FALSE),"")</f>
        <v/>
      </c>
    </row>
    <row r="1369">
      <c r="A1369" t="n">
        <v>31</v>
      </c>
      <c r="B1369" t="inlineStr">
        <is>
          <t>Montaño Arizala Leidis Claudina</t>
        </is>
      </c>
      <c r="C1369" t="inlineStr">
        <is>
          <t>VIERNES</t>
        </is>
      </c>
      <c r="D1369" t="n">
        <v>3</v>
      </c>
      <c r="E1369" t="n">
        <v>2</v>
      </c>
      <c r="F1369" t="n">
        <v>1</v>
      </c>
      <c r="G1369" t="inlineStr">
        <is>
          <t>08:20</t>
        </is>
      </c>
      <c r="H1369" t="inlineStr">
        <is>
          <t>09:05</t>
        </is>
      </c>
      <c r="I1369" t="inlineStr">
        <is>
          <t>ENFASIS</t>
        </is>
      </c>
      <c r="J1369" t="inlineStr"/>
      <c r="K1369" t="inlineStr">
        <is>
          <t>ETR</t>
        </is>
      </c>
      <c r="L1369" t="inlineStr">
        <is>
          <t>D5-10°</t>
        </is>
      </c>
      <c r="M1369" t="inlineStr">
        <is>
          <t>1002</t>
        </is>
      </c>
      <c r="N1369" t="inlineStr">
        <is>
          <t>Pulgarín Ortiz César Marino (CSI); Villota Rubio Janeth del Carmen (MAT); Angulo Lucero Andrés Mauricio (TEI)</t>
        </is>
      </c>
      <c r="O1369" t="inlineStr">
        <is>
          <t>EQUIPO DE 4: cada docente atiende un grupo de estudiantes en su área</t>
        </is>
      </c>
      <c r="P1369" t="inlineStr">
        <is>
          <t>ENFASIS-D5-10°</t>
        </is>
      </c>
      <c r="Q1369">
        <f>IF(I1369="ENFASIS","ÉNFASIS "&amp;M1369,IFERROR(VLOOKUP(J1369,Grupos!$A$2:$D$100,4,FALSE),J1369))</f>
        <v/>
      </c>
      <c r="R1369">
        <f>O1369&amp;IF(N1369&lt;&gt;"",IF(O1369&lt;&gt;""," · ","")&amp;"Con: "&amp;N1369,"")</f>
        <v/>
      </c>
      <c r="S1369">
        <f>C1369&amp;"|"&amp;D1369</f>
        <v/>
      </c>
      <c r="T1369">
        <f>COUNTIF($S$2:S1369,S1369)</f>
        <v/>
      </c>
      <c r="U1369">
        <f>S1369&amp;"|"&amp;T1369</f>
        <v/>
      </c>
      <c r="V1369">
        <f>IFERROR(VLOOKUP(IF(I1369="ENFASIS",LEFT(M1369,FIND("+",M1369&amp;"+")-1),J1369),Direccion_Grupo!$A$2:$G$100,7,FALSE),"")</f>
        <v/>
      </c>
    </row>
    <row r="1370">
      <c r="A1370" t="n">
        <v>40</v>
      </c>
      <c r="B1370" t="inlineStr">
        <is>
          <t>Pulgarín Ortiz César Marino</t>
        </is>
      </c>
      <c r="C1370" t="inlineStr">
        <is>
          <t>VIERNES</t>
        </is>
      </c>
      <c r="D1370" t="n">
        <v>3</v>
      </c>
      <c r="E1370" t="n">
        <v>2</v>
      </c>
      <c r="F1370" t="n">
        <v>1</v>
      </c>
      <c r="G1370" t="inlineStr">
        <is>
          <t>08:20</t>
        </is>
      </c>
      <c r="H1370" t="inlineStr">
        <is>
          <t>09:05</t>
        </is>
      </c>
      <c r="I1370" t="inlineStr">
        <is>
          <t>ENFASIS</t>
        </is>
      </c>
      <c r="J1370" t="inlineStr"/>
      <c r="K1370" t="inlineStr">
        <is>
          <t>CSI</t>
        </is>
      </c>
      <c r="L1370" t="inlineStr">
        <is>
          <t>D5-10°</t>
        </is>
      </c>
      <c r="M1370" t="inlineStr">
        <is>
          <t>1002</t>
        </is>
      </c>
      <c r="N1370" t="inlineStr">
        <is>
          <t>Montaño Arizala Leidis Claudina (ETR); Villota Rubio Janeth del Carmen (MAT); Angulo Lucero Andrés Mauricio (TEI)</t>
        </is>
      </c>
      <c r="O1370" t="inlineStr">
        <is>
          <t>EQUIPO DE 4: cada docente atiende un grupo de estudiantes en su área</t>
        </is>
      </c>
      <c r="P1370" t="inlineStr">
        <is>
          <t>ENFASIS-D5-10°</t>
        </is>
      </c>
      <c r="Q1370">
        <f>IF(I1370="ENFASIS","ÉNFASIS "&amp;M1370,IFERROR(VLOOKUP(J1370,Grupos!$A$2:$D$100,4,FALSE),J1370))</f>
        <v/>
      </c>
      <c r="R1370">
        <f>O1370&amp;IF(N1370&lt;&gt;"",IF(O1370&lt;&gt;""," · ","")&amp;"Con: "&amp;N1370,"")</f>
        <v/>
      </c>
      <c r="S1370">
        <f>C1370&amp;"|"&amp;D1370</f>
        <v/>
      </c>
      <c r="T1370">
        <f>COUNTIF($S$2:S1370,S1370)</f>
        <v/>
      </c>
      <c r="U1370">
        <f>S1370&amp;"|"&amp;T1370</f>
        <v/>
      </c>
      <c r="V1370">
        <f>IFERROR(VLOOKUP(IF(I1370="ENFASIS",LEFT(M1370,FIND("+",M1370&amp;"+")-1),J1370),Direccion_Grupo!$A$2:$G$100,7,FALSE),"")</f>
        <v/>
      </c>
    </row>
    <row r="1371">
      <c r="A1371" t="n">
        <v>54</v>
      </c>
      <c r="B1371" t="inlineStr">
        <is>
          <t>Villota Rubio Janeth del Carmen</t>
        </is>
      </c>
      <c r="C1371" t="inlineStr">
        <is>
          <t>VIERNES</t>
        </is>
      </c>
      <c r="D1371" t="n">
        <v>3</v>
      </c>
      <c r="E1371" t="n">
        <v>2</v>
      </c>
      <c r="F1371" t="n">
        <v>1</v>
      </c>
      <c r="G1371" t="inlineStr">
        <is>
          <t>08:20</t>
        </is>
      </c>
      <c r="H1371" t="inlineStr">
        <is>
          <t>09:05</t>
        </is>
      </c>
      <c r="I1371" t="inlineStr">
        <is>
          <t>ENFASIS</t>
        </is>
      </c>
      <c r="J1371" t="inlineStr"/>
      <c r="K1371" t="inlineStr">
        <is>
          <t>MAT</t>
        </is>
      </c>
      <c r="L1371" t="inlineStr">
        <is>
          <t>D5-10°</t>
        </is>
      </c>
      <c r="M1371" t="inlineStr">
        <is>
          <t>1002</t>
        </is>
      </c>
      <c r="N1371" t="inlineStr">
        <is>
          <t>Pulgarín Ortiz César Marino (CSI); Montaño Arizala Leidis Claudina (ETR); Angulo Lucero Andrés Mauricio (TEI)</t>
        </is>
      </c>
      <c r="O1371" t="inlineStr">
        <is>
          <t>EQUIPO DE 4: cada docente atiende un grupo de estudiantes en su área</t>
        </is>
      </c>
      <c r="P1371" t="inlineStr">
        <is>
          <t>ENFASIS-D5-10°</t>
        </is>
      </c>
      <c r="Q1371">
        <f>IF(I1371="ENFASIS","ÉNFASIS "&amp;M1371,IFERROR(VLOOKUP(J1371,Grupos!$A$2:$D$100,4,FALSE),J1371))</f>
        <v/>
      </c>
      <c r="R1371">
        <f>O1371&amp;IF(N1371&lt;&gt;"",IF(O1371&lt;&gt;""," · ","")&amp;"Con: "&amp;N1371,"")</f>
        <v/>
      </c>
      <c r="S1371">
        <f>C1371&amp;"|"&amp;D1371</f>
        <v/>
      </c>
      <c r="T1371">
        <f>COUNTIF($S$2:S1371,S1371)</f>
        <v/>
      </c>
      <c r="U1371">
        <f>S1371&amp;"|"&amp;T1371</f>
        <v/>
      </c>
      <c r="V1371">
        <f>IFERROR(VLOOKUP(IF(I1371="ENFASIS",LEFT(M1371,FIND("+",M1371&amp;"+")-1),J1371),Direccion_Grupo!$A$2:$G$100,7,FALSE),"")</f>
        <v/>
      </c>
    </row>
    <row r="1372">
      <c r="A1372" t="n">
        <v>50</v>
      </c>
      <c r="B1372" t="inlineStr">
        <is>
          <t>Valencia Solís Gloria Alexa</t>
        </is>
      </c>
      <c r="C1372" t="inlineStr">
        <is>
          <t>VIERNES</t>
        </is>
      </c>
      <c r="D1372" t="n">
        <v>4</v>
      </c>
      <c r="E1372" t="n">
        <v>2</v>
      </c>
      <c r="F1372" t="n">
        <v>2</v>
      </c>
      <c r="G1372" t="inlineStr">
        <is>
          <t>08:30</t>
        </is>
      </c>
      <c r="H1372" t="inlineStr">
        <is>
          <t>09:30</t>
        </is>
      </c>
      <c r="I1372" t="inlineStr">
        <is>
          <t>AREAS_MULTIPLES</t>
        </is>
      </c>
      <c r="J1372" t="inlineStr">
        <is>
          <t>0001</t>
        </is>
      </c>
      <c r="K1372" t="inlineStr">
        <is>
          <t>ÁREAS MÚLTIPLES</t>
        </is>
      </c>
      <c r="L1372" t="inlineStr"/>
      <c r="M1372" t="inlineStr"/>
      <c r="N1372" t="inlineStr"/>
      <c r="O1372" t="inlineStr">
        <is>
          <t>Maestro de aula: todas las áreas con su grupo</t>
        </is>
      </c>
      <c r="P1372" t="inlineStr"/>
      <c r="Q1372">
        <f>IF(I1372="ENFASIS","ÉNFASIS "&amp;M1372,IFERROR(VLOOKUP(J1372,Grupos!$A$2:$D$100,4,FALSE),J1372))</f>
        <v/>
      </c>
      <c r="R1372">
        <f>O1372&amp;IF(N1372&lt;&gt;"",IF(O1372&lt;&gt;""," · ","")&amp;"Con: "&amp;N1372,"")</f>
        <v/>
      </c>
      <c r="S1372">
        <f>C1372&amp;"|"&amp;D1372</f>
        <v/>
      </c>
      <c r="T1372">
        <f>COUNTIF($S$2:S1372,S1372)</f>
        <v/>
      </c>
      <c r="U1372">
        <f>S1372&amp;"|"&amp;T1372</f>
        <v/>
      </c>
      <c r="V1372">
        <f>IFERROR(VLOOKUP(IF(I1372="ENFASIS",LEFT(M1372,FIND("+",M1372&amp;"+")-1),J1372),Direccion_Grupo!$A$2:$G$100,7,FALSE),"")</f>
        <v/>
      </c>
    </row>
    <row r="1373">
      <c r="A1373" t="n">
        <v>27</v>
      </c>
      <c r="B1373" t="inlineStr">
        <is>
          <t>Martínez Álvarez Andrea Ascención</t>
        </is>
      </c>
      <c r="C1373" t="inlineStr">
        <is>
          <t>VIERNES</t>
        </is>
      </c>
      <c r="D1373" t="n">
        <v>4</v>
      </c>
      <c r="E1373" t="n">
        <v>2</v>
      </c>
      <c r="F1373" t="n">
        <v>2</v>
      </c>
      <c r="G1373" t="inlineStr">
        <is>
          <t>08:30</t>
        </is>
      </c>
      <c r="H1373" t="inlineStr">
        <is>
          <t>09:30</t>
        </is>
      </c>
      <c r="I1373" t="inlineStr">
        <is>
          <t>AREAS_MULTIPLES</t>
        </is>
      </c>
      <c r="J1373" t="inlineStr">
        <is>
          <t>0002</t>
        </is>
      </c>
      <c r="K1373" t="inlineStr">
        <is>
          <t>ÁREAS MÚLTIPLES</t>
        </is>
      </c>
      <c r="L1373" t="inlineStr"/>
      <c r="M1373" t="inlineStr"/>
      <c r="N1373" t="inlineStr"/>
      <c r="O1373" t="inlineStr">
        <is>
          <t>Maestro de aula: todas las áreas con su grupo</t>
        </is>
      </c>
      <c r="P1373" t="inlineStr"/>
      <c r="Q1373">
        <f>IF(I1373="ENFASIS","ÉNFASIS "&amp;M1373,IFERROR(VLOOKUP(J1373,Grupos!$A$2:$D$100,4,FALSE),J1373))</f>
        <v/>
      </c>
      <c r="R1373">
        <f>O1373&amp;IF(N1373&lt;&gt;"",IF(O1373&lt;&gt;""," · ","")&amp;"Con: "&amp;N1373,"")</f>
        <v/>
      </c>
      <c r="S1373">
        <f>C1373&amp;"|"&amp;D1373</f>
        <v/>
      </c>
      <c r="T1373">
        <f>COUNTIF($S$2:S1373,S1373)</f>
        <v/>
      </c>
      <c r="U1373">
        <f>S1373&amp;"|"&amp;T1373</f>
        <v/>
      </c>
      <c r="V1373">
        <f>IFERROR(VLOOKUP(IF(I1373="ENFASIS",LEFT(M1373,FIND("+",M1373&amp;"+")-1),J1373),Direccion_Grupo!$A$2:$G$100,7,FALSE),"")</f>
        <v/>
      </c>
    </row>
    <row r="1374">
      <c r="A1374" t="n">
        <v>23</v>
      </c>
      <c r="B1374" t="inlineStr">
        <is>
          <t>Landázuri Quiñones María Elia</t>
        </is>
      </c>
      <c r="C1374" t="inlineStr">
        <is>
          <t>VIERNES</t>
        </is>
      </c>
      <c r="D1374" t="n">
        <v>4</v>
      </c>
      <c r="E1374" t="n">
        <v>2</v>
      </c>
      <c r="F1374" t="n">
        <v>2</v>
      </c>
      <c r="G1374" t="inlineStr">
        <is>
          <t>09:05</t>
        </is>
      </c>
      <c r="H1374" t="inlineStr">
        <is>
          <t>09:50</t>
        </is>
      </c>
      <c r="I1374" t="inlineStr">
        <is>
          <t>AREAS_MULTIPLES</t>
        </is>
      </c>
      <c r="J1374" t="inlineStr">
        <is>
          <t>0101</t>
        </is>
      </c>
      <c r="K1374" t="inlineStr">
        <is>
          <t>ÁREAS MÚLTIPLES</t>
        </is>
      </c>
      <c r="L1374" t="inlineStr"/>
      <c r="M1374" t="inlineStr"/>
      <c r="N1374" t="inlineStr"/>
      <c r="O1374" t="inlineStr">
        <is>
          <t>Maestro de aula: todas las áreas con su grupo</t>
        </is>
      </c>
      <c r="P1374" t="inlineStr"/>
      <c r="Q1374">
        <f>IF(I1374="ENFASIS","ÉNFASIS "&amp;M1374,IFERROR(VLOOKUP(J1374,Grupos!$A$2:$D$100,4,FALSE),J1374))</f>
        <v/>
      </c>
      <c r="R1374">
        <f>O1374&amp;IF(N1374&lt;&gt;"",IF(O1374&lt;&gt;""," · ","")&amp;"Con: "&amp;N1374,"")</f>
        <v/>
      </c>
      <c r="S1374">
        <f>C1374&amp;"|"&amp;D1374</f>
        <v/>
      </c>
      <c r="T1374">
        <f>COUNTIF($S$2:S1374,S1374)</f>
        <v/>
      </c>
      <c r="U1374">
        <f>S1374&amp;"|"&amp;T1374</f>
        <v/>
      </c>
      <c r="V1374">
        <f>IFERROR(VLOOKUP(IF(I1374="ENFASIS",LEFT(M1374,FIND("+",M1374&amp;"+")-1),J1374),Direccion_Grupo!$A$2:$G$100,7,FALSE),"")</f>
        <v/>
      </c>
    </row>
    <row r="1375">
      <c r="A1375" t="n">
        <v>45</v>
      </c>
      <c r="B1375" t="inlineStr">
        <is>
          <t>Sinisterra Ana Lucía</t>
        </is>
      </c>
      <c r="C1375" t="inlineStr">
        <is>
          <t>VIERNES</t>
        </is>
      </c>
      <c r="D1375" t="n">
        <v>4</v>
      </c>
      <c r="E1375" t="n">
        <v>2</v>
      </c>
      <c r="F1375" t="n">
        <v>2</v>
      </c>
      <c r="G1375" t="inlineStr">
        <is>
          <t>09:05</t>
        </is>
      </c>
      <c r="H1375" t="inlineStr">
        <is>
          <t>09:50</t>
        </is>
      </c>
      <c r="I1375" t="inlineStr">
        <is>
          <t>AREAS_MULTIPLES</t>
        </is>
      </c>
      <c r="J1375" t="inlineStr">
        <is>
          <t>0102</t>
        </is>
      </c>
      <c r="K1375" t="inlineStr">
        <is>
          <t>ÁREAS MÚLTIPLES</t>
        </is>
      </c>
      <c r="L1375" t="inlineStr"/>
      <c r="M1375" t="inlineStr"/>
      <c r="N1375" t="inlineStr"/>
      <c r="O1375" t="inlineStr">
        <is>
          <t>Maestro de aula: todas las áreas con su grupo</t>
        </is>
      </c>
      <c r="P1375" t="inlineStr"/>
      <c r="Q1375">
        <f>IF(I1375="ENFASIS","ÉNFASIS "&amp;M1375,IFERROR(VLOOKUP(J1375,Grupos!$A$2:$D$100,4,FALSE),J1375))</f>
        <v/>
      </c>
      <c r="R1375">
        <f>O1375&amp;IF(N1375&lt;&gt;"",IF(O1375&lt;&gt;""," · ","")&amp;"Con: "&amp;N1375,"")</f>
        <v/>
      </c>
      <c r="S1375">
        <f>C1375&amp;"|"&amp;D1375</f>
        <v/>
      </c>
      <c r="T1375">
        <f>COUNTIF($S$2:S1375,S1375)</f>
        <v/>
      </c>
      <c r="U1375">
        <f>S1375&amp;"|"&amp;T1375</f>
        <v/>
      </c>
      <c r="V1375">
        <f>IFERROR(VLOOKUP(IF(I1375="ENFASIS",LEFT(M1375,FIND("+",M1375&amp;"+")-1),J1375),Direccion_Grupo!$A$2:$G$100,7,FALSE),"")</f>
        <v/>
      </c>
    </row>
    <row r="1376">
      <c r="A1376" t="n">
        <v>13</v>
      </c>
      <c r="B1376" t="inlineStr">
        <is>
          <t>Cortés Salazar María Ebelice</t>
        </is>
      </c>
      <c r="C1376" t="inlineStr">
        <is>
          <t>VIERNES</t>
        </is>
      </c>
      <c r="D1376" t="n">
        <v>4</v>
      </c>
      <c r="E1376" t="n">
        <v>2</v>
      </c>
      <c r="F1376" t="n">
        <v>2</v>
      </c>
      <c r="G1376" t="inlineStr">
        <is>
          <t>09:05</t>
        </is>
      </c>
      <c r="H1376" t="inlineStr">
        <is>
          <t>09:50</t>
        </is>
      </c>
      <c r="I1376" t="inlineStr">
        <is>
          <t>AREAS_MULTIPLES</t>
        </is>
      </c>
      <c r="J1376" t="inlineStr">
        <is>
          <t>0201</t>
        </is>
      </c>
      <c r="K1376" t="inlineStr">
        <is>
          <t>ÁREAS MÚLTIPLES</t>
        </is>
      </c>
      <c r="L1376" t="inlineStr"/>
      <c r="M1376" t="inlineStr"/>
      <c r="N1376" t="inlineStr"/>
      <c r="O1376" t="inlineStr">
        <is>
          <t>Maestro de aula: todas las áreas con su grupo</t>
        </is>
      </c>
      <c r="P1376" t="inlineStr"/>
      <c r="Q1376">
        <f>IF(I1376="ENFASIS","ÉNFASIS "&amp;M1376,IFERROR(VLOOKUP(J1376,Grupos!$A$2:$D$100,4,FALSE),J1376))</f>
        <v/>
      </c>
      <c r="R1376">
        <f>O1376&amp;IF(N1376&lt;&gt;"",IF(O1376&lt;&gt;""," · ","")&amp;"Con: "&amp;N1376,"")</f>
        <v/>
      </c>
      <c r="S1376">
        <f>C1376&amp;"|"&amp;D1376</f>
        <v/>
      </c>
      <c r="T1376">
        <f>COUNTIF($S$2:S1376,S1376)</f>
        <v/>
      </c>
      <c r="U1376">
        <f>S1376&amp;"|"&amp;T1376</f>
        <v/>
      </c>
      <c r="V1376">
        <f>IFERROR(VLOOKUP(IF(I1376="ENFASIS",LEFT(M1376,FIND("+",M1376&amp;"+")-1),J1376),Direccion_Grupo!$A$2:$G$100,7,FALSE),"")</f>
        <v/>
      </c>
    </row>
    <row r="1377">
      <c r="A1377" t="n">
        <v>21</v>
      </c>
      <c r="B1377" t="inlineStr">
        <is>
          <t>Garzón Quiñones Sixta Janina</t>
        </is>
      </c>
      <c r="C1377" t="inlineStr">
        <is>
          <t>VIERNES</t>
        </is>
      </c>
      <c r="D1377" t="n">
        <v>4</v>
      </c>
      <c r="E1377" t="n">
        <v>2</v>
      </c>
      <c r="F1377" t="n">
        <v>2</v>
      </c>
      <c r="G1377" t="inlineStr">
        <is>
          <t>09:05</t>
        </is>
      </c>
      <c r="H1377" t="inlineStr">
        <is>
          <t>09:50</t>
        </is>
      </c>
      <c r="I1377" t="inlineStr">
        <is>
          <t>AREAS_MULTIPLES</t>
        </is>
      </c>
      <c r="J1377" t="inlineStr">
        <is>
          <t>0202</t>
        </is>
      </c>
      <c r="K1377" t="inlineStr">
        <is>
          <t>ÁREAS MÚLTIPLES</t>
        </is>
      </c>
      <c r="L1377" t="inlineStr"/>
      <c r="M1377" t="inlineStr"/>
      <c r="N1377" t="inlineStr"/>
      <c r="O1377" t="inlineStr">
        <is>
          <t>Maestro de aula: todas las áreas con su grupo</t>
        </is>
      </c>
      <c r="P1377" t="inlineStr"/>
      <c r="Q1377">
        <f>IF(I1377="ENFASIS","ÉNFASIS "&amp;M1377,IFERROR(VLOOKUP(J1377,Grupos!$A$2:$D$100,4,FALSE),J1377))</f>
        <v/>
      </c>
      <c r="R1377">
        <f>O1377&amp;IF(N1377&lt;&gt;"",IF(O1377&lt;&gt;""," · ","")&amp;"Con: "&amp;N1377,"")</f>
        <v/>
      </c>
      <c r="S1377">
        <f>C1377&amp;"|"&amp;D1377</f>
        <v/>
      </c>
      <c r="T1377">
        <f>COUNTIF($S$2:S1377,S1377)</f>
        <v/>
      </c>
      <c r="U1377">
        <f>S1377&amp;"|"&amp;T1377</f>
        <v/>
      </c>
      <c r="V1377">
        <f>IFERROR(VLOOKUP(IF(I1377="ENFASIS",LEFT(M1377,FIND("+",M1377&amp;"+")-1),J1377),Direccion_Grupo!$A$2:$G$100,7,FALSE),"")</f>
        <v/>
      </c>
    </row>
    <row r="1378">
      <c r="A1378" t="n">
        <v>46</v>
      </c>
      <c r="B1378" t="inlineStr">
        <is>
          <t>Tenorio Cuero Lucy Bivian</t>
        </is>
      </c>
      <c r="C1378" t="inlineStr">
        <is>
          <t>VIERNES</t>
        </is>
      </c>
      <c r="D1378" t="n">
        <v>4</v>
      </c>
      <c r="E1378" t="n">
        <v>2</v>
      </c>
      <c r="F1378" t="n">
        <v>2</v>
      </c>
      <c r="G1378" t="inlineStr">
        <is>
          <t>09:05</t>
        </is>
      </c>
      <c r="H1378" t="inlineStr">
        <is>
          <t>09:50</t>
        </is>
      </c>
      <c r="I1378" t="inlineStr">
        <is>
          <t>AREAS_MULTIPLES</t>
        </is>
      </c>
      <c r="J1378" t="inlineStr">
        <is>
          <t>0203</t>
        </is>
      </c>
      <c r="K1378" t="inlineStr">
        <is>
          <t>ÁREAS MÚLTIPLES</t>
        </is>
      </c>
      <c r="L1378" t="inlineStr"/>
      <c r="M1378" t="inlineStr"/>
      <c r="N1378" t="inlineStr"/>
      <c r="O1378" t="inlineStr">
        <is>
          <t>Maestro de aula: todas las áreas con su grupo</t>
        </is>
      </c>
      <c r="P1378" t="inlineStr"/>
      <c r="Q1378">
        <f>IF(I1378="ENFASIS","ÉNFASIS "&amp;M1378,IFERROR(VLOOKUP(J1378,Grupos!$A$2:$D$100,4,FALSE),J1378))</f>
        <v/>
      </c>
      <c r="R1378">
        <f>O1378&amp;IF(N1378&lt;&gt;"",IF(O1378&lt;&gt;""," · ","")&amp;"Con: "&amp;N1378,"")</f>
        <v/>
      </c>
      <c r="S1378">
        <f>C1378&amp;"|"&amp;D1378</f>
        <v/>
      </c>
      <c r="T1378">
        <f>COUNTIF($S$2:S1378,S1378)</f>
        <v/>
      </c>
      <c r="U1378">
        <f>S1378&amp;"|"&amp;T1378</f>
        <v/>
      </c>
      <c r="V1378">
        <f>IFERROR(VLOOKUP(IF(I1378="ENFASIS",LEFT(M1378,FIND("+",M1378&amp;"+")-1),J1378),Direccion_Grupo!$A$2:$G$100,7,FALSE),"")</f>
        <v/>
      </c>
    </row>
    <row r="1379">
      <c r="A1379" t="n">
        <v>48</v>
      </c>
      <c r="B1379" t="inlineStr">
        <is>
          <t>Torres Segura Encarnación</t>
        </is>
      </c>
      <c r="C1379" t="inlineStr">
        <is>
          <t>VIERNES</t>
        </is>
      </c>
      <c r="D1379" t="n">
        <v>4</v>
      </c>
      <c r="E1379" t="n">
        <v>2</v>
      </c>
      <c r="F1379" t="n">
        <v>2</v>
      </c>
      <c r="G1379" t="inlineStr">
        <is>
          <t>09:05</t>
        </is>
      </c>
      <c r="H1379" t="inlineStr">
        <is>
          <t>09:50</t>
        </is>
      </c>
      <c r="I1379" t="inlineStr">
        <is>
          <t>AREAS_MULTIPLES</t>
        </is>
      </c>
      <c r="J1379" t="inlineStr">
        <is>
          <t>0301</t>
        </is>
      </c>
      <c r="K1379" t="inlineStr">
        <is>
          <t>ÁREAS MÚLTIPLES</t>
        </is>
      </c>
      <c r="L1379" t="inlineStr"/>
      <c r="M1379" t="inlineStr"/>
      <c r="N1379" t="inlineStr"/>
      <c r="O1379" t="inlineStr">
        <is>
          <t>Maestro de aula: todas las áreas con su grupo</t>
        </is>
      </c>
      <c r="P1379" t="inlineStr"/>
      <c r="Q1379">
        <f>IF(I1379="ENFASIS","ÉNFASIS "&amp;M1379,IFERROR(VLOOKUP(J1379,Grupos!$A$2:$D$100,4,FALSE),J1379))</f>
        <v/>
      </c>
      <c r="R1379">
        <f>O1379&amp;IF(N1379&lt;&gt;"",IF(O1379&lt;&gt;""," · ","")&amp;"Con: "&amp;N1379,"")</f>
        <v/>
      </c>
      <c r="S1379">
        <f>C1379&amp;"|"&amp;D1379</f>
        <v/>
      </c>
      <c r="T1379">
        <f>COUNTIF($S$2:S1379,S1379)</f>
        <v/>
      </c>
      <c r="U1379">
        <f>S1379&amp;"|"&amp;T1379</f>
        <v/>
      </c>
      <c r="V1379">
        <f>IFERROR(VLOOKUP(IF(I1379="ENFASIS",LEFT(M1379,FIND("+",M1379&amp;"+")-1),J1379),Direccion_Grupo!$A$2:$G$100,7,FALSE),"")</f>
        <v/>
      </c>
    </row>
    <row r="1380">
      <c r="A1380" t="n">
        <v>24</v>
      </c>
      <c r="B1380" t="inlineStr">
        <is>
          <t>Landázuri Gallón Teresa</t>
        </is>
      </c>
      <c r="C1380" t="inlineStr">
        <is>
          <t>VIERNES</t>
        </is>
      </c>
      <c r="D1380" t="n">
        <v>4</v>
      </c>
      <c r="E1380" t="n">
        <v>2</v>
      </c>
      <c r="F1380" t="n">
        <v>2</v>
      </c>
      <c r="G1380" t="inlineStr">
        <is>
          <t>09:05</t>
        </is>
      </c>
      <c r="H1380" t="inlineStr">
        <is>
          <t>09:50</t>
        </is>
      </c>
      <c r="I1380" t="inlineStr">
        <is>
          <t>AREAS_MULTIPLES</t>
        </is>
      </c>
      <c r="J1380" t="inlineStr">
        <is>
          <t>0302</t>
        </is>
      </c>
      <c r="K1380" t="inlineStr">
        <is>
          <t>ÁREAS MÚLTIPLES</t>
        </is>
      </c>
      <c r="L1380" t="inlineStr"/>
      <c r="M1380" t="inlineStr"/>
      <c r="N1380" t="inlineStr"/>
      <c r="O1380" t="inlineStr">
        <is>
          <t>Maestro de aula: todas las áreas con su grupo</t>
        </is>
      </c>
      <c r="P1380" t="inlineStr"/>
      <c r="Q1380">
        <f>IF(I1380="ENFASIS","ÉNFASIS "&amp;M1380,IFERROR(VLOOKUP(J1380,Grupos!$A$2:$D$100,4,FALSE),J1380))</f>
        <v/>
      </c>
      <c r="R1380">
        <f>O1380&amp;IF(N1380&lt;&gt;"",IF(O1380&lt;&gt;""," · ","")&amp;"Con: "&amp;N1380,"")</f>
        <v/>
      </c>
      <c r="S1380">
        <f>C1380&amp;"|"&amp;D1380</f>
        <v/>
      </c>
      <c r="T1380">
        <f>COUNTIF($S$2:S1380,S1380)</f>
        <v/>
      </c>
      <c r="U1380">
        <f>S1380&amp;"|"&amp;T1380</f>
        <v/>
      </c>
      <c r="V1380">
        <f>IFERROR(VLOOKUP(IF(I1380="ENFASIS",LEFT(M1380,FIND("+",M1380&amp;"+")-1),J1380),Direccion_Grupo!$A$2:$G$100,7,FALSE),"")</f>
        <v/>
      </c>
    </row>
    <row r="1381">
      <c r="A1381" t="n">
        <v>55</v>
      </c>
      <c r="B1381" t="inlineStr">
        <is>
          <t>Zamora Ordóñez Celia Pastora</t>
        </is>
      </c>
      <c r="C1381" t="inlineStr">
        <is>
          <t>VIERNES</t>
        </is>
      </c>
      <c r="D1381" t="n">
        <v>4</v>
      </c>
      <c r="E1381" t="n">
        <v>2</v>
      </c>
      <c r="F1381" t="n">
        <v>2</v>
      </c>
      <c r="G1381" t="inlineStr">
        <is>
          <t>09:05</t>
        </is>
      </c>
      <c r="H1381" t="inlineStr">
        <is>
          <t>09:50</t>
        </is>
      </c>
      <c r="I1381" t="inlineStr">
        <is>
          <t>AREAS_MULTIPLES</t>
        </is>
      </c>
      <c r="J1381" t="inlineStr">
        <is>
          <t>0401</t>
        </is>
      </c>
      <c r="K1381" t="inlineStr">
        <is>
          <t>ÁREAS MÚLTIPLES</t>
        </is>
      </c>
      <c r="L1381" t="inlineStr"/>
      <c r="M1381" t="inlineStr"/>
      <c r="N1381" t="inlineStr"/>
      <c r="O1381" t="inlineStr">
        <is>
          <t>Maestro de aula: todas las áreas con su grupo</t>
        </is>
      </c>
      <c r="P1381" t="inlineStr"/>
      <c r="Q1381">
        <f>IF(I1381="ENFASIS","ÉNFASIS "&amp;M1381,IFERROR(VLOOKUP(J1381,Grupos!$A$2:$D$100,4,FALSE),J1381))</f>
        <v/>
      </c>
      <c r="R1381">
        <f>O1381&amp;IF(N1381&lt;&gt;"",IF(O1381&lt;&gt;""," · ","")&amp;"Con: "&amp;N1381,"")</f>
        <v/>
      </c>
      <c r="S1381">
        <f>C1381&amp;"|"&amp;D1381</f>
        <v/>
      </c>
      <c r="T1381">
        <f>COUNTIF($S$2:S1381,S1381)</f>
        <v/>
      </c>
      <c r="U1381">
        <f>S1381&amp;"|"&amp;T1381</f>
        <v/>
      </c>
      <c r="V1381">
        <f>IFERROR(VLOOKUP(IF(I1381="ENFASIS",LEFT(M1381,FIND("+",M1381&amp;"+")-1),J1381),Direccion_Grupo!$A$2:$G$100,7,FALSE),"")</f>
        <v/>
      </c>
    </row>
    <row r="1382">
      <c r="A1382" t="n">
        <v>33</v>
      </c>
      <c r="B1382" t="inlineStr">
        <is>
          <t>Núñez Perlaza Elcy</t>
        </is>
      </c>
      <c r="C1382" t="inlineStr">
        <is>
          <t>VIERNES</t>
        </is>
      </c>
      <c r="D1382" t="n">
        <v>4</v>
      </c>
      <c r="E1382" t="n">
        <v>2</v>
      </c>
      <c r="F1382" t="n">
        <v>2</v>
      </c>
      <c r="G1382" t="inlineStr">
        <is>
          <t>09:05</t>
        </is>
      </c>
      <c r="H1382" t="inlineStr">
        <is>
          <t>09:50</t>
        </is>
      </c>
      <c r="I1382" t="inlineStr">
        <is>
          <t>AREAS_MULTIPLES</t>
        </is>
      </c>
      <c r="J1382" t="inlineStr">
        <is>
          <t>0402</t>
        </is>
      </c>
      <c r="K1382" t="inlineStr">
        <is>
          <t>ÁREAS MÚLTIPLES</t>
        </is>
      </c>
      <c r="L1382" t="inlineStr"/>
      <c r="M1382" t="inlineStr"/>
      <c r="N1382" t="inlineStr"/>
      <c r="O1382" t="inlineStr">
        <is>
          <t>Maestro de aula: todas las áreas con su grupo</t>
        </is>
      </c>
      <c r="P1382" t="inlineStr"/>
      <c r="Q1382">
        <f>IF(I1382="ENFASIS","ÉNFASIS "&amp;M1382,IFERROR(VLOOKUP(J1382,Grupos!$A$2:$D$100,4,FALSE),J1382))</f>
        <v/>
      </c>
      <c r="R1382">
        <f>O1382&amp;IF(N1382&lt;&gt;"",IF(O1382&lt;&gt;""," · ","")&amp;"Con: "&amp;N1382,"")</f>
        <v/>
      </c>
      <c r="S1382">
        <f>C1382&amp;"|"&amp;D1382</f>
        <v/>
      </c>
      <c r="T1382">
        <f>COUNTIF($S$2:S1382,S1382)</f>
        <v/>
      </c>
      <c r="U1382">
        <f>S1382&amp;"|"&amp;T1382</f>
        <v/>
      </c>
      <c r="V1382">
        <f>IFERROR(VLOOKUP(IF(I1382="ENFASIS",LEFT(M1382,FIND("+",M1382&amp;"+")-1),J1382),Direccion_Grupo!$A$2:$G$100,7,FALSE),"")</f>
        <v/>
      </c>
    </row>
    <row r="1383">
      <c r="A1383" t="n">
        <v>14</v>
      </c>
      <c r="B1383" t="inlineStr">
        <is>
          <t>Cuéllar Gallo Nemesia</t>
        </is>
      </c>
      <c r="C1383" t="inlineStr">
        <is>
          <t>VIERNES</t>
        </is>
      </c>
      <c r="D1383" t="n">
        <v>4</v>
      </c>
      <c r="E1383" t="n">
        <v>2</v>
      </c>
      <c r="F1383" t="n">
        <v>2</v>
      </c>
      <c r="G1383" t="inlineStr">
        <is>
          <t>09:05</t>
        </is>
      </c>
      <c r="H1383" t="inlineStr">
        <is>
          <t>09:50</t>
        </is>
      </c>
      <c r="I1383" t="inlineStr">
        <is>
          <t>AREAS_MULTIPLES</t>
        </is>
      </c>
      <c r="J1383" t="inlineStr">
        <is>
          <t>0501</t>
        </is>
      </c>
      <c r="K1383" t="inlineStr">
        <is>
          <t>ÁREAS MÚLTIPLES</t>
        </is>
      </c>
      <c r="L1383" t="inlineStr"/>
      <c r="M1383" t="inlineStr"/>
      <c r="N1383" t="inlineStr"/>
      <c r="O1383" t="inlineStr">
        <is>
          <t>Maestro de aula: todas las áreas con su grupo</t>
        </is>
      </c>
      <c r="P1383" t="inlineStr"/>
      <c r="Q1383">
        <f>IF(I1383="ENFASIS","ÉNFASIS "&amp;M1383,IFERROR(VLOOKUP(J1383,Grupos!$A$2:$D$100,4,FALSE),J1383))</f>
        <v/>
      </c>
      <c r="R1383">
        <f>O1383&amp;IF(N1383&lt;&gt;"",IF(O1383&lt;&gt;""," · ","")&amp;"Con: "&amp;N1383,"")</f>
        <v/>
      </c>
      <c r="S1383">
        <f>C1383&amp;"|"&amp;D1383</f>
        <v/>
      </c>
      <c r="T1383">
        <f>COUNTIF($S$2:S1383,S1383)</f>
        <v/>
      </c>
      <c r="U1383">
        <f>S1383&amp;"|"&amp;T1383</f>
        <v/>
      </c>
      <c r="V1383">
        <f>IFERROR(VLOOKUP(IF(I1383="ENFASIS",LEFT(M1383,FIND("+",M1383&amp;"+")-1),J1383),Direccion_Grupo!$A$2:$G$100,7,FALSE),"")</f>
        <v/>
      </c>
    </row>
    <row r="1384">
      <c r="A1384" t="n">
        <v>11</v>
      </c>
      <c r="B1384" t="inlineStr">
        <is>
          <t>Centeno Zúñiga Claudia Patricia</t>
        </is>
      </c>
      <c r="C1384" t="inlineStr">
        <is>
          <t>VIERNES</t>
        </is>
      </c>
      <c r="D1384" t="n">
        <v>4</v>
      </c>
      <c r="E1384" t="n">
        <v>2</v>
      </c>
      <c r="F1384" t="n">
        <v>2</v>
      </c>
      <c r="G1384" t="inlineStr">
        <is>
          <t>09:05</t>
        </is>
      </c>
      <c r="H1384" t="inlineStr">
        <is>
          <t>09:50</t>
        </is>
      </c>
      <c r="I1384" t="inlineStr">
        <is>
          <t>AREAS_MULTIPLES</t>
        </is>
      </c>
      <c r="J1384" t="inlineStr">
        <is>
          <t>0502</t>
        </is>
      </c>
      <c r="K1384" t="inlineStr">
        <is>
          <t>ÁREAS MÚLTIPLES</t>
        </is>
      </c>
      <c r="L1384" t="inlineStr"/>
      <c r="M1384" t="inlineStr"/>
      <c r="N1384" t="inlineStr"/>
      <c r="O1384" t="inlineStr">
        <is>
          <t>Maestro de aula: todas las áreas con su grupo</t>
        </is>
      </c>
      <c r="P1384" t="inlineStr"/>
      <c r="Q1384">
        <f>IF(I1384="ENFASIS","ÉNFASIS "&amp;M1384,IFERROR(VLOOKUP(J1384,Grupos!$A$2:$D$100,4,FALSE),J1384))</f>
        <v/>
      </c>
      <c r="R1384">
        <f>O1384&amp;IF(N1384&lt;&gt;"",IF(O1384&lt;&gt;""," · ","")&amp;"Con: "&amp;N1384,"")</f>
        <v/>
      </c>
      <c r="S1384">
        <f>C1384&amp;"|"&amp;D1384</f>
        <v/>
      </c>
      <c r="T1384">
        <f>COUNTIF($S$2:S1384,S1384)</f>
        <v/>
      </c>
      <c r="U1384">
        <f>S1384&amp;"|"&amp;T1384</f>
        <v/>
      </c>
      <c r="V1384">
        <f>IFERROR(VLOOKUP(IF(I1384="ENFASIS",LEFT(M1384,FIND("+",M1384&amp;"+")-1),J1384),Direccion_Grupo!$A$2:$G$100,7,FALSE),"")</f>
        <v/>
      </c>
    </row>
    <row r="1385">
      <c r="A1385" t="n">
        <v>32</v>
      </c>
      <c r="B1385" t="inlineStr">
        <is>
          <t>Narváez Sánchez Dora Alejandra</t>
        </is>
      </c>
      <c r="C1385" t="inlineStr">
        <is>
          <t>VIERNES</t>
        </is>
      </c>
      <c r="D1385" t="n">
        <v>4</v>
      </c>
      <c r="E1385" t="n">
        <v>2</v>
      </c>
      <c r="F1385" t="n">
        <v>2</v>
      </c>
      <c r="G1385" t="inlineStr">
        <is>
          <t>09:05</t>
        </is>
      </c>
      <c r="H1385" t="inlineStr">
        <is>
          <t>09:50</t>
        </is>
      </c>
      <c r="I1385" t="inlineStr">
        <is>
          <t>AREAS_MULTIPLES</t>
        </is>
      </c>
      <c r="J1385" t="inlineStr">
        <is>
          <t>0503</t>
        </is>
      </c>
      <c r="K1385" t="inlineStr">
        <is>
          <t>ÁREAS MÚLTIPLES</t>
        </is>
      </c>
      <c r="L1385" t="inlineStr"/>
      <c r="M1385" t="inlineStr"/>
      <c r="N1385" t="inlineStr"/>
      <c r="O1385" t="inlineStr">
        <is>
          <t>Maestro de aula: todas las áreas con su grupo</t>
        </is>
      </c>
      <c r="P1385" t="inlineStr"/>
      <c r="Q1385">
        <f>IF(I1385="ENFASIS","ÉNFASIS "&amp;M1385,IFERROR(VLOOKUP(J1385,Grupos!$A$2:$D$100,4,FALSE),J1385))</f>
        <v/>
      </c>
      <c r="R1385">
        <f>O1385&amp;IF(N1385&lt;&gt;"",IF(O1385&lt;&gt;""," · ","")&amp;"Con: "&amp;N1385,"")</f>
        <v/>
      </c>
      <c r="S1385">
        <f>C1385&amp;"|"&amp;D1385</f>
        <v/>
      </c>
      <c r="T1385">
        <f>COUNTIF($S$2:S1385,S1385)</f>
        <v/>
      </c>
      <c r="U1385">
        <f>S1385&amp;"|"&amp;T1385</f>
        <v/>
      </c>
      <c r="V1385">
        <f>IFERROR(VLOOKUP(IF(I1385="ENFASIS",LEFT(M1385,FIND("+",M1385&amp;"+")-1),J1385),Direccion_Grupo!$A$2:$G$100,7,FALSE),"")</f>
        <v/>
      </c>
    </row>
    <row r="1386">
      <c r="A1386" t="n">
        <v>17</v>
      </c>
      <c r="B1386" t="inlineStr">
        <is>
          <t>Escobar Cortés Liliana</t>
        </is>
      </c>
      <c r="C1386" t="inlineStr">
        <is>
          <t>VIERNES</t>
        </is>
      </c>
      <c r="D1386" t="n">
        <v>4</v>
      </c>
      <c r="E1386" t="n">
        <v>2</v>
      </c>
      <c r="F1386" t="n">
        <v>2</v>
      </c>
      <c r="G1386" t="inlineStr">
        <is>
          <t>09:05</t>
        </is>
      </c>
      <c r="H1386" t="inlineStr">
        <is>
          <t>09:50</t>
        </is>
      </c>
      <c r="I1386" t="inlineStr">
        <is>
          <t>AREAS_MULTIPLES</t>
        </is>
      </c>
      <c r="J1386" t="inlineStr">
        <is>
          <t>0504</t>
        </is>
      </c>
      <c r="K1386" t="inlineStr">
        <is>
          <t>ÁREAS MÚLTIPLES</t>
        </is>
      </c>
      <c r="L1386" t="inlineStr"/>
      <c r="M1386" t="inlineStr"/>
      <c r="N1386" t="inlineStr"/>
      <c r="O1386" t="inlineStr">
        <is>
          <t>Maestro de aula: todas las áreas con su grupo</t>
        </is>
      </c>
      <c r="P1386" t="inlineStr"/>
      <c r="Q1386">
        <f>IF(I1386="ENFASIS","ÉNFASIS "&amp;M1386,IFERROR(VLOOKUP(J1386,Grupos!$A$2:$D$100,4,FALSE),J1386))</f>
        <v/>
      </c>
      <c r="R1386">
        <f>O1386&amp;IF(N1386&lt;&gt;"",IF(O1386&lt;&gt;""," · ","")&amp;"Con: "&amp;N1386,"")</f>
        <v/>
      </c>
      <c r="S1386">
        <f>C1386&amp;"|"&amp;D1386</f>
        <v/>
      </c>
      <c r="T1386">
        <f>COUNTIF($S$2:S1386,S1386)</f>
        <v/>
      </c>
      <c r="U1386">
        <f>S1386&amp;"|"&amp;T1386</f>
        <v/>
      </c>
      <c r="V1386">
        <f>IFERROR(VLOOKUP(IF(I1386="ENFASIS",LEFT(M1386,FIND("+",M1386&amp;"+")-1),J1386),Direccion_Grupo!$A$2:$G$100,7,FALSE),"")</f>
        <v/>
      </c>
    </row>
    <row r="1387">
      <c r="A1387" t="n">
        <v>16</v>
      </c>
      <c r="B1387" t="inlineStr">
        <is>
          <t>Cuero Rincón Hernando Jesús</t>
        </is>
      </c>
      <c r="C1387" t="inlineStr">
        <is>
          <t>VIERNES</t>
        </is>
      </c>
      <c r="D1387" t="n">
        <v>4</v>
      </c>
      <c r="E1387" t="n">
        <v>2</v>
      </c>
      <c r="F1387" t="n">
        <v>2</v>
      </c>
      <c r="G1387" t="inlineStr">
        <is>
          <t>09:05</t>
        </is>
      </c>
      <c r="H1387" t="inlineStr">
        <is>
          <t>09:50</t>
        </is>
      </c>
      <c r="I1387" t="inlineStr">
        <is>
          <t>CLASE</t>
        </is>
      </c>
      <c r="J1387" t="inlineStr">
        <is>
          <t>0601</t>
        </is>
      </c>
      <c r="K1387" t="inlineStr">
        <is>
          <t>TEI</t>
        </is>
      </c>
      <c r="L1387" t="inlineStr"/>
      <c r="M1387" t="inlineStr"/>
      <c r="N1387" t="inlineStr"/>
      <c r="O1387" t="inlineStr"/>
      <c r="P1387" t="inlineStr">
        <is>
          <t>0601-TEI</t>
        </is>
      </c>
      <c r="Q1387">
        <f>IF(I1387="ENFASIS","ÉNFASIS "&amp;M1387,IFERROR(VLOOKUP(J1387,Grupos!$A$2:$D$100,4,FALSE),J1387))</f>
        <v/>
      </c>
      <c r="R1387">
        <f>O1387&amp;IF(N1387&lt;&gt;"",IF(O1387&lt;&gt;""," · ","")&amp;"Con: "&amp;N1387,"")</f>
        <v/>
      </c>
      <c r="S1387">
        <f>C1387&amp;"|"&amp;D1387</f>
        <v/>
      </c>
      <c r="T1387">
        <f>COUNTIF($S$2:S1387,S1387)</f>
        <v/>
      </c>
      <c r="U1387">
        <f>S1387&amp;"|"&amp;T1387</f>
        <v/>
      </c>
      <c r="V1387">
        <f>IFERROR(VLOOKUP(IF(I1387="ENFASIS",LEFT(M1387,FIND("+",M1387&amp;"+")-1),J1387),Direccion_Grupo!$A$2:$G$100,7,FALSE),"")</f>
        <v/>
      </c>
    </row>
    <row r="1388">
      <c r="A1388" t="n">
        <v>37</v>
      </c>
      <c r="B1388" t="inlineStr">
        <is>
          <t>Prado Quiñones Genís Maribel</t>
        </is>
      </c>
      <c r="C1388" t="inlineStr">
        <is>
          <t>VIERNES</t>
        </is>
      </c>
      <c r="D1388" t="n">
        <v>4</v>
      </c>
      <c r="E1388" t="n">
        <v>2</v>
      </c>
      <c r="F1388" t="n">
        <v>2</v>
      </c>
      <c r="G1388" t="inlineStr">
        <is>
          <t>09:05</t>
        </is>
      </c>
      <c r="H1388" t="inlineStr">
        <is>
          <t>09:50</t>
        </is>
      </c>
      <c r="I1388" t="inlineStr">
        <is>
          <t>CLASE</t>
        </is>
      </c>
      <c r="J1388" t="inlineStr">
        <is>
          <t>0602</t>
        </is>
      </c>
      <c r="K1388" t="inlineStr">
        <is>
          <t>CNA</t>
        </is>
      </c>
      <c r="L1388" t="inlineStr"/>
      <c r="M1388" t="inlineStr"/>
      <c r="N1388" t="inlineStr"/>
      <c r="O1388" t="inlineStr"/>
      <c r="P1388" t="inlineStr">
        <is>
          <t>0602-CNA</t>
        </is>
      </c>
      <c r="Q1388">
        <f>IF(I1388="ENFASIS","ÉNFASIS "&amp;M1388,IFERROR(VLOOKUP(J1388,Grupos!$A$2:$D$100,4,FALSE),J1388))</f>
        <v/>
      </c>
      <c r="R1388">
        <f>O1388&amp;IF(N1388&lt;&gt;"",IF(O1388&lt;&gt;""," · ","")&amp;"Con: "&amp;N1388,"")</f>
        <v/>
      </c>
      <c r="S1388">
        <f>C1388&amp;"|"&amp;D1388</f>
        <v/>
      </c>
      <c r="T1388">
        <f>COUNTIF($S$2:S1388,S1388)</f>
        <v/>
      </c>
      <c r="U1388">
        <f>S1388&amp;"|"&amp;T1388</f>
        <v/>
      </c>
      <c r="V1388">
        <f>IFERROR(VLOOKUP(IF(I1388="ENFASIS",LEFT(M1388,FIND("+",M1388&amp;"+")-1),J1388),Direccion_Grupo!$A$2:$G$100,7,FALSE),"")</f>
        <v/>
      </c>
    </row>
    <row r="1389">
      <c r="A1389" t="n">
        <v>10</v>
      </c>
      <c r="B1389" t="inlineStr">
        <is>
          <t>Castillo Cuero Daira Eneida</t>
        </is>
      </c>
      <c r="C1389" t="inlineStr">
        <is>
          <t>VIERNES</t>
        </is>
      </c>
      <c r="D1389" t="n">
        <v>4</v>
      </c>
      <c r="E1389" t="n">
        <v>2</v>
      </c>
      <c r="F1389" t="n">
        <v>2</v>
      </c>
      <c r="G1389" t="inlineStr">
        <is>
          <t>09:05</t>
        </is>
      </c>
      <c r="H1389" t="inlineStr">
        <is>
          <t>09:50</t>
        </is>
      </c>
      <c r="I1389" t="inlineStr">
        <is>
          <t>CLASE</t>
        </is>
      </c>
      <c r="J1389" t="inlineStr">
        <is>
          <t>0701</t>
        </is>
      </c>
      <c r="K1389" t="inlineStr">
        <is>
          <t>CAS</t>
        </is>
      </c>
      <c r="L1389" t="inlineStr"/>
      <c r="M1389" t="inlineStr"/>
      <c r="N1389" t="inlineStr"/>
      <c r="O1389" t="inlineStr"/>
      <c r="P1389" t="inlineStr">
        <is>
          <t>0701-CAS</t>
        </is>
      </c>
      <c r="Q1389">
        <f>IF(I1389="ENFASIS","ÉNFASIS "&amp;M1389,IFERROR(VLOOKUP(J1389,Grupos!$A$2:$D$100,4,FALSE),J1389))</f>
        <v/>
      </c>
      <c r="R1389">
        <f>O1389&amp;IF(N1389&lt;&gt;"",IF(O1389&lt;&gt;""," · ","")&amp;"Con: "&amp;N1389,"")</f>
        <v/>
      </c>
      <c r="S1389">
        <f>C1389&amp;"|"&amp;D1389</f>
        <v/>
      </c>
      <c r="T1389">
        <f>COUNTIF($S$2:S1389,S1389)</f>
        <v/>
      </c>
      <c r="U1389">
        <f>S1389&amp;"|"&amp;T1389</f>
        <v/>
      </c>
      <c r="V1389">
        <f>IFERROR(VLOOKUP(IF(I1389="ENFASIS",LEFT(M1389,FIND("+",M1389&amp;"+")-1),J1389),Direccion_Grupo!$A$2:$G$100,7,FALSE),"")</f>
        <v/>
      </c>
    </row>
    <row r="1390">
      <c r="A1390" t="n">
        <v>34</v>
      </c>
      <c r="B1390" t="inlineStr">
        <is>
          <t>Ordóñez Tenorio Jaime Marcial</t>
        </is>
      </c>
      <c r="C1390" t="inlineStr">
        <is>
          <t>VIERNES</t>
        </is>
      </c>
      <c r="D1390" t="n">
        <v>4</v>
      </c>
      <c r="E1390" t="n">
        <v>2</v>
      </c>
      <c r="F1390" t="n">
        <v>2</v>
      </c>
      <c r="G1390" t="inlineStr">
        <is>
          <t>09:05</t>
        </is>
      </c>
      <c r="H1390" t="inlineStr">
        <is>
          <t>09:50</t>
        </is>
      </c>
      <c r="I1390" t="inlineStr">
        <is>
          <t>CLASE</t>
        </is>
      </c>
      <c r="J1390" t="inlineStr">
        <is>
          <t>0702</t>
        </is>
      </c>
      <c r="K1390" t="inlineStr">
        <is>
          <t>CNA</t>
        </is>
      </c>
      <c r="L1390" t="inlineStr"/>
      <c r="M1390" t="inlineStr"/>
      <c r="N1390" t="inlineStr"/>
      <c r="O1390" t="inlineStr"/>
      <c r="P1390" t="inlineStr">
        <is>
          <t>0702-CNA</t>
        </is>
      </c>
      <c r="Q1390">
        <f>IF(I1390="ENFASIS","ÉNFASIS "&amp;M1390,IFERROR(VLOOKUP(J1390,Grupos!$A$2:$D$100,4,FALSE),J1390))</f>
        <v/>
      </c>
      <c r="R1390">
        <f>O1390&amp;IF(N1390&lt;&gt;"",IF(O1390&lt;&gt;""," · ","")&amp;"Con: "&amp;N1390,"")</f>
        <v/>
      </c>
      <c r="S1390">
        <f>C1390&amp;"|"&amp;D1390</f>
        <v/>
      </c>
      <c r="T1390">
        <f>COUNTIF($S$2:S1390,S1390)</f>
        <v/>
      </c>
      <c r="U1390">
        <f>S1390&amp;"|"&amp;T1390</f>
        <v/>
      </c>
      <c r="V1390">
        <f>IFERROR(VLOOKUP(IF(I1390="ENFASIS",LEFT(M1390,FIND("+",M1390&amp;"+")-1),J1390),Direccion_Grupo!$A$2:$G$100,7,FALSE),"")</f>
        <v/>
      </c>
    </row>
    <row r="1391">
      <c r="A1391" t="n">
        <v>1</v>
      </c>
      <c r="B1391" t="inlineStr">
        <is>
          <t>Aguirre Riascos Jorge Andrés</t>
        </is>
      </c>
      <c r="C1391" t="inlineStr">
        <is>
          <t>VIERNES</t>
        </is>
      </c>
      <c r="D1391" t="n">
        <v>4</v>
      </c>
      <c r="E1391" t="n">
        <v>2</v>
      </c>
      <c r="F1391" t="n">
        <v>2</v>
      </c>
      <c r="G1391" t="inlineStr">
        <is>
          <t>09:05</t>
        </is>
      </c>
      <c r="H1391" t="inlineStr">
        <is>
          <t>09:50</t>
        </is>
      </c>
      <c r="I1391" t="inlineStr">
        <is>
          <t>CLASE</t>
        </is>
      </c>
      <c r="J1391" t="inlineStr">
        <is>
          <t>0703</t>
        </is>
      </c>
      <c r="K1391" t="inlineStr">
        <is>
          <t>TEI</t>
        </is>
      </c>
      <c r="L1391" t="inlineStr"/>
      <c r="M1391" t="inlineStr"/>
      <c r="N1391" t="inlineStr"/>
      <c r="O1391" t="inlineStr"/>
      <c r="P1391" t="inlineStr">
        <is>
          <t>0703-TEI</t>
        </is>
      </c>
      <c r="Q1391">
        <f>IF(I1391="ENFASIS","ÉNFASIS "&amp;M1391,IFERROR(VLOOKUP(J1391,Grupos!$A$2:$D$100,4,FALSE),J1391))</f>
        <v/>
      </c>
      <c r="R1391">
        <f>O1391&amp;IF(N1391&lt;&gt;"",IF(O1391&lt;&gt;""," · ","")&amp;"Con: "&amp;N1391,"")</f>
        <v/>
      </c>
      <c r="S1391">
        <f>C1391&amp;"|"&amp;D1391</f>
        <v/>
      </c>
      <c r="T1391">
        <f>COUNTIF($S$2:S1391,S1391)</f>
        <v/>
      </c>
      <c r="U1391">
        <f>S1391&amp;"|"&amp;T1391</f>
        <v/>
      </c>
      <c r="V1391">
        <f>IFERROR(VLOOKUP(IF(I1391="ENFASIS",LEFT(M1391,FIND("+",M1391&amp;"+")-1),J1391),Direccion_Grupo!$A$2:$G$100,7,FALSE),"")</f>
        <v/>
      </c>
    </row>
    <row r="1392">
      <c r="A1392" t="n">
        <v>39</v>
      </c>
      <c r="B1392" t="inlineStr">
        <is>
          <t>Puches Ana Milena</t>
        </is>
      </c>
      <c r="C1392" t="inlineStr">
        <is>
          <t>VIERNES</t>
        </is>
      </c>
      <c r="D1392" t="n">
        <v>4</v>
      </c>
      <c r="E1392" t="n">
        <v>2</v>
      </c>
      <c r="F1392" t="n">
        <v>2</v>
      </c>
      <c r="G1392" t="inlineStr">
        <is>
          <t>09:05</t>
        </is>
      </c>
      <c r="H1392" t="inlineStr">
        <is>
          <t>09:50</t>
        </is>
      </c>
      <c r="I1392" t="inlineStr">
        <is>
          <t>CLASE</t>
        </is>
      </c>
      <c r="J1392" t="inlineStr">
        <is>
          <t>0704</t>
        </is>
      </c>
      <c r="K1392" t="inlineStr">
        <is>
          <t>ART</t>
        </is>
      </c>
      <c r="L1392" t="inlineStr"/>
      <c r="M1392" t="inlineStr"/>
      <c r="N1392" t="inlineStr"/>
      <c r="O1392" t="inlineStr"/>
      <c r="P1392" t="inlineStr">
        <is>
          <t>0704-ART</t>
        </is>
      </c>
      <c r="Q1392">
        <f>IF(I1392="ENFASIS","ÉNFASIS "&amp;M1392,IFERROR(VLOOKUP(J1392,Grupos!$A$2:$D$100,4,FALSE),J1392))</f>
        <v/>
      </c>
      <c r="R1392">
        <f>O1392&amp;IF(N1392&lt;&gt;"",IF(O1392&lt;&gt;""," · ","")&amp;"Con: "&amp;N1392,"")</f>
        <v/>
      </c>
      <c r="S1392">
        <f>C1392&amp;"|"&amp;D1392</f>
        <v/>
      </c>
      <c r="T1392">
        <f>COUNTIF($S$2:S1392,S1392)</f>
        <v/>
      </c>
      <c r="U1392">
        <f>S1392&amp;"|"&amp;T1392</f>
        <v/>
      </c>
      <c r="V1392">
        <f>IFERROR(VLOOKUP(IF(I1392="ENFASIS",LEFT(M1392,FIND("+",M1392&amp;"+")-1),J1392),Direccion_Grupo!$A$2:$G$100,7,FALSE),"")</f>
        <v/>
      </c>
    </row>
    <row r="1393">
      <c r="A1393" t="n">
        <v>15</v>
      </c>
      <c r="B1393" t="inlineStr">
        <is>
          <t>Cuero Bamba Berte Levi</t>
        </is>
      </c>
      <c r="C1393" t="inlineStr">
        <is>
          <t>VIERNES</t>
        </is>
      </c>
      <c r="D1393" t="n">
        <v>4</v>
      </c>
      <c r="E1393" t="n">
        <v>2</v>
      </c>
      <c r="F1393" t="n">
        <v>2</v>
      </c>
      <c r="G1393" t="inlineStr">
        <is>
          <t>09:05</t>
        </is>
      </c>
      <c r="H1393" t="inlineStr">
        <is>
          <t>09:50</t>
        </is>
      </c>
      <c r="I1393" t="inlineStr">
        <is>
          <t>CLASE</t>
        </is>
      </c>
      <c r="J1393" t="inlineStr">
        <is>
          <t>0801</t>
        </is>
      </c>
      <c r="K1393" t="inlineStr">
        <is>
          <t>ERD</t>
        </is>
      </c>
      <c r="L1393" t="inlineStr"/>
      <c r="M1393" t="inlineStr"/>
      <c r="N1393" t="inlineStr"/>
      <c r="O1393" t="inlineStr"/>
      <c r="P1393" t="inlineStr">
        <is>
          <t>0801-ERD</t>
        </is>
      </c>
      <c r="Q1393">
        <f>IF(I1393="ENFASIS","ÉNFASIS "&amp;M1393,IFERROR(VLOOKUP(J1393,Grupos!$A$2:$D$100,4,FALSE),J1393))</f>
        <v/>
      </c>
      <c r="R1393">
        <f>O1393&amp;IF(N1393&lt;&gt;"",IF(O1393&lt;&gt;""," · ","")&amp;"Con: "&amp;N1393,"")</f>
        <v/>
      </c>
      <c r="S1393">
        <f>C1393&amp;"|"&amp;D1393</f>
        <v/>
      </c>
      <c r="T1393">
        <f>COUNTIF($S$2:S1393,S1393)</f>
        <v/>
      </c>
      <c r="U1393">
        <f>S1393&amp;"|"&amp;T1393</f>
        <v/>
      </c>
      <c r="V1393">
        <f>IFERROR(VLOOKUP(IF(I1393="ENFASIS",LEFT(M1393,FIND("+",M1393&amp;"+")-1),J1393),Direccion_Grupo!$A$2:$G$100,7,FALSE),"")</f>
        <v/>
      </c>
    </row>
    <row r="1394">
      <c r="A1394" t="n">
        <v>28</v>
      </c>
      <c r="B1394" t="inlineStr">
        <is>
          <t>Meza Banguera Gladys Alicia</t>
        </is>
      </c>
      <c r="C1394" t="inlineStr">
        <is>
          <t>VIERNES</t>
        </is>
      </c>
      <c r="D1394" t="n">
        <v>4</v>
      </c>
      <c r="E1394" t="n">
        <v>2</v>
      </c>
      <c r="F1394" t="n">
        <v>2</v>
      </c>
      <c r="G1394" t="inlineStr">
        <is>
          <t>09:05</t>
        </is>
      </c>
      <c r="H1394" t="inlineStr">
        <is>
          <t>09:50</t>
        </is>
      </c>
      <c r="I1394" t="inlineStr">
        <is>
          <t>CLASE</t>
        </is>
      </c>
      <c r="J1394" t="inlineStr">
        <is>
          <t>0901</t>
        </is>
      </c>
      <c r="K1394" t="inlineStr">
        <is>
          <t>CAS</t>
        </is>
      </c>
      <c r="L1394" t="inlineStr"/>
      <c r="M1394" t="inlineStr"/>
      <c r="N1394" t="inlineStr"/>
      <c r="O1394" t="inlineStr"/>
      <c r="P1394" t="inlineStr">
        <is>
          <t>0901-CAS</t>
        </is>
      </c>
      <c r="Q1394">
        <f>IF(I1394="ENFASIS","ÉNFASIS "&amp;M1394,IFERROR(VLOOKUP(J1394,Grupos!$A$2:$D$100,4,FALSE),J1394))</f>
        <v/>
      </c>
      <c r="R1394">
        <f>O1394&amp;IF(N1394&lt;&gt;"",IF(O1394&lt;&gt;""," · ","")&amp;"Con: "&amp;N1394,"")</f>
        <v/>
      </c>
      <c r="S1394">
        <f>C1394&amp;"|"&amp;D1394</f>
        <v/>
      </c>
      <c r="T1394">
        <f>COUNTIF($S$2:S1394,S1394)</f>
        <v/>
      </c>
      <c r="U1394">
        <f>S1394&amp;"|"&amp;T1394</f>
        <v/>
      </c>
      <c r="V1394">
        <f>IFERROR(VLOOKUP(IF(I1394="ENFASIS",LEFT(M1394,FIND("+",M1394&amp;"+")-1),J1394),Direccion_Grupo!$A$2:$G$100,7,FALSE),"")</f>
        <v/>
      </c>
    </row>
    <row r="1395">
      <c r="A1395" t="n">
        <v>49</v>
      </c>
      <c r="B1395" t="inlineStr">
        <is>
          <t>Valencia Marínez Saidy Eufemia</t>
        </is>
      </c>
      <c r="C1395" t="inlineStr">
        <is>
          <t>VIERNES</t>
        </is>
      </c>
      <c r="D1395" t="n">
        <v>4</v>
      </c>
      <c r="E1395" t="n">
        <v>2</v>
      </c>
      <c r="F1395" t="n">
        <v>2</v>
      </c>
      <c r="G1395" t="inlineStr">
        <is>
          <t>09:05</t>
        </is>
      </c>
      <c r="H1395" t="inlineStr">
        <is>
          <t>09:50</t>
        </is>
      </c>
      <c r="I1395" t="inlineStr">
        <is>
          <t>CLASE</t>
        </is>
      </c>
      <c r="J1395" t="inlineStr">
        <is>
          <t>1001</t>
        </is>
      </c>
      <c r="K1395" t="inlineStr">
        <is>
          <t>ART</t>
        </is>
      </c>
      <c r="L1395" t="inlineStr"/>
      <c r="M1395" t="inlineStr"/>
      <c r="N1395" t="inlineStr"/>
      <c r="O1395" t="inlineStr"/>
      <c r="P1395" t="inlineStr">
        <is>
          <t>1001-ART</t>
        </is>
      </c>
      <c r="Q1395">
        <f>IF(I1395="ENFASIS","ÉNFASIS "&amp;M1395,IFERROR(VLOOKUP(J1395,Grupos!$A$2:$D$100,4,FALSE),J1395))</f>
        <v/>
      </c>
      <c r="R1395">
        <f>O1395&amp;IF(N1395&lt;&gt;"",IF(O1395&lt;&gt;""," · ","")&amp;"Con: "&amp;N1395,"")</f>
        <v/>
      </c>
      <c r="S1395">
        <f>C1395&amp;"|"&amp;D1395</f>
        <v/>
      </c>
      <c r="T1395">
        <f>COUNTIF($S$2:S1395,S1395)</f>
        <v/>
      </c>
      <c r="U1395">
        <f>S1395&amp;"|"&amp;T1395</f>
        <v/>
      </c>
      <c r="V1395">
        <f>IFERROR(VLOOKUP(IF(I1395="ENFASIS",LEFT(M1395,FIND("+",M1395&amp;"+")-1),J1395),Direccion_Grupo!$A$2:$G$100,7,FALSE),"")</f>
        <v/>
      </c>
    </row>
    <row r="1396">
      <c r="A1396" t="n">
        <v>30</v>
      </c>
      <c r="B1396" t="inlineStr">
        <is>
          <t>Montaño Anchico Favio Héctor</t>
        </is>
      </c>
      <c r="C1396" t="inlineStr">
        <is>
          <t>VIERNES</t>
        </is>
      </c>
      <c r="D1396" t="n">
        <v>4</v>
      </c>
      <c r="E1396" t="n">
        <v>2</v>
      </c>
      <c r="F1396" t="n">
        <v>2</v>
      </c>
      <c r="G1396" t="inlineStr">
        <is>
          <t>09:05</t>
        </is>
      </c>
      <c r="H1396" t="inlineStr">
        <is>
          <t>09:50</t>
        </is>
      </c>
      <c r="I1396" t="inlineStr">
        <is>
          <t>CLASE</t>
        </is>
      </c>
      <c r="J1396" t="inlineStr">
        <is>
          <t>1101</t>
        </is>
      </c>
      <c r="K1396" t="inlineStr">
        <is>
          <t>CAS</t>
        </is>
      </c>
      <c r="L1396" t="inlineStr"/>
      <c r="M1396" t="inlineStr"/>
      <c r="N1396" t="inlineStr"/>
      <c r="O1396" t="inlineStr"/>
      <c r="P1396" t="inlineStr">
        <is>
          <t>1101-CAS</t>
        </is>
      </c>
      <c r="Q1396">
        <f>IF(I1396="ENFASIS","ÉNFASIS "&amp;M1396,IFERROR(VLOOKUP(J1396,Grupos!$A$2:$D$100,4,FALSE),J1396))</f>
        <v/>
      </c>
      <c r="R1396">
        <f>O1396&amp;IF(N1396&lt;&gt;"",IF(O1396&lt;&gt;""," · ","")&amp;"Con: "&amp;N1396,"")</f>
        <v/>
      </c>
      <c r="S1396">
        <f>C1396&amp;"|"&amp;D1396</f>
        <v/>
      </c>
      <c r="T1396">
        <f>COUNTIF($S$2:S1396,S1396)</f>
        <v/>
      </c>
      <c r="U1396">
        <f>S1396&amp;"|"&amp;T1396</f>
        <v/>
      </c>
      <c r="V1396">
        <f>IFERROR(VLOOKUP(IF(I1396="ENFASIS",LEFT(M1396,FIND("+",M1396&amp;"+")-1),J1396),Direccion_Grupo!$A$2:$G$100,7,FALSE),"")</f>
        <v/>
      </c>
    </row>
    <row r="1397">
      <c r="A1397" t="n">
        <v>3</v>
      </c>
      <c r="B1397" t="inlineStr">
        <is>
          <t>Arboleda Ortiz Luz América</t>
        </is>
      </c>
      <c r="C1397" t="inlineStr">
        <is>
          <t>VIERNES</t>
        </is>
      </c>
      <c r="D1397" t="n">
        <v>4</v>
      </c>
      <c r="E1397" t="n">
        <v>2</v>
      </c>
      <c r="F1397" t="n">
        <v>2</v>
      </c>
      <c r="G1397" t="inlineStr">
        <is>
          <t>09:05</t>
        </is>
      </c>
      <c r="H1397" t="inlineStr">
        <is>
          <t>09:50</t>
        </is>
      </c>
      <c r="I1397" t="inlineStr">
        <is>
          <t>CLASE</t>
        </is>
      </c>
      <c r="J1397" t="inlineStr">
        <is>
          <t>1102</t>
        </is>
      </c>
      <c r="K1397" t="inlineStr">
        <is>
          <t>ART</t>
        </is>
      </c>
      <c r="L1397" t="inlineStr"/>
      <c r="M1397" t="inlineStr"/>
      <c r="N1397" t="inlineStr"/>
      <c r="O1397" t="inlineStr"/>
      <c r="P1397" t="inlineStr">
        <is>
          <t>1102-ART</t>
        </is>
      </c>
      <c r="Q1397">
        <f>IF(I1397="ENFASIS","ÉNFASIS "&amp;M1397,IFERROR(VLOOKUP(J1397,Grupos!$A$2:$D$100,4,FALSE),J1397))</f>
        <v/>
      </c>
      <c r="R1397">
        <f>O1397&amp;IF(N1397&lt;&gt;"",IF(O1397&lt;&gt;""," · ","")&amp;"Con: "&amp;N1397,"")</f>
        <v/>
      </c>
      <c r="S1397">
        <f>C1397&amp;"|"&amp;D1397</f>
        <v/>
      </c>
      <c r="T1397">
        <f>COUNTIF($S$2:S1397,S1397)</f>
        <v/>
      </c>
      <c r="U1397">
        <f>S1397&amp;"|"&amp;T1397</f>
        <v/>
      </c>
      <c r="V1397">
        <f>IFERROR(VLOOKUP(IF(I1397="ENFASIS",LEFT(M1397,FIND("+",M1397&amp;"+")-1),J1397),Direccion_Grupo!$A$2:$G$100,7,FALSE),"")</f>
        <v/>
      </c>
    </row>
    <row r="1398">
      <c r="A1398" t="n">
        <v>26</v>
      </c>
      <c r="B1398" t="inlineStr">
        <is>
          <t>Lozano Torres Amanda Inés</t>
        </is>
      </c>
      <c r="C1398" t="inlineStr">
        <is>
          <t>VIERNES</t>
        </is>
      </c>
      <c r="D1398" t="n">
        <v>4</v>
      </c>
      <c r="E1398" t="n">
        <v>2</v>
      </c>
      <c r="F1398" t="n">
        <v>2</v>
      </c>
      <c r="G1398" t="inlineStr">
        <is>
          <t>09:05</t>
        </is>
      </c>
      <c r="H1398" t="inlineStr">
        <is>
          <t>09:50</t>
        </is>
      </c>
      <c r="I1398" t="inlineStr">
        <is>
          <t>CLASE</t>
        </is>
      </c>
      <c r="J1398" t="inlineStr">
        <is>
          <t>CS101</t>
        </is>
      </c>
      <c r="K1398" t="inlineStr">
        <is>
          <t>ETR</t>
        </is>
      </c>
      <c r="L1398" t="inlineStr"/>
      <c r="M1398" t="inlineStr"/>
      <c r="N1398" t="inlineStr"/>
      <c r="O1398" t="inlineStr">
        <is>
          <t>Ética / Religión (alternan cada semana)</t>
        </is>
      </c>
      <c r="P1398" t="inlineStr">
        <is>
          <t>CS101-ETR</t>
        </is>
      </c>
      <c r="Q1398">
        <f>IF(I1398="ENFASIS","ÉNFASIS "&amp;M1398,IFERROR(VLOOKUP(J1398,Grupos!$A$2:$D$100,4,FALSE),J1398))</f>
        <v/>
      </c>
      <c r="R1398">
        <f>O1398&amp;IF(N1398&lt;&gt;"",IF(O1398&lt;&gt;""," · ","")&amp;"Con: "&amp;N1398,"")</f>
        <v/>
      </c>
      <c r="S1398">
        <f>C1398&amp;"|"&amp;D1398</f>
        <v/>
      </c>
      <c r="T1398">
        <f>COUNTIF($S$2:S1398,S1398)</f>
        <v/>
      </c>
      <c r="U1398">
        <f>S1398&amp;"|"&amp;T1398</f>
        <v/>
      </c>
      <c r="V1398">
        <f>IFERROR(VLOOKUP(IF(I1398="ENFASIS",LEFT(M1398,FIND("+",M1398&amp;"+")-1),J1398),Direccion_Grupo!$A$2:$G$100,7,FALSE),"")</f>
        <v/>
      </c>
    </row>
    <row r="1399">
      <c r="A1399" t="n">
        <v>20</v>
      </c>
      <c r="B1399" t="inlineStr">
        <is>
          <t>García Gobea Saydi Magali</t>
        </is>
      </c>
      <c r="C1399" t="inlineStr">
        <is>
          <t>VIERNES</t>
        </is>
      </c>
      <c r="D1399" t="n">
        <v>4</v>
      </c>
      <c r="E1399" t="n">
        <v>2</v>
      </c>
      <c r="F1399" t="n">
        <v>2</v>
      </c>
      <c r="G1399" t="inlineStr">
        <is>
          <t>09:05</t>
        </is>
      </c>
      <c r="H1399" t="inlineStr">
        <is>
          <t>09:50</t>
        </is>
      </c>
      <c r="I1399" t="inlineStr">
        <is>
          <t>CLASE</t>
        </is>
      </c>
      <c r="J1399" t="inlineStr">
        <is>
          <t>CS102</t>
        </is>
      </c>
      <c r="K1399" t="inlineStr">
        <is>
          <t>CSI</t>
        </is>
      </c>
      <c r="L1399" t="inlineStr"/>
      <c r="M1399" t="inlineStr"/>
      <c r="N1399" t="inlineStr"/>
      <c r="O1399" t="inlineStr">
        <is>
          <t>Sociales / Inglés (alternan cada semana)</t>
        </is>
      </c>
      <c r="P1399" t="inlineStr">
        <is>
          <t>CS102-CSI</t>
        </is>
      </c>
      <c r="Q1399">
        <f>IF(I1399="ENFASIS","ÉNFASIS "&amp;M1399,IFERROR(VLOOKUP(J1399,Grupos!$A$2:$D$100,4,FALSE),J1399))</f>
        <v/>
      </c>
      <c r="R1399">
        <f>O1399&amp;IF(N1399&lt;&gt;"",IF(O1399&lt;&gt;""," · ","")&amp;"Con: "&amp;N1399,"")</f>
        <v/>
      </c>
      <c r="S1399">
        <f>C1399&amp;"|"&amp;D1399</f>
        <v/>
      </c>
      <c r="T1399">
        <f>COUNTIF($S$2:S1399,S1399)</f>
        <v/>
      </c>
      <c r="U1399">
        <f>S1399&amp;"|"&amp;T1399</f>
        <v/>
      </c>
      <c r="V1399">
        <f>IFERROR(VLOOKUP(IF(I1399="ENFASIS",LEFT(M1399,FIND("+",M1399&amp;"+")-1),J1399),Direccion_Grupo!$A$2:$G$100,7,FALSE),"")</f>
        <v/>
      </c>
    </row>
    <row r="1400">
      <c r="A1400" t="n">
        <v>12</v>
      </c>
      <c r="B1400" t="inlineStr">
        <is>
          <t>Chillambo Quiñones María Rocío</t>
        </is>
      </c>
      <c r="C1400" t="inlineStr">
        <is>
          <t>VIERNES</t>
        </is>
      </c>
      <c r="D1400" t="n">
        <v>4</v>
      </c>
      <c r="E1400" t="n">
        <v>2</v>
      </c>
      <c r="F1400" t="n">
        <v>2</v>
      </c>
      <c r="G1400" t="inlineStr">
        <is>
          <t>09:05</t>
        </is>
      </c>
      <c r="H1400" t="inlineStr">
        <is>
          <t>09:50</t>
        </is>
      </c>
      <c r="I1400" t="inlineStr">
        <is>
          <t>CLASE</t>
        </is>
      </c>
      <c r="J1400" t="inlineStr">
        <is>
          <t>CS201</t>
        </is>
      </c>
      <c r="K1400" t="inlineStr">
        <is>
          <t>CNA</t>
        </is>
      </c>
      <c r="L1400" t="inlineStr"/>
      <c r="M1400" t="inlineStr"/>
      <c r="N1400" t="inlineStr"/>
      <c r="O1400" t="inlineStr"/>
      <c r="P1400" t="inlineStr">
        <is>
          <t>CS201-CNA</t>
        </is>
      </c>
      <c r="Q1400">
        <f>IF(I1400="ENFASIS","ÉNFASIS "&amp;M1400,IFERROR(VLOOKUP(J1400,Grupos!$A$2:$D$100,4,FALSE),J1400))</f>
        <v/>
      </c>
      <c r="R1400">
        <f>O1400&amp;IF(N1400&lt;&gt;"",IF(O1400&lt;&gt;""," · ","")&amp;"Con: "&amp;N1400,"")</f>
        <v/>
      </c>
      <c r="S1400">
        <f>C1400&amp;"|"&amp;D1400</f>
        <v/>
      </c>
      <c r="T1400">
        <f>COUNTIF($S$2:S1400,S1400)</f>
        <v/>
      </c>
      <c r="U1400">
        <f>S1400&amp;"|"&amp;T1400</f>
        <v/>
      </c>
      <c r="V1400">
        <f>IFERROR(VLOOKUP(IF(I1400="ENFASIS",LEFT(M1400,FIND("+",M1400&amp;"+")-1),J1400),Direccion_Grupo!$A$2:$G$100,7,FALSE),"")</f>
        <v/>
      </c>
    </row>
    <row r="1401">
      <c r="A1401" t="n">
        <v>44</v>
      </c>
      <c r="B1401" t="inlineStr">
        <is>
          <t>Samaniego Angulo Flor Mireya</t>
        </is>
      </c>
      <c r="C1401" t="inlineStr">
        <is>
          <t>VIERNES</t>
        </is>
      </c>
      <c r="D1401" t="n">
        <v>4</v>
      </c>
      <c r="E1401" t="n">
        <v>2</v>
      </c>
      <c r="F1401" t="n">
        <v>2</v>
      </c>
      <c r="G1401" t="inlineStr">
        <is>
          <t>09:05</t>
        </is>
      </c>
      <c r="H1401" t="inlineStr">
        <is>
          <t>09:50</t>
        </is>
      </c>
      <c r="I1401" t="inlineStr">
        <is>
          <t>CLASE</t>
        </is>
      </c>
      <c r="J1401" t="inlineStr">
        <is>
          <t>CS202</t>
        </is>
      </c>
      <c r="K1401" t="inlineStr">
        <is>
          <t>ART</t>
        </is>
      </c>
      <c r="L1401" t="inlineStr"/>
      <c r="M1401" t="inlineStr"/>
      <c r="N1401" t="inlineStr"/>
      <c r="O1401" t="inlineStr"/>
      <c r="P1401" t="inlineStr">
        <is>
          <t>CS202-ART</t>
        </is>
      </c>
      <c r="Q1401">
        <f>IF(I1401="ENFASIS","ÉNFASIS "&amp;M1401,IFERROR(VLOOKUP(J1401,Grupos!$A$2:$D$100,4,FALSE),J1401))</f>
        <v/>
      </c>
      <c r="R1401">
        <f>O1401&amp;IF(N1401&lt;&gt;"",IF(O1401&lt;&gt;""," · ","")&amp;"Con: "&amp;N1401,"")</f>
        <v/>
      </c>
      <c r="S1401">
        <f>C1401&amp;"|"&amp;D1401</f>
        <v/>
      </c>
      <c r="T1401">
        <f>COUNTIF($S$2:S1401,S1401)</f>
        <v/>
      </c>
      <c r="U1401">
        <f>S1401&amp;"|"&amp;T1401</f>
        <v/>
      </c>
      <c r="V1401">
        <f>IFERROR(VLOOKUP(IF(I1401="ENFASIS",LEFT(M1401,FIND("+",M1401&amp;"+")-1),J1401),Direccion_Grupo!$A$2:$G$100,7,FALSE),"")</f>
        <v/>
      </c>
    </row>
    <row r="1402">
      <c r="A1402" t="n">
        <v>7</v>
      </c>
      <c r="B1402" t="inlineStr">
        <is>
          <t>Casanova Casanova Johana Andrea</t>
        </is>
      </c>
      <c r="C1402" t="inlineStr">
        <is>
          <t>VIERNES</t>
        </is>
      </c>
      <c r="D1402" t="n">
        <v>4</v>
      </c>
      <c r="E1402" t="n">
        <v>2</v>
      </c>
      <c r="F1402" t="n">
        <v>2</v>
      </c>
      <c r="G1402" t="inlineStr">
        <is>
          <t>09:05</t>
        </is>
      </c>
      <c r="H1402" t="inlineStr">
        <is>
          <t>09:50</t>
        </is>
      </c>
      <c r="I1402" t="inlineStr">
        <is>
          <t>ORIENTACION</t>
        </is>
      </c>
      <c r="J1402" t="inlineStr">
        <is>
          <t>ORIENT</t>
        </is>
      </c>
      <c r="K1402" t="inlineStr">
        <is>
          <t>ORIENTACIÓN ESCOLAR</t>
        </is>
      </c>
      <c r="L1402" t="inlineStr"/>
      <c r="M1402" t="inlineStr"/>
      <c r="N1402" t="inlineStr"/>
      <c r="O1402" t="inlineStr">
        <is>
          <t>Jornada 07:30 a 14:30</t>
        </is>
      </c>
      <c r="P1402" t="inlineStr"/>
      <c r="Q1402">
        <f>IF(I1402="ENFASIS","ÉNFASIS "&amp;M1402,IFERROR(VLOOKUP(J1402,Grupos!$A$2:$D$100,4,FALSE),J1402))</f>
        <v/>
      </c>
      <c r="R1402">
        <f>O1402&amp;IF(N1402&lt;&gt;"",IF(O1402&lt;&gt;""," · ","")&amp;"Con: "&amp;N1402,"")</f>
        <v/>
      </c>
      <c r="S1402">
        <f>C1402&amp;"|"&amp;D1402</f>
        <v/>
      </c>
      <c r="T1402">
        <f>COUNTIF($S$2:S1402,S1402)</f>
        <v/>
      </c>
      <c r="U1402">
        <f>S1402&amp;"|"&amp;T1402</f>
        <v/>
      </c>
      <c r="V1402">
        <f>IFERROR(VLOOKUP(IF(I1402="ENFASIS",LEFT(M1402,FIND("+",M1402&amp;"+")-1),J1402),Direccion_Grupo!$A$2:$G$100,7,FALSE),"")</f>
        <v/>
      </c>
    </row>
    <row r="1403">
      <c r="A1403" t="n">
        <v>36</v>
      </c>
      <c r="B1403" t="inlineStr">
        <is>
          <t>Ponce Moncayo Ángela Paola</t>
        </is>
      </c>
      <c r="C1403" t="inlineStr">
        <is>
          <t>VIERNES</t>
        </is>
      </c>
      <c r="D1403" t="n">
        <v>4</v>
      </c>
      <c r="E1403" t="n">
        <v>2</v>
      </c>
      <c r="F1403" t="n">
        <v>2</v>
      </c>
      <c r="G1403" t="inlineStr">
        <is>
          <t>09:05</t>
        </is>
      </c>
      <c r="H1403" t="inlineStr">
        <is>
          <t>09:50</t>
        </is>
      </c>
      <c r="I1403" t="inlineStr">
        <is>
          <t>ORIENTACION</t>
        </is>
      </c>
      <c r="J1403" t="inlineStr">
        <is>
          <t>ORIENT</t>
        </is>
      </c>
      <c r="K1403" t="inlineStr">
        <is>
          <t>ORIENTACIÓN ESCOLAR</t>
        </is>
      </c>
      <c r="L1403" t="inlineStr"/>
      <c r="M1403" t="inlineStr"/>
      <c r="N1403" t="inlineStr"/>
      <c r="O1403" t="inlineStr">
        <is>
          <t>Jornada 08:30 a 13:30</t>
        </is>
      </c>
      <c r="P1403" t="inlineStr"/>
      <c r="Q1403">
        <f>IF(I1403="ENFASIS","ÉNFASIS "&amp;M1403,IFERROR(VLOOKUP(J1403,Grupos!$A$2:$D$100,4,FALSE),J1403))</f>
        <v/>
      </c>
      <c r="R1403">
        <f>O1403&amp;IF(N1403&lt;&gt;"",IF(O1403&lt;&gt;""," · ","")&amp;"Con: "&amp;N1403,"")</f>
        <v/>
      </c>
      <c r="S1403">
        <f>C1403&amp;"|"&amp;D1403</f>
        <v/>
      </c>
      <c r="T1403">
        <f>COUNTIF($S$2:S1403,S1403)</f>
        <v/>
      </c>
      <c r="U1403">
        <f>S1403&amp;"|"&amp;T1403</f>
        <v/>
      </c>
      <c r="V1403">
        <f>IFERROR(VLOOKUP(IF(I1403="ENFASIS",LEFT(M1403,FIND("+",M1403&amp;"+")-1),J1403),Direccion_Grupo!$A$2:$G$100,7,FALSE),"")</f>
        <v/>
      </c>
    </row>
    <row r="1404">
      <c r="A1404" t="n">
        <v>56</v>
      </c>
      <c r="B1404" t="inlineStr">
        <is>
          <t>Ortiz Estacio Martha Cecilia</t>
        </is>
      </c>
      <c r="C1404" t="inlineStr">
        <is>
          <t>VIERNES</t>
        </is>
      </c>
      <c r="D1404" t="n">
        <v>4</v>
      </c>
      <c r="E1404" t="n">
        <v>2</v>
      </c>
      <c r="F1404" t="n">
        <v>2</v>
      </c>
      <c r="G1404" t="inlineStr">
        <is>
          <t>09:05</t>
        </is>
      </c>
      <c r="H1404" t="inlineStr">
        <is>
          <t>09:50</t>
        </is>
      </c>
      <c r="I1404" t="inlineStr">
        <is>
          <t>TUTORIA</t>
        </is>
      </c>
      <c r="J1404" t="inlineStr">
        <is>
          <t>PTAFI</t>
        </is>
      </c>
      <c r="K1404" t="inlineStr">
        <is>
          <t>TUTORÍA PTAFI</t>
        </is>
      </c>
      <c r="L1404" t="inlineStr"/>
      <c r="M1404" t="inlineStr"/>
      <c r="N1404" t="inlineStr"/>
      <c r="O1404" t="inlineStr">
        <is>
          <t>Jornada 06:30 a 12:00</t>
        </is>
      </c>
      <c r="P1404" t="inlineStr"/>
      <c r="Q1404">
        <f>IF(I1404="ENFASIS","ÉNFASIS "&amp;M1404,IFERROR(VLOOKUP(J1404,Grupos!$A$2:$D$100,4,FALSE),J1404))</f>
        <v/>
      </c>
      <c r="R1404">
        <f>O1404&amp;IF(N1404&lt;&gt;"",IF(O1404&lt;&gt;""," · ","")&amp;"Con: "&amp;N1404,"")</f>
        <v/>
      </c>
      <c r="S1404">
        <f>C1404&amp;"|"&amp;D1404</f>
        <v/>
      </c>
      <c r="T1404">
        <f>COUNTIF($S$2:S1404,S1404)</f>
        <v/>
      </c>
      <c r="U1404">
        <f>S1404&amp;"|"&amp;T1404</f>
        <v/>
      </c>
      <c r="V1404">
        <f>IFERROR(VLOOKUP(IF(I1404="ENFASIS",LEFT(M1404,FIND("+",M1404&amp;"+")-1),J1404),Direccion_Grupo!$A$2:$G$100,7,FALSE),"")</f>
        <v/>
      </c>
    </row>
    <row r="1405">
      <c r="A1405" t="n">
        <v>9</v>
      </c>
      <c r="B1405" t="inlineStr">
        <is>
          <t>Castillo Angulo Martha Cecilia</t>
        </is>
      </c>
      <c r="C1405" t="inlineStr">
        <is>
          <t>VIERNES</t>
        </is>
      </c>
      <c r="D1405" t="n">
        <v>4</v>
      </c>
      <c r="E1405" t="n">
        <v>2</v>
      </c>
      <c r="F1405" t="n">
        <v>2</v>
      </c>
      <c r="G1405" t="inlineStr">
        <is>
          <t>09:05</t>
        </is>
      </c>
      <c r="H1405" t="inlineStr">
        <is>
          <t>09:50</t>
        </is>
      </c>
      <c r="I1405" t="inlineStr">
        <is>
          <t>ENFASIS</t>
        </is>
      </c>
      <c r="J1405" t="inlineStr"/>
      <c r="K1405" t="inlineStr">
        <is>
          <t>ETR</t>
        </is>
      </c>
      <c r="L1405" t="inlineStr">
        <is>
          <t>0802</t>
        </is>
      </c>
      <c r="M1405" t="inlineStr">
        <is>
          <t>0802</t>
        </is>
      </c>
      <c r="N1405" t="inlineStr">
        <is>
          <t>Ortiz Araujo Adiela Carlota (CSI)</t>
        </is>
      </c>
      <c r="O1405" t="inlineStr">
        <is>
          <t>PAREJA: comparten el énfasis y alternan por semana</t>
        </is>
      </c>
      <c r="P1405" t="inlineStr">
        <is>
          <t>ENFASIS-0802</t>
        </is>
      </c>
      <c r="Q1405">
        <f>IF(I1405="ENFASIS","ÉNFASIS "&amp;M1405,IFERROR(VLOOKUP(J1405,Grupos!$A$2:$D$100,4,FALSE),J1405))</f>
        <v/>
      </c>
      <c r="R1405">
        <f>O1405&amp;IF(N1405&lt;&gt;"",IF(O1405&lt;&gt;""," · ","")&amp;"Con: "&amp;N1405,"")</f>
        <v/>
      </c>
      <c r="S1405">
        <f>C1405&amp;"|"&amp;D1405</f>
        <v/>
      </c>
      <c r="T1405">
        <f>COUNTIF($S$2:S1405,S1405)</f>
        <v/>
      </c>
      <c r="U1405">
        <f>S1405&amp;"|"&amp;T1405</f>
        <v/>
      </c>
      <c r="V1405">
        <f>IFERROR(VLOOKUP(IF(I1405="ENFASIS",LEFT(M1405,FIND("+",M1405&amp;"+")-1),J1405),Direccion_Grupo!$A$2:$G$100,7,FALSE),"")</f>
        <v/>
      </c>
    </row>
    <row r="1406">
      <c r="A1406" t="n">
        <v>19</v>
      </c>
      <c r="B1406" t="inlineStr">
        <is>
          <t>Fernández Vélez Alfredo Enrique</t>
        </is>
      </c>
      <c r="C1406" t="inlineStr">
        <is>
          <t>VIERNES</t>
        </is>
      </c>
      <c r="D1406" t="n">
        <v>4</v>
      </c>
      <c r="E1406" t="n">
        <v>2</v>
      </c>
      <c r="F1406" t="n">
        <v>2</v>
      </c>
      <c r="G1406" t="inlineStr">
        <is>
          <t>09:05</t>
        </is>
      </c>
      <c r="H1406" t="inlineStr">
        <is>
          <t>09:50</t>
        </is>
      </c>
      <c r="I1406" t="inlineStr">
        <is>
          <t>ENFASIS</t>
        </is>
      </c>
      <c r="J1406" t="inlineStr"/>
      <c r="K1406" t="inlineStr">
        <is>
          <t>TEI</t>
        </is>
      </c>
      <c r="L1406" t="inlineStr">
        <is>
          <t>D3-8°</t>
        </is>
      </c>
      <c r="M1406" t="inlineStr">
        <is>
          <t>0802</t>
        </is>
      </c>
      <c r="N1406" t="inlineStr">
        <is>
          <t>Preciado Torres Oleisa (MAT)</t>
        </is>
      </c>
      <c r="O1406" t="inlineStr">
        <is>
          <t>PAREJA: comparten el énfasis y alternan por semana</t>
        </is>
      </c>
      <c r="P1406" t="inlineStr">
        <is>
          <t>ENFASIS-D3-8°</t>
        </is>
      </c>
      <c r="Q1406">
        <f>IF(I1406="ENFASIS","ÉNFASIS "&amp;M1406,IFERROR(VLOOKUP(J1406,Grupos!$A$2:$D$100,4,FALSE),J1406))</f>
        <v/>
      </c>
      <c r="R1406">
        <f>O1406&amp;IF(N1406&lt;&gt;"",IF(O1406&lt;&gt;""," · ","")&amp;"Con: "&amp;N1406,"")</f>
        <v/>
      </c>
      <c r="S1406">
        <f>C1406&amp;"|"&amp;D1406</f>
        <v/>
      </c>
      <c r="T1406">
        <f>COUNTIF($S$2:S1406,S1406)</f>
        <v/>
      </c>
      <c r="U1406">
        <f>S1406&amp;"|"&amp;T1406</f>
        <v/>
      </c>
      <c r="V1406">
        <f>IFERROR(VLOOKUP(IF(I1406="ENFASIS",LEFT(M1406,FIND("+",M1406&amp;"+")-1),J1406),Direccion_Grupo!$A$2:$G$100,7,FALSE),"")</f>
        <v/>
      </c>
    </row>
    <row r="1407">
      <c r="A1407" t="n">
        <v>35</v>
      </c>
      <c r="B1407" t="inlineStr">
        <is>
          <t>Ortiz Araujo Adiela Carlota</t>
        </is>
      </c>
      <c r="C1407" t="inlineStr">
        <is>
          <t>VIERNES</t>
        </is>
      </c>
      <c r="D1407" t="n">
        <v>4</v>
      </c>
      <c r="E1407" t="n">
        <v>2</v>
      </c>
      <c r="F1407" t="n">
        <v>2</v>
      </c>
      <c r="G1407" t="inlineStr">
        <is>
          <t>09:05</t>
        </is>
      </c>
      <c r="H1407" t="inlineStr">
        <is>
          <t>09:50</t>
        </is>
      </c>
      <c r="I1407" t="inlineStr">
        <is>
          <t>ENFASIS</t>
        </is>
      </c>
      <c r="J1407" t="inlineStr"/>
      <c r="K1407" t="inlineStr">
        <is>
          <t>CSI</t>
        </is>
      </c>
      <c r="L1407" t="inlineStr">
        <is>
          <t>0802</t>
        </is>
      </c>
      <c r="M1407" t="inlineStr">
        <is>
          <t>0802</t>
        </is>
      </c>
      <c r="N1407" t="inlineStr">
        <is>
          <t>Castillo Angulo Martha Cecilia (ETR)</t>
        </is>
      </c>
      <c r="O1407" t="inlineStr">
        <is>
          <t>PAREJA: comparten el énfasis y alternan por semana</t>
        </is>
      </c>
      <c r="P1407" t="inlineStr">
        <is>
          <t>ENFASIS-0802</t>
        </is>
      </c>
      <c r="Q1407">
        <f>IF(I1407="ENFASIS","ÉNFASIS "&amp;M1407,IFERROR(VLOOKUP(J1407,Grupos!$A$2:$D$100,4,FALSE),J1407))</f>
        <v/>
      </c>
      <c r="R1407">
        <f>O1407&amp;IF(N1407&lt;&gt;"",IF(O1407&lt;&gt;""," · ","")&amp;"Con: "&amp;N1407,"")</f>
        <v/>
      </c>
      <c r="S1407">
        <f>C1407&amp;"|"&amp;D1407</f>
        <v/>
      </c>
      <c r="T1407">
        <f>COUNTIF($S$2:S1407,S1407)</f>
        <v/>
      </c>
      <c r="U1407">
        <f>S1407&amp;"|"&amp;T1407</f>
        <v/>
      </c>
      <c r="V1407">
        <f>IFERROR(VLOOKUP(IF(I1407="ENFASIS",LEFT(M1407,FIND("+",M1407&amp;"+")-1),J1407),Direccion_Grupo!$A$2:$G$100,7,FALSE),"")</f>
        <v/>
      </c>
    </row>
    <row r="1408">
      <c r="A1408" t="n">
        <v>38</v>
      </c>
      <c r="B1408" t="inlineStr">
        <is>
          <t>Preciado Torres Oleisa</t>
        </is>
      </c>
      <c r="C1408" t="inlineStr">
        <is>
          <t>VIERNES</t>
        </is>
      </c>
      <c r="D1408" t="n">
        <v>4</v>
      </c>
      <c r="E1408" t="n">
        <v>2</v>
      </c>
      <c r="F1408" t="n">
        <v>2</v>
      </c>
      <c r="G1408" t="inlineStr">
        <is>
          <t>09:05</t>
        </is>
      </c>
      <c r="H1408" t="inlineStr">
        <is>
          <t>09:50</t>
        </is>
      </c>
      <c r="I1408" t="inlineStr">
        <is>
          <t>ENFASIS</t>
        </is>
      </c>
      <c r="J1408" t="inlineStr"/>
      <c r="K1408" t="inlineStr">
        <is>
          <t>MAT</t>
        </is>
      </c>
      <c r="L1408" t="inlineStr">
        <is>
          <t>D3-8°</t>
        </is>
      </c>
      <c r="M1408" t="inlineStr">
        <is>
          <t>0802</t>
        </is>
      </c>
      <c r="N1408" t="inlineStr">
        <is>
          <t>Fernández Vélez Alfredo Enrique (TEI)</t>
        </is>
      </c>
      <c r="O1408" t="inlineStr">
        <is>
          <t>PAREJA: comparten el énfasis y alternan por semana</t>
        </is>
      </c>
      <c r="P1408" t="inlineStr">
        <is>
          <t>ENFASIS-D3-8°</t>
        </is>
      </c>
      <c r="Q1408">
        <f>IF(I1408="ENFASIS","ÉNFASIS "&amp;M1408,IFERROR(VLOOKUP(J1408,Grupos!$A$2:$D$100,4,FALSE),J1408))</f>
        <v/>
      </c>
      <c r="R1408">
        <f>O1408&amp;IF(N1408&lt;&gt;"",IF(O1408&lt;&gt;""," · ","")&amp;"Con: "&amp;N1408,"")</f>
        <v/>
      </c>
      <c r="S1408">
        <f>C1408&amp;"|"&amp;D1408</f>
        <v/>
      </c>
      <c r="T1408">
        <f>COUNTIF($S$2:S1408,S1408)</f>
        <v/>
      </c>
      <c r="U1408">
        <f>S1408&amp;"|"&amp;T1408</f>
        <v/>
      </c>
      <c r="V1408">
        <f>IFERROR(VLOOKUP(IF(I1408="ENFASIS",LEFT(M1408,FIND("+",M1408&amp;"+")-1),J1408),Direccion_Grupo!$A$2:$G$100,7,FALSE),"")</f>
        <v/>
      </c>
    </row>
    <row r="1409">
      <c r="A1409" t="n">
        <v>5</v>
      </c>
      <c r="B1409" t="inlineStr">
        <is>
          <t>Bastidas Valencia Zeneida Judith</t>
        </is>
      </c>
      <c r="C1409" t="inlineStr">
        <is>
          <t>VIERNES</t>
        </is>
      </c>
      <c r="D1409" t="n">
        <v>4</v>
      </c>
      <c r="E1409" t="n">
        <v>2</v>
      </c>
      <c r="F1409" t="n">
        <v>2</v>
      </c>
      <c r="G1409" t="inlineStr">
        <is>
          <t>09:05</t>
        </is>
      </c>
      <c r="H1409" t="inlineStr">
        <is>
          <t>09:50</t>
        </is>
      </c>
      <c r="I1409" t="inlineStr">
        <is>
          <t>ENFASIS</t>
        </is>
      </c>
      <c r="J1409" t="inlineStr"/>
      <c r="K1409" t="inlineStr">
        <is>
          <t>MAT</t>
        </is>
      </c>
      <c r="L1409" t="inlineStr">
        <is>
          <t>0902</t>
        </is>
      </c>
      <c r="M1409" t="inlineStr">
        <is>
          <t>0902</t>
        </is>
      </c>
      <c r="N1409" t="inlineStr">
        <is>
          <t>Betancourth Ocampo Yohana Patricia (CSI); Estacio Estupiñán Rosario (ETR); Mindineros Satizábal John Jáver (TEI)</t>
        </is>
      </c>
      <c r="O1409" t="inlineStr">
        <is>
          <t>EQUIPO DE 4: cada docente atiende un grupo de estudiantes en su área</t>
        </is>
      </c>
      <c r="P1409" t="inlineStr">
        <is>
          <t>ENFASIS-0902</t>
        </is>
      </c>
      <c r="Q1409">
        <f>IF(I1409="ENFASIS","ÉNFASIS "&amp;M1409,IFERROR(VLOOKUP(J1409,Grupos!$A$2:$D$100,4,FALSE),J1409))</f>
        <v/>
      </c>
      <c r="R1409">
        <f>O1409&amp;IF(N1409&lt;&gt;"",IF(O1409&lt;&gt;""," · ","")&amp;"Con: "&amp;N1409,"")</f>
        <v/>
      </c>
      <c r="S1409">
        <f>C1409&amp;"|"&amp;D1409</f>
        <v/>
      </c>
      <c r="T1409">
        <f>COUNTIF($S$2:S1409,S1409)</f>
        <v/>
      </c>
      <c r="U1409">
        <f>S1409&amp;"|"&amp;T1409</f>
        <v/>
      </c>
      <c r="V1409">
        <f>IFERROR(VLOOKUP(IF(I1409="ENFASIS",LEFT(M1409,FIND("+",M1409&amp;"+")-1),J1409),Direccion_Grupo!$A$2:$G$100,7,FALSE),"")</f>
        <v/>
      </c>
    </row>
    <row r="1410">
      <c r="A1410" t="n">
        <v>6</v>
      </c>
      <c r="B1410" t="inlineStr">
        <is>
          <t>Betancourth Ocampo Yohana Patricia</t>
        </is>
      </c>
      <c r="C1410" t="inlineStr">
        <is>
          <t>VIERNES</t>
        </is>
      </c>
      <c r="D1410" t="n">
        <v>4</v>
      </c>
      <c r="E1410" t="n">
        <v>2</v>
      </c>
      <c r="F1410" t="n">
        <v>2</v>
      </c>
      <c r="G1410" t="inlineStr">
        <is>
          <t>09:05</t>
        </is>
      </c>
      <c r="H1410" t="inlineStr">
        <is>
          <t>09:50</t>
        </is>
      </c>
      <c r="I1410" t="inlineStr">
        <is>
          <t>ENFASIS</t>
        </is>
      </c>
      <c r="J1410" t="inlineStr"/>
      <c r="K1410" t="inlineStr">
        <is>
          <t>CSI</t>
        </is>
      </c>
      <c r="L1410" t="inlineStr">
        <is>
          <t>0902</t>
        </is>
      </c>
      <c r="M1410" t="inlineStr">
        <is>
          <t>0902</t>
        </is>
      </c>
      <c r="N1410" t="inlineStr">
        <is>
          <t>Estacio Estupiñán Rosario (ETR); Bastidas Valencia Zeneida Judith (MAT); Mindineros Satizábal John Jáver (TEI)</t>
        </is>
      </c>
      <c r="O1410" t="inlineStr">
        <is>
          <t>EQUIPO DE 4: cada docente atiende un grupo de estudiantes en su área</t>
        </is>
      </c>
      <c r="P1410" t="inlineStr">
        <is>
          <t>ENFASIS-0902</t>
        </is>
      </c>
      <c r="Q1410">
        <f>IF(I1410="ENFASIS","ÉNFASIS "&amp;M1410,IFERROR(VLOOKUP(J1410,Grupos!$A$2:$D$100,4,FALSE),J1410))</f>
        <v/>
      </c>
      <c r="R1410">
        <f>O1410&amp;IF(N1410&lt;&gt;"",IF(O1410&lt;&gt;""," · ","")&amp;"Con: "&amp;N1410,"")</f>
        <v/>
      </c>
      <c r="S1410">
        <f>C1410&amp;"|"&amp;D1410</f>
        <v/>
      </c>
      <c r="T1410">
        <f>COUNTIF($S$2:S1410,S1410)</f>
        <v/>
      </c>
      <c r="U1410">
        <f>S1410&amp;"|"&amp;T1410</f>
        <v/>
      </c>
      <c r="V1410">
        <f>IFERROR(VLOOKUP(IF(I1410="ENFASIS",LEFT(M1410,FIND("+",M1410&amp;"+")-1),J1410),Direccion_Grupo!$A$2:$G$100,7,FALSE),"")</f>
        <v/>
      </c>
    </row>
    <row r="1411">
      <c r="A1411" t="n">
        <v>18</v>
      </c>
      <c r="B1411" t="inlineStr">
        <is>
          <t>Estacio Estupiñán Rosario</t>
        </is>
      </c>
      <c r="C1411" t="inlineStr">
        <is>
          <t>VIERNES</t>
        </is>
      </c>
      <c r="D1411" t="n">
        <v>4</v>
      </c>
      <c r="E1411" t="n">
        <v>2</v>
      </c>
      <c r="F1411" t="n">
        <v>2</v>
      </c>
      <c r="G1411" t="inlineStr">
        <is>
          <t>09:05</t>
        </is>
      </c>
      <c r="H1411" t="inlineStr">
        <is>
          <t>09:50</t>
        </is>
      </c>
      <c r="I1411" t="inlineStr">
        <is>
          <t>ENFASIS</t>
        </is>
      </c>
      <c r="J1411" t="inlineStr"/>
      <c r="K1411" t="inlineStr">
        <is>
          <t>ETR</t>
        </is>
      </c>
      <c r="L1411" t="inlineStr">
        <is>
          <t>0902</t>
        </is>
      </c>
      <c r="M1411" t="inlineStr">
        <is>
          <t>0902</t>
        </is>
      </c>
      <c r="N1411" t="inlineStr">
        <is>
          <t>Betancourth Ocampo Yohana Patricia (CSI); Bastidas Valencia Zeneida Judith (MAT); Mindineros Satizábal John Jáver (TEI)</t>
        </is>
      </c>
      <c r="O1411" t="inlineStr">
        <is>
          <t>EQUIPO DE 4: cada docente atiende un grupo de estudiantes en su área</t>
        </is>
      </c>
      <c r="P1411" t="inlineStr">
        <is>
          <t>ENFASIS-0902</t>
        </is>
      </c>
      <c r="Q1411">
        <f>IF(I1411="ENFASIS","ÉNFASIS "&amp;M1411,IFERROR(VLOOKUP(J1411,Grupos!$A$2:$D$100,4,FALSE),J1411))</f>
        <v/>
      </c>
      <c r="R1411">
        <f>O1411&amp;IF(N1411&lt;&gt;"",IF(O1411&lt;&gt;""," · ","")&amp;"Con: "&amp;N1411,"")</f>
        <v/>
      </c>
      <c r="S1411">
        <f>C1411&amp;"|"&amp;D1411</f>
        <v/>
      </c>
      <c r="T1411">
        <f>COUNTIF($S$2:S1411,S1411)</f>
        <v/>
      </c>
      <c r="U1411">
        <f>S1411&amp;"|"&amp;T1411</f>
        <v/>
      </c>
      <c r="V1411">
        <f>IFERROR(VLOOKUP(IF(I1411="ENFASIS",LEFT(M1411,FIND("+",M1411&amp;"+")-1),J1411),Direccion_Grupo!$A$2:$G$100,7,FALSE),"")</f>
        <v/>
      </c>
    </row>
    <row r="1412">
      <c r="A1412" t="n">
        <v>29</v>
      </c>
      <c r="B1412" t="inlineStr">
        <is>
          <t>Mindineros Satizábal John Jáver</t>
        </is>
      </c>
      <c r="C1412" t="inlineStr">
        <is>
          <t>VIERNES</t>
        </is>
      </c>
      <c r="D1412" t="n">
        <v>4</v>
      </c>
      <c r="E1412" t="n">
        <v>2</v>
      </c>
      <c r="F1412" t="n">
        <v>2</v>
      </c>
      <c r="G1412" t="inlineStr">
        <is>
          <t>09:05</t>
        </is>
      </c>
      <c r="H1412" t="inlineStr">
        <is>
          <t>09:50</t>
        </is>
      </c>
      <c r="I1412" t="inlineStr">
        <is>
          <t>ENFASIS</t>
        </is>
      </c>
      <c r="J1412" t="inlineStr"/>
      <c r="K1412" t="inlineStr">
        <is>
          <t>TEI</t>
        </is>
      </c>
      <c r="L1412" t="inlineStr">
        <is>
          <t>0902</t>
        </is>
      </c>
      <c r="M1412" t="inlineStr">
        <is>
          <t>0902</t>
        </is>
      </c>
      <c r="N1412" t="inlineStr">
        <is>
          <t>Betancourth Ocampo Yohana Patricia (CSI); Estacio Estupiñán Rosario (ETR); Bastidas Valencia Zeneida Judith (MAT)</t>
        </is>
      </c>
      <c r="O1412" t="inlineStr">
        <is>
          <t>EQUIPO DE 4: cada docente atiende un grupo de estudiantes en su área</t>
        </is>
      </c>
      <c r="P1412" t="inlineStr">
        <is>
          <t>ENFASIS-0902</t>
        </is>
      </c>
      <c r="Q1412">
        <f>IF(I1412="ENFASIS","ÉNFASIS "&amp;M1412,IFERROR(VLOOKUP(J1412,Grupos!$A$2:$D$100,4,FALSE),J1412))</f>
        <v/>
      </c>
      <c r="R1412">
        <f>O1412&amp;IF(N1412&lt;&gt;"",IF(O1412&lt;&gt;""," · ","")&amp;"Con: "&amp;N1412,"")</f>
        <v/>
      </c>
      <c r="S1412">
        <f>C1412&amp;"|"&amp;D1412</f>
        <v/>
      </c>
      <c r="T1412">
        <f>COUNTIF($S$2:S1412,S1412)</f>
        <v/>
      </c>
      <c r="U1412">
        <f>S1412&amp;"|"&amp;T1412</f>
        <v/>
      </c>
      <c r="V1412">
        <f>IFERROR(VLOOKUP(IF(I1412="ENFASIS",LEFT(M1412,FIND("+",M1412&amp;"+")-1),J1412),Direccion_Grupo!$A$2:$G$100,7,FALSE),"")</f>
        <v/>
      </c>
    </row>
    <row r="1413">
      <c r="A1413" t="n">
        <v>2</v>
      </c>
      <c r="B1413" t="inlineStr">
        <is>
          <t>Angulo Lucero Andrés Mauricio</t>
        </is>
      </c>
      <c r="C1413" t="inlineStr">
        <is>
          <t>VIERNES</t>
        </is>
      </c>
      <c r="D1413" t="n">
        <v>4</v>
      </c>
      <c r="E1413" t="n">
        <v>2</v>
      </c>
      <c r="F1413" t="n">
        <v>2</v>
      </c>
      <c r="G1413" t="inlineStr">
        <is>
          <t>09:05</t>
        </is>
      </c>
      <c r="H1413" t="inlineStr">
        <is>
          <t>09:50</t>
        </is>
      </c>
      <c r="I1413" t="inlineStr">
        <is>
          <t>ENFASIS</t>
        </is>
      </c>
      <c r="J1413" t="inlineStr"/>
      <c r="K1413" t="inlineStr">
        <is>
          <t>TEI</t>
        </is>
      </c>
      <c r="L1413" t="inlineStr">
        <is>
          <t>D5-10°</t>
        </is>
      </c>
      <c r="M1413" t="inlineStr">
        <is>
          <t>1002</t>
        </is>
      </c>
      <c r="N1413" t="inlineStr">
        <is>
          <t>Pulgarín Ortiz César Marino (CSI); Montaño Arizala Leidis Claudina (ETR); Villota Rubio Janeth del Carmen (MAT)</t>
        </is>
      </c>
      <c r="O1413" t="inlineStr">
        <is>
          <t>EQUIPO DE 4: cada docente atiende un grupo de estudiantes en su área</t>
        </is>
      </c>
      <c r="P1413" t="inlineStr">
        <is>
          <t>ENFASIS-D5-10°</t>
        </is>
      </c>
      <c r="Q1413">
        <f>IF(I1413="ENFASIS","ÉNFASIS "&amp;M1413,IFERROR(VLOOKUP(J1413,Grupos!$A$2:$D$100,4,FALSE),J1413))</f>
        <v/>
      </c>
      <c r="R1413">
        <f>O1413&amp;IF(N1413&lt;&gt;"",IF(O1413&lt;&gt;""," · ","")&amp;"Con: "&amp;N1413,"")</f>
        <v/>
      </c>
      <c r="S1413">
        <f>C1413&amp;"|"&amp;D1413</f>
        <v/>
      </c>
      <c r="T1413">
        <f>COUNTIF($S$2:S1413,S1413)</f>
        <v/>
      </c>
      <c r="U1413">
        <f>S1413&amp;"|"&amp;T1413</f>
        <v/>
      </c>
      <c r="V1413">
        <f>IFERROR(VLOOKUP(IF(I1413="ENFASIS",LEFT(M1413,FIND("+",M1413&amp;"+")-1),J1413),Direccion_Grupo!$A$2:$G$100,7,FALSE),"")</f>
        <v/>
      </c>
    </row>
    <row r="1414">
      <c r="A1414" t="n">
        <v>31</v>
      </c>
      <c r="B1414" t="inlineStr">
        <is>
          <t>Montaño Arizala Leidis Claudina</t>
        </is>
      </c>
      <c r="C1414" t="inlineStr">
        <is>
          <t>VIERNES</t>
        </is>
      </c>
      <c r="D1414" t="n">
        <v>4</v>
      </c>
      <c r="E1414" t="n">
        <v>2</v>
      </c>
      <c r="F1414" t="n">
        <v>2</v>
      </c>
      <c r="G1414" t="inlineStr">
        <is>
          <t>09:05</t>
        </is>
      </c>
      <c r="H1414" t="inlineStr">
        <is>
          <t>09:50</t>
        </is>
      </c>
      <c r="I1414" t="inlineStr">
        <is>
          <t>ENFASIS</t>
        </is>
      </c>
      <c r="J1414" t="inlineStr"/>
      <c r="K1414" t="inlineStr">
        <is>
          <t>ETR</t>
        </is>
      </c>
      <c r="L1414" t="inlineStr">
        <is>
          <t>D5-10°</t>
        </is>
      </c>
      <c r="M1414" t="inlineStr">
        <is>
          <t>1002</t>
        </is>
      </c>
      <c r="N1414" t="inlineStr">
        <is>
          <t>Pulgarín Ortiz César Marino (CSI); Villota Rubio Janeth del Carmen (MAT); Angulo Lucero Andrés Mauricio (TEI)</t>
        </is>
      </c>
      <c r="O1414" t="inlineStr">
        <is>
          <t>EQUIPO DE 4: cada docente atiende un grupo de estudiantes en su área</t>
        </is>
      </c>
      <c r="P1414" t="inlineStr">
        <is>
          <t>ENFASIS-D5-10°</t>
        </is>
      </c>
      <c r="Q1414">
        <f>IF(I1414="ENFASIS","ÉNFASIS "&amp;M1414,IFERROR(VLOOKUP(J1414,Grupos!$A$2:$D$100,4,FALSE),J1414))</f>
        <v/>
      </c>
      <c r="R1414">
        <f>O1414&amp;IF(N1414&lt;&gt;"",IF(O1414&lt;&gt;""," · ","")&amp;"Con: "&amp;N1414,"")</f>
        <v/>
      </c>
      <c r="S1414">
        <f>C1414&amp;"|"&amp;D1414</f>
        <v/>
      </c>
      <c r="T1414">
        <f>COUNTIF($S$2:S1414,S1414)</f>
        <v/>
      </c>
      <c r="U1414">
        <f>S1414&amp;"|"&amp;T1414</f>
        <v/>
      </c>
      <c r="V1414">
        <f>IFERROR(VLOOKUP(IF(I1414="ENFASIS",LEFT(M1414,FIND("+",M1414&amp;"+")-1),J1414),Direccion_Grupo!$A$2:$G$100,7,FALSE),"")</f>
        <v/>
      </c>
    </row>
    <row r="1415">
      <c r="A1415" t="n">
        <v>40</v>
      </c>
      <c r="B1415" t="inlineStr">
        <is>
          <t>Pulgarín Ortiz César Marino</t>
        </is>
      </c>
      <c r="C1415" t="inlineStr">
        <is>
          <t>VIERNES</t>
        </is>
      </c>
      <c r="D1415" t="n">
        <v>4</v>
      </c>
      <c r="E1415" t="n">
        <v>2</v>
      </c>
      <c r="F1415" t="n">
        <v>2</v>
      </c>
      <c r="G1415" t="inlineStr">
        <is>
          <t>09:05</t>
        </is>
      </c>
      <c r="H1415" t="inlineStr">
        <is>
          <t>09:50</t>
        </is>
      </c>
      <c r="I1415" t="inlineStr">
        <is>
          <t>ENFASIS</t>
        </is>
      </c>
      <c r="J1415" t="inlineStr"/>
      <c r="K1415" t="inlineStr">
        <is>
          <t>CSI</t>
        </is>
      </c>
      <c r="L1415" t="inlineStr">
        <is>
          <t>D5-10°</t>
        </is>
      </c>
      <c r="M1415" t="inlineStr">
        <is>
          <t>1002</t>
        </is>
      </c>
      <c r="N1415" t="inlineStr">
        <is>
          <t>Montaño Arizala Leidis Claudina (ETR); Villota Rubio Janeth del Carmen (MAT); Angulo Lucero Andrés Mauricio (TEI)</t>
        </is>
      </c>
      <c r="O1415" t="inlineStr">
        <is>
          <t>EQUIPO DE 4: cada docente atiende un grupo de estudiantes en su área</t>
        </is>
      </c>
      <c r="P1415" t="inlineStr">
        <is>
          <t>ENFASIS-D5-10°</t>
        </is>
      </c>
      <c r="Q1415">
        <f>IF(I1415="ENFASIS","ÉNFASIS "&amp;M1415,IFERROR(VLOOKUP(J1415,Grupos!$A$2:$D$100,4,FALSE),J1415))</f>
        <v/>
      </c>
      <c r="R1415">
        <f>O1415&amp;IF(N1415&lt;&gt;"",IF(O1415&lt;&gt;""," · ","")&amp;"Con: "&amp;N1415,"")</f>
        <v/>
      </c>
      <c r="S1415">
        <f>C1415&amp;"|"&amp;D1415</f>
        <v/>
      </c>
      <c r="T1415">
        <f>COUNTIF($S$2:S1415,S1415)</f>
        <v/>
      </c>
      <c r="U1415">
        <f>S1415&amp;"|"&amp;T1415</f>
        <v/>
      </c>
      <c r="V1415">
        <f>IFERROR(VLOOKUP(IF(I1415="ENFASIS",LEFT(M1415,FIND("+",M1415&amp;"+")-1),J1415),Direccion_Grupo!$A$2:$G$100,7,FALSE),"")</f>
        <v/>
      </c>
    </row>
    <row r="1416">
      <c r="A1416" t="n">
        <v>54</v>
      </c>
      <c r="B1416" t="inlineStr">
        <is>
          <t>Villota Rubio Janeth del Carmen</t>
        </is>
      </c>
      <c r="C1416" t="inlineStr">
        <is>
          <t>VIERNES</t>
        </is>
      </c>
      <c r="D1416" t="n">
        <v>4</v>
      </c>
      <c r="E1416" t="n">
        <v>2</v>
      </c>
      <c r="F1416" t="n">
        <v>2</v>
      </c>
      <c r="G1416" t="inlineStr">
        <is>
          <t>09:05</t>
        </is>
      </c>
      <c r="H1416" t="inlineStr">
        <is>
          <t>09:50</t>
        </is>
      </c>
      <c r="I1416" t="inlineStr">
        <is>
          <t>ENFASIS</t>
        </is>
      </c>
      <c r="J1416" t="inlineStr"/>
      <c r="K1416" t="inlineStr">
        <is>
          <t>MAT</t>
        </is>
      </c>
      <c r="L1416" t="inlineStr">
        <is>
          <t>D5-10°</t>
        </is>
      </c>
      <c r="M1416" t="inlineStr">
        <is>
          <t>1002</t>
        </is>
      </c>
      <c r="N1416" t="inlineStr">
        <is>
          <t>Pulgarín Ortiz César Marino (CSI); Montaño Arizala Leidis Claudina (ETR); Angulo Lucero Andrés Mauricio (TEI)</t>
        </is>
      </c>
      <c r="O1416" t="inlineStr">
        <is>
          <t>EQUIPO DE 4: cada docente atiende un grupo de estudiantes en su área</t>
        </is>
      </c>
      <c r="P1416" t="inlineStr">
        <is>
          <t>ENFASIS-D5-10°</t>
        </is>
      </c>
      <c r="Q1416">
        <f>IF(I1416="ENFASIS","ÉNFASIS "&amp;M1416,IFERROR(VLOOKUP(J1416,Grupos!$A$2:$D$100,4,FALSE),J1416))</f>
        <v/>
      </c>
      <c r="R1416">
        <f>O1416&amp;IF(N1416&lt;&gt;"",IF(O1416&lt;&gt;""," · ","")&amp;"Con: "&amp;N1416,"")</f>
        <v/>
      </c>
      <c r="S1416">
        <f>C1416&amp;"|"&amp;D1416</f>
        <v/>
      </c>
      <c r="T1416">
        <f>COUNTIF($S$2:S1416,S1416)</f>
        <v/>
      </c>
      <c r="U1416">
        <f>S1416&amp;"|"&amp;T1416</f>
        <v/>
      </c>
      <c r="V1416">
        <f>IFERROR(VLOOKUP(IF(I1416="ENFASIS",LEFT(M1416,FIND("+",M1416&amp;"+")-1),J1416),Direccion_Grupo!$A$2:$G$100,7,FALSE),"")</f>
        <v/>
      </c>
    </row>
    <row r="1417">
      <c r="A1417" t="n">
        <v>50</v>
      </c>
      <c r="B1417" t="inlineStr">
        <is>
          <t>Valencia Solís Gloria Alexa</t>
        </is>
      </c>
      <c r="C1417" t="inlineStr">
        <is>
          <t>VIERNES</t>
        </is>
      </c>
      <c r="D1417" t="n">
        <v>5</v>
      </c>
      <c r="E1417" t="n">
        <v>3</v>
      </c>
      <c r="F1417" t="n">
        <v>1</v>
      </c>
      <c r="G1417" t="inlineStr">
        <is>
          <t>09:30</t>
        </is>
      </c>
      <c r="H1417" t="inlineStr">
        <is>
          <t>10:30</t>
        </is>
      </c>
      <c r="I1417" t="inlineStr">
        <is>
          <t>AREAS_MULTIPLES</t>
        </is>
      </c>
      <c r="J1417" t="inlineStr">
        <is>
          <t>0001</t>
        </is>
      </c>
      <c r="K1417" t="inlineStr">
        <is>
          <t>ÁREAS MÚLTIPLES</t>
        </is>
      </c>
      <c r="L1417" t="inlineStr"/>
      <c r="M1417" t="inlineStr"/>
      <c r="N1417" t="inlineStr"/>
      <c r="O1417" t="inlineStr">
        <is>
          <t>Maestro de aula: todas las áreas con su grupo</t>
        </is>
      </c>
      <c r="P1417" t="inlineStr"/>
      <c r="Q1417">
        <f>IF(I1417="ENFASIS","ÉNFASIS "&amp;M1417,IFERROR(VLOOKUP(J1417,Grupos!$A$2:$D$100,4,FALSE),J1417))</f>
        <v/>
      </c>
      <c r="R1417">
        <f>O1417&amp;IF(N1417&lt;&gt;"",IF(O1417&lt;&gt;""," · ","")&amp;"Con: "&amp;N1417,"")</f>
        <v/>
      </c>
      <c r="S1417">
        <f>C1417&amp;"|"&amp;D1417</f>
        <v/>
      </c>
      <c r="T1417">
        <f>COUNTIF($S$2:S1417,S1417)</f>
        <v/>
      </c>
      <c r="U1417">
        <f>S1417&amp;"|"&amp;T1417</f>
        <v/>
      </c>
      <c r="V1417">
        <f>IFERROR(VLOOKUP(IF(I1417="ENFASIS",LEFT(M1417,FIND("+",M1417&amp;"+")-1),J1417),Direccion_Grupo!$A$2:$G$100,7,FALSE),"")</f>
        <v/>
      </c>
    </row>
    <row r="1418">
      <c r="A1418" t="n">
        <v>27</v>
      </c>
      <c r="B1418" t="inlineStr">
        <is>
          <t>Martínez Álvarez Andrea Ascención</t>
        </is>
      </c>
      <c r="C1418" t="inlineStr">
        <is>
          <t>VIERNES</t>
        </is>
      </c>
      <c r="D1418" t="n">
        <v>5</v>
      </c>
      <c r="E1418" t="n">
        <v>3</v>
      </c>
      <c r="F1418" t="n">
        <v>1</v>
      </c>
      <c r="G1418" t="inlineStr">
        <is>
          <t>09:30</t>
        </is>
      </c>
      <c r="H1418" t="inlineStr">
        <is>
          <t>10:30</t>
        </is>
      </c>
      <c r="I1418" t="inlineStr">
        <is>
          <t>AREAS_MULTIPLES</t>
        </is>
      </c>
      <c r="J1418" t="inlineStr">
        <is>
          <t>0002</t>
        </is>
      </c>
      <c r="K1418" t="inlineStr">
        <is>
          <t>ÁREAS MÚLTIPLES</t>
        </is>
      </c>
      <c r="L1418" t="inlineStr"/>
      <c r="M1418" t="inlineStr"/>
      <c r="N1418" t="inlineStr"/>
      <c r="O1418" t="inlineStr">
        <is>
          <t>Maestro de aula: todas las áreas con su grupo</t>
        </is>
      </c>
      <c r="P1418" t="inlineStr"/>
      <c r="Q1418">
        <f>IF(I1418="ENFASIS","ÉNFASIS "&amp;M1418,IFERROR(VLOOKUP(J1418,Grupos!$A$2:$D$100,4,FALSE),J1418))</f>
        <v/>
      </c>
      <c r="R1418">
        <f>O1418&amp;IF(N1418&lt;&gt;"",IF(O1418&lt;&gt;""," · ","")&amp;"Con: "&amp;N1418,"")</f>
        <v/>
      </c>
      <c r="S1418">
        <f>C1418&amp;"|"&amp;D1418</f>
        <v/>
      </c>
      <c r="T1418">
        <f>COUNTIF($S$2:S1418,S1418)</f>
        <v/>
      </c>
      <c r="U1418">
        <f>S1418&amp;"|"&amp;T1418</f>
        <v/>
      </c>
      <c r="V1418">
        <f>IFERROR(VLOOKUP(IF(I1418="ENFASIS",LEFT(M1418,FIND("+",M1418&amp;"+")-1),J1418),Direccion_Grupo!$A$2:$G$100,7,FALSE),"")</f>
        <v/>
      </c>
    </row>
    <row r="1419">
      <c r="A1419" t="n">
        <v>23</v>
      </c>
      <c r="B1419" t="inlineStr">
        <is>
          <t>Landázuri Quiñones María Elia</t>
        </is>
      </c>
      <c r="C1419" t="inlineStr">
        <is>
          <t>VIERNES</t>
        </is>
      </c>
      <c r="D1419" t="n">
        <v>5</v>
      </c>
      <c r="E1419" t="n">
        <v>3</v>
      </c>
      <c r="F1419" t="n">
        <v>1</v>
      </c>
      <c r="G1419" t="inlineStr">
        <is>
          <t>10:10</t>
        </is>
      </c>
      <c r="H1419" t="inlineStr">
        <is>
          <t>10:55</t>
        </is>
      </c>
      <c r="I1419" t="inlineStr">
        <is>
          <t>AREAS_MULTIPLES</t>
        </is>
      </c>
      <c r="J1419" t="inlineStr">
        <is>
          <t>0101</t>
        </is>
      </c>
      <c r="K1419" t="inlineStr">
        <is>
          <t>ÁREAS MÚLTIPLES</t>
        </is>
      </c>
      <c r="L1419" t="inlineStr"/>
      <c r="M1419" t="inlineStr"/>
      <c r="N1419" t="inlineStr"/>
      <c r="O1419" t="inlineStr">
        <is>
          <t>Maestro de aula: todas las áreas con su grupo</t>
        </is>
      </c>
      <c r="P1419" t="inlineStr"/>
      <c r="Q1419">
        <f>IF(I1419="ENFASIS","ÉNFASIS "&amp;M1419,IFERROR(VLOOKUP(J1419,Grupos!$A$2:$D$100,4,FALSE),J1419))</f>
        <v/>
      </c>
      <c r="R1419">
        <f>O1419&amp;IF(N1419&lt;&gt;"",IF(O1419&lt;&gt;""," · ","")&amp;"Con: "&amp;N1419,"")</f>
        <v/>
      </c>
      <c r="S1419">
        <f>C1419&amp;"|"&amp;D1419</f>
        <v/>
      </c>
      <c r="T1419">
        <f>COUNTIF($S$2:S1419,S1419)</f>
        <v/>
      </c>
      <c r="U1419">
        <f>S1419&amp;"|"&amp;T1419</f>
        <v/>
      </c>
      <c r="V1419">
        <f>IFERROR(VLOOKUP(IF(I1419="ENFASIS",LEFT(M1419,FIND("+",M1419&amp;"+")-1),J1419),Direccion_Grupo!$A$2:$G$100,7,FALSE),"")</f>
        <v/>
      </c>
    </row>
    <row r="1420">
      <c r="A1420" t="n">
        <v>45</v>
      </c>
      <c r="B1420" t="inlineStr">
        <is>
          <t>Sinisterra Ana Lucía</t>
        </is>
      </c>
      <c r="C1420" t="inlineStr">
        <is>
          <t>VIERNES</t>
        </is>
      </c>
      <c r="D1420" t="n">
        <v>5</v>
      </c>
      <c r="E1420" t="n">
        <v>3</v>
      </c>
      <c r="F1420" t="n">
        <v>1</v>
      </c>
      <c r="G1420" t="inlineStr">
        <is>
          <t>10:10</t>
        </is>
      </c>
      <c r="H1420" t="inlineStr">
        <is>
          <t>10:55</t>
        </is>
      </c>
      <c r="I1420" t="inlineStr">
        <is>
          <t>AREAS_MULTIPLES</t>
        </is>
      </c>
      <c r="J1420" t="inlineStr">
        <is>
          <t>0102</t>
        </is>
      </c>
      <c r="K1420" t="inlineStr">
        <is>
          <t>ÁREAS MÚLTIPLES</t>
        </is>
      </c>
      <c r="L1420" t="inlineStr"/>
      <c r="M1420" t="inlineStr"/>
      <c r="N1420" t="inlineStr"/>
      <c r="O1420" t="inlineStr">
        <is>
          <t>Maestro de aula: todas las áreas con su grupo</t>
        </is>
      </c>
      <c r="P1420" t="inlineStr"/>
      <c r="Q1420">
        <f>IF(I1420="ENFASIS","ÉNFASIS "&amp;M1420,IFERROR(VLOOKUP(J1420,Grupos!$A$2:$D$100,4,FALSE),J1420))</f>
        <v/>
      </c>
      <c r="R1420">
        <f>O1420&amp;IF(N1420&lt;&gt;"",IF(O1420&lt;&gt;""," · ","")&amp;"Con: "&amp;N1420,"")</f>
        <v/>
      </c>
      <c r="S1420">
        <f>C1420&amp;"|"&amp;D1420</f>
        <v/>
      </c>
      <c r="T1420">
        <f>COUNTIF($S$2:S1420,S1420)</f>
        <v/>
      </c>
      <c r="U1420">
        <f>S1420&amp;"|"&amp;T1420</f>
        <v/>
      </c>
      <c r="V1420">
        <f>IFERROR(VLOOKUP(IF(I1420="ENFASIS",LEFT(M1420,FIND("+",M1420&amp;"+")-1),J1420),Direccion_Grupo!$A$2:$G$100,7,FALSE),"")</f>
        <v/>
      </c>
    </row>
    <row r="1421">
      <c r="A1421" t="n">
        <v>13</v>
      </c>
      <c r="B1421" t="inlineStr">
        <is>
          <t>Cortés Salazar María Ebelice</t>
        </is>
      </c>
      <c r="C1421" t="inlineStr">
        <is>
          <t>VIERNES</t>
        </is>
      </c>
      <c r="D1421" t="n">
        <v>5</v>
      </c>
      <c r="E1421" t="n">
        <v>3</v>
      </c>
      <c r="F1421" t="n">
        <v>1</v>
      </c>
      <c r="G1421" t="inlineStr">
        <is>
          <t>10:10</t>
        </is>
      </c>
      <c r="H1421" t="inlineStr">
        <is>
          <t>10:55</t>
        </is>
      </c>
      <c r="I1421" t="inlineStr">
        <is>
          <t>AREAS_MULTIPLES</t>
        </is>
      </c>
      <c r="J1421" t="inlineStr">
        <is>
          <t>0201</t>
        </is>
      </c>
      <c r="K1421" t="inlineStr">
        <is>
          <t>ÁREAS MÚLTIPLES</t>
        </is>
      </c>
      <c r="L1421" t="inlineStr"/>
      <c r="M1421" t="inlineStr"/>
      <c r="N1421" t="inlineStr"/>
      <c r="O1421" t="inlineStr">
        <is>
          <t>Maestro de aula: todas las áreas con su grupo</t>
        </is>
      </c>
      <c r="P1421" t="inlineStr"/>
      <c r="Q1421">
        <f>IF(I1421="ENFASIS","ÉNFASIS "&amp;M1421,IFERROR(VLOOKUP(J1421,Grupos!$A$2:$D$100,4,FALSE),J1421))</f>
        <v/>
      </c>
      <c r="R1421">
        <f>O1421&amp;IF(N1421&lt;&gt;"",IF(O1421&lt;&gt;""," · ","")&amp;"Con: "&amp;N1421,"")</f>
        <v/>
      </c>
      <c r="S1421">
        <f>C1421&amp;"|"&amp;D1421</f>
        <v/>
      </c>
      <c r="T1421">
        <f>COUNTIF($S$2:S1421,S1421)</f>
        <v/>
      </c>
      <c r="U1421">
        <f>S1421&amp;"|"&amp;T1421</f>
        <v/>
      </c>
      <c r="V1421">
        <f>IFERROR(VLOOKUP(IF(I1421="ENFASIS",LEFT(M1421,FIND("+",M1421&amp;"+")-1),J1421),Direccion_Grupo!$A$2:$G$100,7,FALSE),"")</f>
        <v/>
      </c>
    </row>
    <row r="1422">
      <c r="A1422" t="n">
        <v>21</v>
      </c>
      <c r="B1422" t="inlineStr">
        <is>
          <t>Garzón Quiñones Sixta Janina</t>
        </is>
      </c>
      <c r="C1422" t="inlineStr">
        <is>
          <t>VIERNES</t>
        </is>
      </c>
      <c r="D1422" t="n">
        <v>5</v>
      </c>
      <c r="E1422" t="n">
        <v>3</v>
      </c>
      <c r="F1422" t="n">
        <v>1</v>
      </c>
      <c r="G1422" t="inlineStr">
        <is>
          <t>10:10</t>
        </is>
      </c>
      <c r="H1422" t="inlineStr">
        <is>
          <t>10:55</t>
        </is>
      </c>
      <c r="I1422" t="inlineStr">
        <is>
          <t>AREAS_MULTIPLES</t>
        </is>
      </c>
      <c r="J1422" t="inlineStr">
        <is>
          <t>0202</t>
        </is>
      </c>
      <c r="K1422" t="inlineStr">
        <is>
          <t>ÁREAS MÚLTIPLES</t>
        </is>
      </c>
      <c r="L1422" t="inlineStr"/>
      <c r="M1422" t="inlineStr"/>
      <c r="N1422" t="inlineStr"/>
      <c r="O1422" t="inlineStr">
        <is>
          <t>Maestro de aula: todas las áreas con su grupo</t>
        </is>
      </c>
      <c r="P1422" t="inlineStr"/>
      <c r="Q1422">
        <f>IF(I1422="ENFASIS","ÉNFASIS "&amp;M1422,IFERROR(VLOOKUP(J1422,Grupos!$A$2:$D$100,4,FALSE),J1422))</f>
        <v/>
      </c>
      <c r="R1422">
        <f>O1422&amp;IF(N1422&lt;&gt;"",IF(O1422&lt;&gt;""," · ","")&amp;"Con: "&amp;N1422,"")</f>
        <v/>
      </c>
      <c r="S1422">
        <f>C1422&amp;"|"&amp;D1422</f>
        <v/>
      </c>
      <c r="T1422">
        <f>COUNTIF($S$2:S1422,S1422)</f>
        <v/>
      </c>
      <c r="U1422">
        <f>S1422&amp;"|"&amp;T1422</f>
        <v/>
      </c>
      <c r="V1422">
        <f>IFERROR(VLOOKUP(IF(I1422="ENFASIS",LEFT(M1422,FIND("+",M1422&amp;"+")-1),J1422),Direccion_Grupo!$A$2:$G$100,7,FALSE),"")</f>
        <v/>
      </c>
    </row>
    <row r="1423">
      <c r="A1423" t="n">
        <v>46</v>
      </c>
      <c r="B1423" t="inlineStr">
        <is>
          <t>Tenorio Cuero Lucy Bivian</t>
        </is>
      </c>
      <c r="C1423" t="inlineStr">
        <is>
          <t>VIERNES</t>
        </is>
      </c>
      <c r="D1423" t="n">
        <v>5</v>
      </c>
      <c r="E1423" t="n">
        <v>3</v>
      </c>
      <c r="F1423" t="n">
        <v>1</v>
      </c>
      <c r="G1423" t="inlineStr">
        <is>
          <t>10:10</t>
        </is>
      </c>
      <c r="H1423" t="inlineStr">
        <is>
          <t>10:55</t>
        </is>
      </c>
      <c r="I1423" t="inlineStr">
        <is>
          <t>AREAS_MULTIPLES</t>
        </is>
      </c>
      <c r="J1423" t="inlineStr">
        <is>
          <t>0203</t>
        </is>
      </c>
      <c r="K1423" t="inlineStr">
        <is>
          <t>ÁREAS MÚLTIPLES</t>
        </is>
      </c>
      <c r="L1423" t="inlineStr"/>
      <c r="M1423" t="inlineStr"/>
      <c r="N1423" t="inlineStr"/>
      <c r="O1423" t="inlineStr">
        <is>
          <t>Maestro de aula: todas las áreas con su grupo</t>
        </is>
      </c>
      <c r="P1423" t="inlineStr"/>
      <c r="Q1423">
        <f>IF(I1423="ENFASIS","ÉNFASIS "&amp;M1423,IFERROR(VLOOKUP(J1423,Grupos!$A$2:$D$100,4,FALSE),J1423))</f>
        <v/>
      </c>
      <c r="R1423">
        <f>O1423&amp;IF(N1423&lt;&gt;"",IF(O1423&lt;&gt;""," · ","")&amp;"Con: "&amp;N1423,"")</f>
        <v/>
      </c>
      <c r="S1423">
        <f>C1423&amp;"|"&amp;D1423</f>
        <v/>
      </c>
      <c r="T1423">
        <f>COUNTIF($S$2:S1423,S1423)</f>
        <v/>
      </c>
      <c r="U1423">
        <f>S1423&amp;"|"&amp;T1423</f>
        <v/>
      </c>
      <c r="V1423">
        <f>IFERROR(VLOOKUP(IF(I1423="ENFASIS",LEFT(M1423,FIND("+",M1423&amp;"+")-1),J1423),Direccion_Grupo!$A$2:$G$100,7,FALSE),"")</f>
        <v/>
      </c>
    </row>
    <row r="1424">
      <c r="A1424" t="n">
        <v>48</v>
      </c>
      <c r="B1424" t="inlineStr">
        <is>
          <t>Torres Segura Encarnación</t>
        </is>
      </c>
      <c r="C1424" t="inlineStr">
        <is>
          <t>VIERNES</t>
        </is>
      </c>
      <c r="D1424" t="n">
        <v>5</v>
      </c>
      <c r="E1424" t="n">
        <v>3</v>
      </c>
      <c r="F1424" t="n">
        <v>1</v>
      </c>
      <c r="G1424" t="inlineStr">
        <is>
          <t>10:10</t>
        </is>
      </c>
      <c r="H1424" t="inlineStr">
        <is>
          <t>10:55</t>
        </is>
      </c>
      <c r="I1424" t="inlineStr">
        <is>
          <t>AREAS_MULTIPLES</t>
        </is>
      </c>
      <c r="J1424" t="inlineStr">
        <is>
          <t>0301</t>
        </is>
      </c>
      <c r="K1424" t="inlineStr">
        <is>
          <t>ÁREAS MÚLTIPLES</t>
        </is>
      </c>
      <c r="L1424" t="inlineStr"/>
      <c r="M1424" t="inlineStr"/>
      <c r="N1424" t="inlineStr"/>
      <c r="O1424" t="inlineStr">
        <is>
          <t>Maestro de aula: todas las áreas con su grupo</t>
        </is>
      </c>
      <c r="P1424" t="inlineStr"/>
      <c r="Q1424">
        <f>IF(I1424="ENFASIS","ÉNFASIS "&amp;M1424,IFERROR(VLOOKUP(J1424,Grupos!$A$2:$D$100,4,FALSE),J1424))</f>
        <v/>
      </c>
      <c r="R1424">
        <f>O1424&amp;IF(N1424&lt;&gt;"",IF(O1424&lt;&gt;""," · ","")&amp;"Con: "&amp;N1424,"")</f>
        <v/>
      </c>
      <c r="S1424">
        <f>C1424&amp;"|"&amp;D1424</f>
        <v/>
      </c>
      <c r="T1424">
        <f>COUNTIF($S$2:S1424,S1424)</f>
        <v/>
      </c>
      <c r="U1424">
        <f>S1424&amp;"|"&amp;T1424</f>
        <v/>
      </c>
      <c r="V1424">
        <f>IFERROR(VLOOKUP(IF(I1424="ENFASIS",LEFT(M1424,FIND("+",M1424&amp;"+")-1),J1424),Direccion_Grupo!$A$2:$G$100,7,FALSE),"")</f>
        <v/>
      </c>
    </row>
    <row r="1425">
      <c r="A1425" t="n">
        <v>24</v>
      </c>
      <c r="B1425" t="inlineStr">
        <is>
          <t>Landázuri Gallón Teresa</t>
        </is>
      </c>
      <c r="C1425" t="inlineStr">
        <is>
          <t>VIERNES</t>
        </is>
      </c>
      <c r="D1425" t="n">
        <v>5</v>
      </c>
      <c r="E1425" t="n">
        <v>3</v>
      </c>
      <c r="F1425" t="n">
        <v>1</v>
      </c>
      <c r="G1425" t="inlineStr">
        <is>
          <t>10:10</t>
        </is>
      </c>
      <c r="H1425" t="inlineStr">
        <is>
          <t>10:55</t>
        </is>
      </c>
      <c r="I1425" t="inlineStr">
        <is>
          <t>AREAS_MULTIPLES</t>
        </is>
      </c>
      <c r="J1425" t="inlineStr">
        <is>
          <t>0302</t>
        </is>
      </c>
      <c r="K1425" t="inlineStr">
        <is>
          <t>ÁREAS MÚLTIPLES</t>
        </is>
      </c>
      <c r="L1425" t="inlineStr"/>
      <c r="M1425" t="inlineStr"/>
      <c r="N1425" t="inlineStr"/>
      <c r="O1425" t="inlineStr">
        <is>
          <t>Maestro de aula: todas las áreas con su grupo</t>
        </is>
      </c>
      <c r="P1425" t="inlineStr"/>
      <c r="Q1425">
        <f>IF(I1425="ENFASIS","ÉNFASIS "&amp;M1425,IFERROR(VLOOKUP(J1425,Grupos!$A$2:$D$100,4,FALSE),J1425))</f>
        <v/>
      </c>
      <c r="R1425">
        <f>O1425&amp;IF(N1425&lt;&gt;"",IF(O1425&lt;&gt;""," · ","")&amp;"Con: "&amp;N1425,"")</f>
        <v/>
      </c>
      <c r="S1425">
        <f>C1425&amp;"|"&amp;D1425</f>
        <v/>
      </c>
      <c r="T1425">
        <f>COUNTIF($S$2:S1425,S1425)</f>
        <v/>
      </c>
      <c r="U1425">
        <f>S1425&amp;"|"&amp;T1425</f>
        <v/>
      </c>
      <c r="V1425">
        <f>IFERROR(VLOOKUP(IF(I1425="ENFASIS",LEFT(M1425,FIND("+",M1425&amp;"+")-1),J1425),Direccion_Grupo!$A$2:$G$100,7,FALSE),"")</f>
        <v/>
      </c>
    </row>
    <row r="1426">
      <c r="A1426" t="n">
        <v>55</v>
      </c>
      <c r="B1426" t="inlineStr">
        <is>
          <t>Zamora Ordóñez Celia Pastora</t>
        </is>
      </c>
      <c r="C1426" t="inlineStr">
        <is>
          <t>VIERNES</t>
        </is>
      </c>
      <c r="D1426" t="n">
        <v>5</v>
      </c>
      <c r="E1426" t="n">
        <v>3</v>
      </c>
      <c r="F1426" t="n">
        <v>1</v>
      </c>
      <c r="G1426" t="inlineStr">
        <is>
          <t>10:10</t>
        </is>
      </c>
      <c r="H1426" t="inlineStr">
        <is>
          <t>10:55</t>
        </is>
      </c>
      <c r="I1426" t="inlineStr">
        <is>
          <t>AREAS_MULTIPLES</t>
        </is>
      </c>
      <c r="J1426" t="inlineStr">
        <is>
          <t>0401</t>
        </is>
      </c>
      <c r="K1426" t="inlineStr">
        <is>
          <t>ÁREAS MÚLTIPLES</t>
        </is>
      </c>
      <c r="L1426" t="inlineStr"/>
      <c r="M1426" t="inlineStr"/>
      <c r="N1426" t="inlineStr"/>
      <c r="O1426" t="inlineStr">
        <is>
          <t>Maestro de aula: todas las áreas con su grupo</t>
        </is>
      </c>
      <c r="P1426" t="inlineStr"/>
      <c r="Q1426">
        <f>IF(I1426="ENFASIS","ÉNFASIS "&amp;M1426,IFERROR(VLOOKUP(J1426,Grupos!$A$2:$D$100,4,FALSE),J1426))</f>
        <v/>
      </c>
      <c r="R1426">
        <f>O1426&amp;IF(N1426&lt;&gt;"",IF(O1426&lt;&gt;""," · ","")&amp;"Con: "&amp;N1426,"")</f>
        <v/>
      </c>
      <c r="S1426">
        <f>C1426&amp;"|"&amp;D1426</f>
        <v/>
      </c>
      <c r="T1426">
        <f>COUNTIF($S$2:S1426,S1426)</f>
        <v/>
      </c>
      <c r="U1426">
        <f>S1426&amp;"|"&amp;T1426</f>
        <v/>
      </c>
      <c r="V1426">
        <f>IFERROR(VLOOKUP(IF(I1426="ENFASIS",LEFT(M1426,FIND("+",M1426&amp;"+")-1),J1426),Direccion_Grupo!$A$2:$G$100,7,FALSE),"")</f>
        <v/>
      </c>
    </row>
    <row r="1427">
      <c r="A1427" t="n">
        <v>33</v>
      </c>
      <c r="B1427" t="inlineStr">
        <is>
          <t>Núñez Perlaza Elcy</t>
        </is>
      </c>
      <c r="C1427" t="inlineStr">
        <is>
          <t>VIERNES</t>
        </is>
      </c>
      <c r="D1427" t="n">
        <v>5</v>
      </c>
      <c r="E1427" t="n">
        <v>3</v>
      </c>
      <c r="F1427" t="n">
        <v>1</v>
      </c>
      <c r="G1427" t="inlineStr">
        <is>
          <t>10:10</t>
        </is>
      </c>
      <c r="H1427" t="inlineStr">
        <is>
          <t>10:55</t>
        </is>
      </c>
      <c r="I1427" t="inlineStr">
        <is>
          <t>AREAS_MULTIPLES</t>
        </is>
      </c>
      <c r="J1427" t="inlineStr">
        <is>
          <t>0402</t>
        </is>
      </c>
      <c r="K1427" t="inlineStr">
        <is>
          <t>ÁREAS MÚLTIPLES</t>
        </is>
      </c>
      <c r="L1427" t="inlineStr"/>
      <c r="M1427" t="inlineStr"/>
      <c r="N1427" t="inlineStr"/>
      <c r="O1427" t="inlineStr">
        <is>
          <t>Maestro de aula: todas las áreas con su grupo</t>
        </is>
      </c>
      <c r="P1427" t="inlineStr"/>
      <c r="Q1427">
        <f>IF(I1427="ENFASIS","ÉNFASIS "&amp;M1427,IFERROR(VLOOKUP(J1427,Grupos!$A$2:$D$100,4,FALSE),J1427))</f>
        <v/>
      </c>
      <c r="R1427">
        <f>O1427&amp;IF(N1427&lt;&gt;"",IF(O1427&lt;&gt;""," · ","")&amp;"Con: "&amp;N1427,"")</f>
        <v/>
      </c>
      <c r="S1427">
        <f>C1427&amp;"|"&amp;D1427</f>
        <v/>
      </c>
      <c r="T1427">
        <f>COUNTIF($S$2:S1427,S1427)</f>
        <v/>
      </c>
      <c r="U1427">
        <f>S1427&amp;"|"&amp;T1427</f>
        <v/>
      </c>
      <c r="V1427">
        <f>IFERROR(VLOOKUP(IF(I1427="ENFASIS",LEFT(M1427,FIND("+",M1427&amp;"+")-1),J1427),Direccion_Grupo!$A$2:$G$100,7,FALSE),"")</f>
        <v/>
      </c>
    </row>
    <row r="1428">
      <c r="A1428" t="n">
        <v>14</v>
      </c>
      <c r="B1428" t="inlineStr">
        <is>
          <t>Cuéllar Gallo Nemesia</t>
        </is>
      </c>
      <c r="C1428" t="inlineStr">
        <is>
          <t>VIERNES</t>
        </is>
      </c>
      <c r="D1428" t="n">
        <v>5</v>
      </c>
      <c r="E1428" t="n">
        <v>3</v>
      </c>
      <c r="F1428" t="n">
        <v>1</v>
      </c>
      <c r="G1428" t="inlineStr">
        <is>
          <t>10:10</t>
        </is>
      </c>
      <c r="H1428" t="inlineStr">
        <is>
          <t>10:55</t>
        </is>
      </c>
      <c r="I1428" t="inlineStr">
        <is>
          <t>AREAS_MULTIPLES</t>
        </is>
      </c>
      <c r="J1428" t="inlineStr">
        <is>
          <t>0501</t>
        </is>
      </c>
      <c r="K1428" t="inlineStr">
        <is>
          <t>ÁREAS MÚLTIPLES</t>
        </is>
      </c>
      <c r="L1428" t="inlineStr"/>
      <c r="M1428" t="inlineStr"/>
      <c r="N1428" t="inlineStr"/>
      <c r="O1428" t="inlineStr">
        <is>
          <t>Maestro de aula: todas las áreas con su grupo</t>
        </is>
      </c>
      <c r="P1428" t="inlineStr"/>
      <c r="Q1428">
        <f>IF(I1428="ENFASIS","ÉNFASIS "&amp;M1428,IFERROR(VLOOKUP(J1428,Grupos!$A$2:$D$100,4,FALSE),J1428))</f>
        <v/>
      </c>
      <c r="R1428">
        <f>O1428&amp;IF(N1428&lt;&gt;"",IF(O1428&lt;&gt;""," · ","")&amp;"Con: "&amp;N1428,"")</f>
        <v/>
      </c>
      <c r="S1428">
        <f>C1428&amp;"|"&amp;D1428</f>
        <v/>
      </c>
      <c r="T1428">
        <f>COUNTIF($S$2:S1428,S1428)</f>
        <v/>
      </c>
      <c r="U1428">
        <f>S1428&amp;"|"&amp;T1428</f>
        <v/>
      </c>
      <c r="V1428">
        <f>IFERROR(VLOOKUP(IF(I1428="ENFASIS",LEFT(M1428,FIND("+",M1428&amp;"+")-1),J1428),Direccion_Grupo!$A$2:$G$100,7,FALSE),"")</f>
        <v/>
      </c>
    </row>
    <row r="1429">
      <c r="A1429" t="n">
        <v>11</v>
      </c>
      <c r="B1429" t="inlineStr">
        <is>
          <t>Centeno Zúñiga Claudia Patricia</t>
        </is>
      </c>
      <c r="C1429" t="inlineStr">
        <is>
          <t>VIERNES</t>
        </is>
      </c>
      <c r="D1429" t="n">
        <v>5</v>
      </c>
      <c r="E1429" t="n">
        <v>3</v>
      </c>
      <c r="F1429" t="n">
        <v>1</v>
      </c>
      <c r="G1429" t="inlineStr">
        <is>
          <t>10:10</t>
        </is>
      </c>
      <c r="H1429" t="inlineStr">
        <is>
          <t>10:55</t>
        </is>
      </c>
      <c r="I1429" t="inlineStr">
        <is>
          <t>AREAS_MULTIPLES</t>
        </is>
      </c>
      <c r="J1429" t="inlineStr">
        <is>
          <t>0502</t>
        </is>
      </c>
      <c r="K1429" t="inlineStr">
        <is>
          <t>ÁREAS MÚLTIPLES</t>
        </is>
      </c>
      <c r="L1429" t="inlineStr"/>
      <c r="M1429" t="inlineStr"/>
      <c r="N1429" t="inlineStr"/>
      <c r="O1429" t="inlineStr">
        <is>
          <t>Maestro de aula: todas las áreas con su grupo</t>
        </is>
      </c>
      <c r="P1429" t="inlineStr"/>
      <c r="Q1429">
        <f>IF(I1429="ENFASIS","ÉNFASIS "&amp;M1429,IFERROR(VLOOKUP(J1429,Grupos!$A$2:$D$100,4,FALSE),J1429))</f>
        <v/>
      </c>
      <c r="R1429">
        <f>O1429&amp;IF(N1429&lt;&gt;"",IF(O1429&lt;&gt;""," · ","")&amp;"Con: "&amp;N1429,"")</f>
        <v/>
      </c>
      <c r="S1429">
        <f>C1429&amp;"|"&amp;D1429</f>
        <v/>
      </c>
      <c r="T1429">
        <f>COUNTIF($S$2:S1429,S1429)</f>
        <v/>
      </c>
      <c r="U1429">
        <f>S1429&amp;"|"&amp;T1429</f>
        <v/>
      </c>
      <c r="V1429">
        <f>IFERROR(VLOOKUP(IF(I1429="ENFASIS",LEFT(M1429,FIND("+",M1429&amp;"+")-1),J1429),Direccion_Grupo!$A$2:$G$100,7,FALSE),"")</f>
        <v/>
      </c>
    </row>
    <row r="1430">
      <c r="A1430" t="n">
        <v>32</v>
      </c>
      <c r="B1430" t="inlineStr">
        <is>
          <t>Narváez Sánchez Dora Alejandra</t>
        </is>
      </c>
      <c r="C1430" t="inlineStr">
        <is>
          <t>VIERNES</t>
        </is>
      </c>
      <c r="D1430" t="n">
        <v>5</v>
      </c>
      <c r="E1430" t="n">
        <v>3</v>
      </c>
      <c r="F1430" t="n">
        <v>1</v>
      </c>
      <c r="G1430" t="inlineStr">
        <is>
          <t>10:10</t>
        </is>
      </c>
      <c r="H1430" t="inlineStr">
        <is>
          <t>10:55</t>
        </is>
      </c>
      <c r="I1430" t="inlineStr">
        <is>
          <t>AREAS_MULTIPLES</t>
        </is>
      </c>
      <c r="J1430" t="inlineStr">
        <is>
          <t>0503</t>
        </is>
      </c>
      <c r="K1430" t="inlineStr">
        <is>
          <t>ÁREAS MÚLTIPLES</t>
        </is>
      </c>
      <c r="L1430" t="inlineStr"/>
      <c r="M1430" t="inlineStr"/>
      <c r="N1430" t="inlineStr"/>
      <c r="O1430" t="inlineStr">
        <is>
          <t>Maestro de aula: todas las áreas con su grupo</t>
        </is>
      </c>
      <c r="P1430" t="inlineStr"/>
      <c r="Q1430">
        <f>IF(I1430="ENFASIS","ÉNFASIS "&amp;M1430,IFERROR(VLOOKUP(J1430,Grupos!$A$2:$D$100,4,FALSE),J1430))</f>
        <v/>
      </c>
      <c r="R1430">
        <f>O1430&amp;IF(N1430&lt;&gt;"",IF(O1430&lt;&gt;""," · ","")&amp;"Con: "&amp;N1430,"")</f>
        <v/>
      </c>
      <c r="S1430">
        <f>C1430&amp;"|"&amp;D1430</f>
        <v/>
      </c>
      <c r="T1430">
        <f>COUNTIF($S$2:S1430,S1430)</f>
        <v/>
      </c>
      <c r="U1430">
        <f>S1430&amp;"|"&amp;T1430</f>
        <v/>
      </c>
      <c r="V1430">
        <f>IFERROR(VLOOKUP(IF(I1430="ENFASIS",LEFT(M1430,FIND("+",M1430&amp;"+")-1),J1430),Direccion_Grupo!$A$2:$G$100,7,FALSE),"")</f>
        <v/>
      </c>
    </row>
    <row r="1431">
      <c r="A1431" t="n">
        <v>17</v>
      </c>
      <c r="B1431" t="inlineStr">
        <is>
          <t>Escobar Cortés Liliana</t>
        </is>
      </c>
      <c r="C1431" t="inlineStr">
        <is>
          <t>VIERNES</t>
        </is>
      </c>
      <c r="D1431" t="n">
        <v>5</v>
      </c>
      <c r="E1431" t="n">
        <v>3</v>
      </c>
      <c r="F1431" t="n">
        <v>1</v>
      </c>
      <c r="G1431" t="inlineStr">
        <is>
          <t>10:10</t>
        </is>
      </c>
      <c r="H1431" t="inlineStr">
        <is>
          <t>10:55</t>
        </is>
      </c>
      <c r="I1431" t="inlineStr">
        <is>
          <t>AREAS_MULTIPLES</t>
        </is>
      </c>
      <c r="J1431" t="inlineStr">
        <is>
          <t>0504</t>
        </is>
      </c>
      <c r="K1431" t="inlineStr">
        <is>
          <t>ÁREAS MÚLTIPLES</t>
        </is>
      </c>
      <c r="L1431" t="inlineStr"/>
      <c r="M1431" t="inlineStr"/>
      <c r="N1431" t="inlineStr"/>
      <c r="O1431" t="inlineStr">
        <is>
          <t>Maestro de aula: todas las áreas con su grupo</t>
        </is>
      </c>
      <c r="P1431" t="inlineStr"/>
      <c r="Q1431">
        <f>IF(I1431="ENFASIS","ÉNFASIS "&amp;M1431,IFERROR(VLOOKUP(J1431,Grupos!$A$2:$D$100,4,FALSE),J1431))</f>
        <v/>
      </c>
      <c r="R1431">
        <f>O1431&amp;IF(N1431&lt;&gt;"",IF(O1431&lt;&gt;""," · ","")&amp;"Con: "&amp;N1431,"")</f>
        <v/>
      </c>
      <c r="S1431">
        <f>C1431&amp;"|"&amp;D1431</f>
        <v/>
      </c>
      <c r="T1431">
        <f>COUNTIF($S$2:S1431,S1431)</f>
        <v/>
      </c>
      <c r="U1431">
        <f>S1431&amp;"|"&amp;T1431</f>
        <v/>
      </c>
      <c r="V1431">
        <f>IFERROR(VLOOKUP(IF(I1431="ENFASIS",LEFT(M1431,FIND("+",M1431&amp;"+")-1),J1431),Direccion_Grupo!$A$2:$G$100,7,FALSE),"")</f>
        <v/>
      </c>
    </row>
    <row r="1432">
      <c r="A1432" t="n">
        <v>26</v>
      </c>
      <c r="B1432" t="inlineStr">
        <is>
          <t>Lozano Torres Amanda Inés</t>
        </is>
      </c>
      <c r="C1432" t="inlineStr">
        <is>
          <t>VIERNES</t>
        </is>
      </c>
      <c r="D1432" t="n">
        <v>5</v>
      </c>
      <c r="E1432" t="n">
        <v>3</v>
      </c>
      <c r="F1432" t="n">
        <v>1</v>
      </c>
      <c r="G1432" t="inlineStr">
        <is>
          <t>10:10</t>
        </is>
      </c>
      <c r="H1432" t="inlineStr">
        <is>
          <t>10:55</t>
        </is>
      </c>
      <c r="I1432" t="inlineStr">
        <is>
          <t>CLASE</t>
        </is>
      </c>
      <c r="J1432" t="inlineStr">
        <is>
          <t>0601</t>
        </is>
      </c>
      <c r="K1432" t="inlineStr">
        <is>
          <t>ETR</t>
        </is>
      </c>
      <c r="L1432" t="inlineStr"/>
      <c r="M1432" t="inlineStr"/>
      <c r="N1432" t="inlineStr"/>
      <c r="O1432" t="inlineStr">
        <is>
          <t>Ética / Religión (alternan cada semana)</t>
        </is>
      </c>
      <c r="P1432" t="inlineStr">
        <is>
          <t>0601-ETR</t>
        </is>
      </c>
      <c r="Q1432">
        <f>IF(I1432="ENFASIS","ÉNFASIS "&amp;M1432,IFERROR(VLOOKUP(J1432,Grupos!$A$2:$D$100,4,FALSE),J1432))</f>
        <v/>
      </c>
      <c r="R1432">
        <f>O1432&amp;IF(N1432&lt;&gt;"",IF(O1432&lt;&gt;""," · ","")&amp;"Con: "&amp;N1432,"")</f>
        <v/>
      </c>
      <c r="S1432">
        <f>C1432&amp;"|"&amp;D1432</f>
        <v/>
      </c>
      <c r="T1432">
        <f>COUNTIF($S$2:S1432,S1432)</f>
        <v/>
      </c>
      <c r="U1432">
        <f>S1432&amp;"|"&amp;T1432</f>
        <v/>
      </c>
      <c r="V1432">
        <f>IFERROR(VLOOKUP(IF(I1432="ENFASIS",LEFT(M1432,FIND("+",M1432&amp;"+")-1),J1432),Direccion_Grupo!$A$2:$G$100,7,FALSE),"")</f>
        <v/>
      </c>
    </row>
    <row r="1433">
      <c r="A1433" t="n">
        <v>57</v>
      </c>
      <c r="B1433" t="inlineStr">
        <is>
          <t>Armero Dájome Jesús</t>
        </is>
      </c>
      <c r="C1433" t="inlineStr">
        <is>
          <t>VIERNES</t>
        </is>
      </c>
      <c r="D1433" t="n">
        <v>5</v>
      </c>
      <c r="E1433" t="n">
        <v>3</v>
      </c>
      <c r="F1433" t="n">
        <v>1</v>
      </c>
      <c r="G1433" t="inlineStr">
        <is>
          <t>10:10</t>
        </is>
      </c>
      <c r="H1433" t="inlineStr">
        <is>
          <t>10:55</t>
        </is>
      </c>
      <c r="I1433" t="inlineStr">
        <is>
          <t>CLASE</t>
        </is>
      </c>
      <c r="J1433" t="inlineStr">
        <is>
          <t>0602</t>
        </is>
      </c>
      <c r="K1433" t="inlineStr">
        <is>
          <t>ERD</t>
        </is>
      </c>
      <c r="L1433" t="inlineStr"/>
      <c r="M1433" t="inlineStr"/>
      <c r="N1433" t="inlineStr"/>
      <c r="O1433" t="inlineStr"/>
      <c r="P1433" t="inlineStr">
        <is>
          <t>0602-ERD</t>
        </is>
      </c>
      <c r="Q1433">
        <f>IF(I1433="ENFASIS","ÉNFASIS "&amp;M1433,IFERROR(VLOOKUP(J1433,Grupos!$A$2:$D$100,4,FALSE),J1433))</f>
        <v/>
      </c>
      <c r="R1433">
        <f>O1433&amp;IF(N1433&lt;&gt;"",IF(O1433&lt;&gt;""," · ","")&amp;"Con: "&amp;N1433,"")</f>
        <v/>
      </c>
      <c r="S1433">
        <f>C1433&amp;"|"&amp;D1433</f>
        <v/>
      </c>
      <c r="T1433">
        <f>COUNTIF($S$2:S1433,S1433)</f>
        <v/>
      </c>
      <c r="U1433">
        <f>S1433&amp;"|"&amp;T1433</f>
        <v/>
      </c>
      <c r="V1433">
        <f>IFERROR(VLOOKUP(IF(I1433="ENFASIS",LEFT(M1433,FIND("+",M1433&amp;"+")-1),J1433),Direccion_Grupo!$A$2:$G$100,7,FALSE),"")</f>
        <v/>
      </c>
    </row>
    <row r="1434">
      <c r="A1434" t="n">
        <v>34</v>
      </c>
      <c r="B1434" t="inlineStr">
        <is>
          <t>Ordóñez Tenorio Jaime Marcial</t>
        </is>
      </c>
      <c r="C1434" t="inlineStr">
        <is>
          <t>VIERNES</t>
        </is>
      </c>
      <c r="D1434" t="n">
        <v>5</v>
      </c>
      <c r="E1434" t="n">
        <v>3</v>
      </c>
      <c r="F1434" t="n">
        <v>1</v>
      </c>
      <c r="G1434" t="inlineStr">
        <is>
          <t>10:10</t>
        </is>
      </c>
      <c r="H1434" t="inlineStr">
        <is>
          <t>10:55</t>
        </is>
      </c>
      <c r="I1434" t="inlineStr">
        <is>
          <t>CLASE</t>
        </is>
      </c>
      <c r="J1434" t="inlineStr">
        <is>
          <t>0701</t>
        </is>
      </c>
      <c r="K1434" t="inlineStr">
        <is>
          <t>CNA</t>
        </is>
      </c>
      <c r="L1434" t="inlineStr"/>
      <c r="M1434" t="inlineStr"/>
      <c r="N1434" t="inlineStr"/>
      <c r="O1434" t="inlineStr"/>
      <c r="P1434" t="inlineStr">
        <is>
          <t>0701-CNA</t>
        </is>
      </c>
      <c r="Q1434">
        <f>IF(I1434="ENFASIS","ÉNFASIS "&amp;M1434,IFERROR(VLOOKUP(J1434,Grupos!$A$2:$D$100,4,FALSE),J1434))</f>
        <v/>
      </c>
      <c r="R1434">
        <f>O1434&amp;IF(N1434&lt;&gt;"",IF(O1434&lt;&gt;""," · ","")&amp;"Con: "&amp;N1434,"")</f>
        <v/>
      </c>
      <c r="S1434">
        <f>C1434&amp;"|"&amp;D1434</f>
        <v/>
      </c>
      <c r="T1434">
        <f>COUNTIF($S$2:S1434,S1434)</f>
        <v/>
      </c>
      <c r="U1434">
        <f>S1434&amp;"|"&amp;T1434</f>
        <v/>
      </c>
      <c r="V1434">
        <f>IFERROR(VLOOKUP(IF(I1434="ENFASIS",LEFT(M1434,FIND("+",M1434&amp;"+")-1),J1434),Direccion_Grupo!$A$2:$G$100,7,FALSE),"")</f>
        <v/>
      </c>
    </row>
    <row r="1435">
      <c r="A1435" t="n">
        <v>41</v>
      </c>
      <c r="B1435" t="inlineStr">
        <is>
          <t>Quintero Ramírez María del Carmen</t>
        </is>
      </c>
      <c r="C1435" t="inlineStr">
        <is>
          <t>VIERNES</t>
        </is>
      </c>
      <c r="D1435" t="n">
        <v>5</v>
      </c>
      <c r="E1435" t="n">
        <v>3</v>
      </c>
      <c r="F1435" t="n">
        <v>1</v>
      </c>
      <c r="G1435" t="inlineStr">
        <is>
          <t>10:10</t>
        </is>
      </c>
      <c r="H1435" t="inlineStr">
        <is>
          <t>10:55</t>
        </is>
      </c>
      <c r="I1435" t="inlineStr">
        <is>
          <t>CLASE</t>
        </is>
      </c>
      <c r="J1435" t="inlineStr">
        <is>
          <t>0702</t>
        </is>
      </c>
      <c r="K1435" t="inlineStr">
        <is>
          <t>CSI</t>
        </is>
      </c>
      <c r="L1435" t="inlineStr"/>
      <c r="M1435" t="inlineStr"/>
      <c r="N1435" t="inlineStr"/>
      <c r="O1435" t="inlineStr">
        <is>
          <t>Sociales / Inglés (alternan cada semana)</t>
        </is>
      </c>
      <c r="P1435" t="inlineStr">
        <is>
          <t>0702-CSI</t>
        </is>
      </c>
      <c r="Q1435">
        <f>IF(I1435="ENFASIS","ÉNFASIS "&amp;M1435,IFERROR(VLOOKUP(J1435,Grupos!$A$2:$D$100,4,FALSE),J1435))</f>
        <v/>
      </c>
      <c r="R1435">
        <f>O1435&amp;IF(N1435&lt;&gt;"",IF(O1435&lt;&gt;""," · ","")&amp;"Con: "&amp;N1435,"")</f>
        <v/>
      </c>
      <c r="S1435">
        <f>C1435&amp;"|"&amp;D1435</f>
        <v/>
      </c>
      <c r="T1435">
        <f>COUNTIF($S$2:S1435,S1435)</f>
        <v/>
      </c>
      <c r="U1435">
        <f>S1435&amp;"|"&amp;T1435</f>
        <v/>
      </c>
      <c r="V1435">
        <f>IFERROR(VLOOKUP(IF(I1435="ENFASIS",LEFT(M1435,FIND("+",M1435&amp;"+")-1),J1435),Direccion_Grupo!$A$2:$G$100,7,FALSE),"")</f>
        <v/>
      </c>
    </row>
    <row r="1436">
      <c r="A1436" t="n">
        <v>39</v>
      </c>
      <c r="B1436" t="inlineStr">
        <is>
          <t>Puches Ana Milena</t>
        </is>
      </c>
      <c r="C1436" t="inlineStr">
        <is>
          <t>VIERNES</t>
        </is>
      </c>
      <c r="D1436" t="n">
        <v>5</v>
      </c>
      <c r="E1436" t="n">
        <v>3</v>
      </c>
      <c r="F1436" t="n">
        <v>1</v>
      </c>
      <c r="G1436" t="inlineStr">
        <is>
          <t>10:10</t>
        </is>
      </c>
      <c r="H1436" t="inlineStr">
        <is>
          <t>10:55</t>
        </is>
      </c>
      <c r="I1436" t="inlineStr">
        <is>
          <t>CLASE</t>
        </is>
      </c>
      <c r="J1436" t="inlineStr">
        <is>
          <t>0703</t>
        </is>
      </c>
      <c r="K1436" t="inlineStr">
        <is>
          <t>ART</t>
        </is>
      </c>
      <c r="L1436" t="inlineStr"/>
      <c r="M1436" t="inlineStr"/>
      <c r="N1436" t="inlineStr"/>
      <c r="O1436" t="inlineStr"/>
      <c r="P1436" t="inlineStr">
        <is>
          <t>0703-ART</t>
        </is>
      </c>
      <c r="Q1436">
        <f>IF(I1436="ENFASIS","ÉNFASIS "&amp;M1436,IFERROR(VLOOKUP(J1436,Grupos!$A$2:$D$100,4,FALSE),J1436))</f>
        <v/>
      </c>
      <c r="R1436">
        <f>O1436&amp;IF(N1436&lt;&gt;"",IF(O1436&lt;&gt;""," · ","")&amp;"Con: "&amp;N1436,"")</f>
        <v/>
      </c>
      <c r="S1436">
        <f>C1436&amp;"|"&amp;D1436</f>
        <v/>
      </c>
      <c r="T1436">
        <f>COUNTIF($S$2:S1436,S1436)</f>
        <v/>
      </c>
      <c r="U1436">
        <f>S1436&amp;"|"&amp;T1436</f>
        <v/>
      </c>
      <c r="V1436">
        <f>IFERROR(VLOOKUP(IF(I1436="ENFASIS",LEFT(M1436,FIND("+",M1436&amp;"+")-1),J1436),Direccion_Grupo!$A$2:$G$100,7,FALSE),"")</f>
        <v/>
      </c>
    </row>
    <row r="1437">
      <c r="A1437" t="n">
        <v>52</v>
      </c>
      <c r="B1437" t="inlineStr">
        <is>
          <t>Vásquez Valencia Segundo Leoncio</t>
        </is>
      </c>
      <c r="C1437" t="inlineStr">
        <is>
          <t>VIERNES</t>
        </is>
      </c>
      <c r="D1437" t="n">
        <v>5</v>
      </c>
      <c r="E1437" t="n">
        <v>3</v>
      </c>
      <c r="F1437" t="n">
        <v>1</v>
      </c>
      <c r="G1437" t="inlineStr">
        <is>
          <t>10:10</t>
        </is>
      </c>
      <c r="H1437" t="inlineStr">
        <is>
          <t>10:55</t>
        </is>
      </c>
      <c r="I1437" t="inlineStr">
        <is>
          <t>CLASE</t>
        </is>
      </c>
      <c r="J1437" t="inlineStr">
        <is>
          <t>0704</t>
        </is>
      </c>
      <c r="K1437" t="inlineStr">
        <is>
          <t>MAT</t>
        </is>
      </c>
      <c r="L1437" t="inlineStr"/>
      <c r="M1437" t="inlineStr"/>
      <c r="N1437" t="inlineStr"/>
      <c r="O1437" t="inlineStr"/>
      <c r="P1437" t="inlineStr">
        <is>
          <t>0704-MAT</t>
        </is>
      </c>
      <c r="Q1437">
        <f>IF(I1437="ENFASIS","ÉNFASIS "&amp;M1437,IFERROR(VLOOKUP(J1437,Grupos!$A$2:$D$100,4,FALSE),J1437))</f>
        <v/>
      </c>
      <c r="R1437">
        <f>O1437&amp;IF(N1437&lt;&gt;"",IF(O1437&lt;&gt;""," · ","")&amp;"Con: "&amp;N1437,"")</f>
        <v/>
      </c>
      <c r="S1437">
        <f>C1437&amp;"|"&amp;D1437</f>
        <v/>
      </c>
      <c r="T1437">
        <f>COUNTIF($S$2:S1437,S1437)</f>
        <v/>
      </c>
      <c r="U1437">
        <f>S1437&amp;"|"&amp;T1437</f>
        <v/>
      </c>
      <c r="V1437">
        <f>IFERROR(VLOOKUP(IF(I1437="ENFASIS",LEFT(M1437,FIND("+",M1437&amp;"+")-1),J1437),Direccion_Grupo!$A$2:$G$100,7,FALSE),"")</f>
        <v/>
      </c>
    </row>
    <row r="1438">
      <c r="A1438" t="n">
        <v>38</v>
      </c>
      <c r="B1438" t="inlineStr">
        <is>
          <t>Preciado Torres Oleisa</t>
        </is>
      </c>
      <c r="C1438" t="inlineStr">
        <is>
          <t>VIERNES</t>
        </is>
      </c>
      <c r="D1438" t="n">
        <v>5</v>
      </c>
      <c r="E1438" t="n">
        <v>3</v>
      </c>
      <c r="F1438" t="n">
        <v>1</v>
      </c>
      <c r="G1438" t="inlineStr">
        <is>
          <t>10:10</t>
        </is>
      </c>
      <c r="H1438" t="inlineStr">
        <is>
          <t>10:55</t>
        </is>
      </c>
      <c r="I1438" t="inlineStr">
        <is>
          <t>CLASE</t>
        </is>
      </c>
      <c r="J1438" t="inlineStr">
        <is>
          <t>0802</t>
        </is>
      </c>
      <c r="K1438" t="inlineStr">
        <is>
          <t>MAT</t>
        </is>
      </c>
      <c r="L1438" t="inlineStr"/>
      <c r="M1438" t="inlineStr"/>
      <c r="N1438" t="inlineStr"/>
      <c r="O1438" t="inlineStr"/>
      <c r="P1438" t="inlineStr">
        <is>
          <t>0802-MAT</t>
        </is>
      </c>
      <c r="Q1438">
        <f>IF(I1438="ENFASIS","ÉNFASIS "&amp;M1438,IFERROR(VLOOKUP(J1438,Grupos!$A$2:$D$100,4,FALSE),J1438))</f>
        <v/>
      </c>
      <c r="R1438">
        <f>O1438&amp;IF(N1438&lt;&gt;"",IF(O1438&lt;&gt;""," · ","")&amp;"Con: "&amp;N1438,"")</f>
        <v/>
      </c>
      <c r="S1438">
        <f>C1438&amp;"|"&amp;D1438</f>
        <v/>
      </c>
      <c r="T1438">
        <f>COUNTIF($S$2:S1438,S1438)</f>
        <v/>
      </c>
      <c r="U1438">
        <f>S1438&amp;"|"&amp;T1438</f>
        <v/>
      </c>
      <c r="V1438">
        <f>IFERROR(VLOOKUP(IF(I1438="ENFASIS",LEFT(M1438,FIND("+",M1438&amp;"+")-1),J1438),Direccion_Grupo!$A$2:$G$100,7,FALSE),"")</f>
        <v/>
      </c>
    </row>
    <row r="1439">
      <c r="A1439" t="n">
        <v>22</v>
      </c>
      <c r="B1439" t="inlineStr">
        <is>
          <t>González Castillo Jólmer Jimy</t>
        </is>
      </c>
      <c r="C1439" t="inlineStr">
        <is>
          <t>VIERNES</t>
        </is>
      </c>
      <c r="D1439" t="n">
        <v>5</v>
      </c>
      <c r="E1439" t="n">
        <v>3</v>
      </c>
      <c r="F1439" t="n">
        <v>1</v>
      </c>
      <c r="G1439" t="inlineStr">
        <is>
          <t>10:10</t>
        </is>
      </c>
      <c r="H1439" t="inlineStr">
        <is>
          <t>10:55</t>
        </is>
      </c>
      <c r="I1439" t="inlineStr">
        <is>
          <t>CLASE</t>
        </is>
      </c>
      <c r="J1439" t="inlineStr">
        <is>
          <t>0901</t>
        </is>
      </c>
      <c r="K1439" t="inlineStr">
        <is>
          <t>ERD</t>
        </is>
      </c>
      <c r="L1439" t="inlineStr"/>
      <c r="M1439" t="inlineStr"/>
      <c r="N1439" t="inlineStr"/>
      <c r="O1439" t="inlineStr"/>
      <c r="P1439" t="inlineStr">
        <is>
          <t>0901-ERD</t>
        </is>
      </c>
      <c r="Q1439">
        <f>IF(I1439="ENFASIS","ÉNFASIS "&amp;M1439,IFERROR(VLOOKUP(J1439,Grupos!$A$2:$D$100,4,FALSE),J1439))</f>
        <v/>
      </c>
      <c r="R1439">
        <f>O1439&amp;IF(N1439&lt;&gt;"",IF(O1439&lt;&gt;""," · ","")&amp;"Con: "&amp;N1439,"")</f>
        <v/>
      </c>
      <c r="S1439">
        <f>C1439&amp;"|"&amp;D1439</f>
        <v/>
      </c>
      <c r="T1439">
        <f>COUNTIF($S$2:S1439,S1439)</f>
        <v/>
      </c>
      <c r="U1439">
        <f>S1439&amp;"|"&amp;T1439</f>
        <v/>
      </c>
      <c r="V1439">
        <f>IFERROR(VLOOKUP(IF(I1439="ENFASIS",LEFT(M1439,FIND("+",M1439&amp;"+")-1),J1439),Direccion_Grupo!$A$2:$G$100,7,FALSE),"")</f>
        <v/>
      </c>
    </row>
    <row r="1440">
      <c r="A1440" t="n">
        <v>25</v>
      </c>
      <c r="B1440" t="inlineStr">
        <is>
          <t>Lemos Guancha Miriam</t>
        </is>
      </c>
      <c r="C1440" t="inlineStr">
        <is>
          <t>VIERNES</t>
        </is>
      </c>
      <c r="D1440" t="n">
        <v>5</v>
      </c>
      <c r="E1440" t="n">
        <v>3</v>
      </c>
      <c r="F1440" t="n">
        <v>1</v>
      </c>
      <c r="G1440" t="inlineStr">
        <is>
          <t>10:10</t>
        </is>
      </c>
      <c r="H1440" t="inlineStr">
        <is>
          <t>10:55</t>
        </is>
      </c>
      <c r="I1440" t="inlineStr">
        <is>
          <t>CLASE</t>
        </is>
      </c>
      <c r="J1440" t="inlineStr">
        <is>
          <t>0902</t>
        </is>
      </c>
      <c r="K1440" t="inlineStr">
        <is>
          <t>CNA</t>
        </is>
      </c>
      <c r="L1440" t="inlineStr"/>
      <c r="M1440" t="inlineStr"/>
      <c r="N1440" t="inlineStr"/>
      <c r="O1440" t="inlineStr"/>
      <c r="P1440" t="inlineStr">
        <is>
          <t>0902-CNA</t>
        </is>
      </c>
      <c r="Q1440">
        <f>IF(I1440="ENFASIS","ÉNFASIS "&amp;M1440,IFERROR(VLOOKUP(J1440,Grupos!$A$2:$D$100,4,FALSE),J1440))</f>
        <v/>
      </c>
      <c r="R1440">
        <f>O1440&amp;IF(N1440&lt;&gt;"",IF(O1440&lt;&gt;""," · ","")&amp;"Con: "&amp;N1440,"")</f>
        <v/>
      </c>
      <c r="S1440">
        <f>C1440&amp;"|"&amp;D1440</f>
        <v/>
      </c>
      <c r="T1440">
        <f>COUNTIF($S$2:S1440,S1440)</f>
        <v/>
      </c>
      <c r="U1440">
        <f>S1440&amp;"|"&amp;T1440</f>
        <v/>
      </c>
      <c r="V1440">
        <f>IFERROR(VLOOKUP(IF(I1440="ENFASIS",LEFT(M1440,FIND("+",M1440&amp;"+")-1),J1440),Direccion_Grupo!$A$2:$G$100,7,FALSE),"")</f>
        <v/>
      </c>
    </row>
    <row r="1441">
      <c r="A1441" t="n">
        <v>54</v>
      </c>
      <c r="B1441" t="inlineStr">
        <is>
          <t>Villota Rubio Janeth del Carmen</t>
        </is>
      </c>
      <c r="C1441" t="inlineStr">
        <is>
          <t>VIERNES</t>
        </is>
      </c>
      <c r="D1441" t="n">
        <v>5</v>
      </c>
      <c r="E1441" t="n">
        <v>3</v>
      </c>
      <c r="F1441" t="n">
        <v>1</v>
      </c>
      <c r="G1441" t="inlineStr">
        <is>
          <t>10:10</t>
        </is>
      </c>
      <c r="H1441" t="inlineStr">
        <is>
          <t>10:55</t>
        </is>
      </c>
      <c r="I1441" t="inlineStr">
        <is>
          <t>CLASE</t>
        </is>
      </c>
      <c r="J1441" t="inlineStr">
        <is>
          <t>1002</t>
        </is>
      </c>
      <c r="K1441" t="inlineStr">
        <is>
          <t>MAT</t>
        </is>
      </c>
      <c r="L1441" t="inlineStr"/>
      <c r="M1441" t="inlineStr"/>
      <c r="N1441" t="inlineStr"/>
      <c r="O1441" t="inlineStr"/>
      <c r="P1441" t="inlineStr">
        <is>
          <t>1002-MAT</t>
        </is>
      </c>
      <c r="Q1441">
        <f>IF(I1441="ENFASIS","ÉNFASIS "&amp;M1441,IFERROR(VLOOKUP(J1441,Grupos!$A$2:$D$100,4,FALSE),J1441))</f>
        <v/>
      </c>
      <c r="R1441">
        <f>O1441&amp;IF(N1441&lt;&gt;"",IF(O1441&lt;&gt;""," · ","")&amp;"Con: "&amp;N1441,"")</f>
        <v/>
      </c>
      <c r="S1441">
        <f>C1441&amp;"|"&amp;D1441</f>
        <v/>
      </c>
      <c r="T1441">
        <f>COUNTIF($S$2:S1441,S1441)</f>
        <v/>
      </c>
      <c r="U1441">
        <f>S1441&amp;"|"&amp;T1441</f>
        <v/>
      </c>
      <c r="V1441">
        <f>IFERROR(VLOOKUP(IF(I1441="ENFASIS",LEFT(M1441,FIND("+",M1441&amp;"+")-1),J1441),Direccion_Grupo!$A$2:$G$100,7,FALSE),"")</f>
        <v/>
      </c>
    </row>
    <row r="1442">
      <c r="A1442" t="n">
        <v>40</v>
      </c>
      <c r="B1442" t="inlineStr">
        <is>
          <t>Pulgarín Ortiz César Marino</t>
        </is>
      </c>
      <c r="C1442" t="inlineStr">
        <is>
          <t>VIERNES</t>
        </is>
      </c>
      <c r="D1442" t="n">
        <v>5</v>
      </c>
      <c r="E1442" t="n">
        <v>3</v>
      </c>
      <c r="F1442" t="n">
        <v>1</v>
      </c>
      <c r="G1442" t="inlineStr">
        <is>
          <t>10:10</t>
        </is>
      </c>
      <c r="H1442" t="inlineStr">
        <is>
          <t>10:55</t>
        </is>
      </c>
      <c r="I1442" t="inlineStr">
        <is>
          <t>CLASE</t>
        </is>
      </c>
      <c r="J1442" t="inlineStr">
        <is>
          <t>1101</t>
        </is>
      </c>
      <c r="K1442" t="inlineStr">
        <is>
          <t>CSI</t>
        </is>
      </c>
      <c r="L1442" t="inlineStr"/>
      <c r="M1442" t="inlineStr"/>
      <c r="N1442" t="inlineStr"/>
      <c r="O1442" t="inlineStr">
        <is>
          <t>Sociales / Inglés (alternan cada semana)</t>
        </is>
      </c>
      <c r="P1442" t="inlineStr">
        <is>
          <t>1101-CSI</t>
        </is>
      </c>
      <c r="Q1442">
        <f>IF(I1442="ENFASIS","ÉNFASIS "&amp;M1442,IFERROR(VLOOKUP(J1442,Grupos!$A$2:$D$100,4,FALSE),J1442))</f>
        <v/>
      </c>
      <c r="R1442">
        <f>O1442&amp;IF(N1442&lt;&gt;"",IF(O1442&lt;&gt;""," · ","")&amp;"Con: "&amp;N1442,"")</f>
        <v/>
      </c>
      <c r="S1442">
        <f>C1442&amp;"|"&amp;D1442</f>
        <v/>
      </c>
      <c r="T1442">
        <f>COUNTIF($S$2:S1442,S1442)</f>
        <v/>
      </c>
      <c r="U1442">
        <f>S1442&amp;"|"&amp;T1442</f>
        <v/>
      </c>
      <c r="V1442">
        <f>IFERROR(VLOOKUP(IF(I1442="ENFASIS",LEFT(M1442,FIND("+",M1442&amp;"+")-1),J1442),Direccion_Grupo!$A$2:$G$100,7,FALSE),"")</f>
        <v/>
      </c>
    </row>
    <row r="1443">
      <c r="A1443" t="n">
        <v>31</v>
      </c>
      <c r="B1443" t="inlineStr">
        <is>
          <t>Montaño Arizala Leidis Claudina</t>
        </is>
      </c>
      <c r="C1443" t="inlineStr">
        <is>
          <t>VIERNES</t>
        </is>
      </c>
      <c r="D1443" t="n">
        <v>5</v>
      </c>
      <c r="E1443" t="n">
        <v>3</v>
      </c>
      <c r="F1443" t="n">
        <v>1</v>
      </c>
      <c r="G1443" t="inlineStr">
        <is>
          <t>10:10</t>
        </is>
      </c>
      <c r="H1443" t="inlineStr">
        <is>
          <t>10:55</t>
        </is>
      </c>
      <c r="I1443" t="inlineStr">
        <is>
          <t>CLASE</t>
        </is>
      </c>
      <c r="J1443" t="inlineStr">
        <is>
          <t>1102</t>
        </is>
      </c>
      <c r="K1443" t="inlineStr">
        <is>
          <t>ETR</t>
        </is>
      </c>
      <c r="L1443" t="inlineStr"/>
      <c r="M1443" t="inlineStr"/>
      <c r="N1443" t="inlineStr"/>
      <c r="O1443" t="inlineStr">
        <is>
          <t>Ética / Religión (alternan cada semana)</t>
        </is>
      </c>
      <c r="P1443" t="inlineStr">
        <is>
          <t>1102-ETR</t>
        </is>
      </c>
      <c r="Q1443">
        <f>IF(I1443="ENFASIS","ÉNFASIS "&amp;M1443,IFERROR(VLOOKUP(J1443,Grupos!$A$2:$D$100,4,FALSE),J1443))</f>
        <v/>
      </c>
      <c r="R1443">
        <f>O1443&amp;IF(N1443&lt;&gt;"",IF(O1443&lt;&gt;""," · ","")&amp;"Con: "&amp;N1443,"")</f>
        <v/>
      </c>
      <c r="S1443">
        <f>C1443&amp;"|"&amp;D1443</f>
        <v/>
      </c>
      <c r="T1443">
        <f>COUNTIF($S$2:S1443,S1443)</f>
        <v/>
      </c>
      <c r="U1443">
        <f>S1443&amp;"|"&amp;T1443</f>
        <v/>
      </c>
      <c r="V1443">
        <f>IFERROR(VLOOKUP(IF(I1443="ENFASIS",LEFT(M1443,FIND("+",M1443&amp;"+")-1),J1443),Direccion_Grupo!$A$2:$G$100,7,FALSE),"")</f>
        <v/>
      </c>
    </row>
    <row r="1444">
      <c r="A1444" t="n">
        <v>42</v>
      </c>
      <c r="B1444" t="inlineStr">
        <is>
          <t>Quiñones Cabezas Marcos Vidal</t>
        </is>
      </c>
      <c r="C1444" t="inlineStr">
        <is>
          <t>VIERNES</t>
        </is>
      </c>
      <c r="D1444" t="n">
        <v>5</v>
      </c>
      <c r="E1444" t="n">
        <v>3</v>
      </c>
      <c r="F1444" t="n">
        <v>1</v>
      </c>
      <c r="G1444" t="inlineStr">
        <is>
          <t>10:10</t>
        </is>
      </c>
      <c r="H1444" t="inlineStr">
        <is>
          <t>10:55</t>
        </is>
      </c>
      <c r="I1444" t="inlineStr">
        <is>
          <t>CLASE</t>
        </is>
      </c>
      <c r="J1444" t="inlineStr">
        <is>
          <t>CS101</t>
        </is>
      </c>
      <c r="K1444" t="inlineStr">
        <is>
          <t>MAT</t>
        </is>
      </c>
      <c r="L1444" t="inlineStr"/>
      <c r="M1444" t="inlineStr"/>
      <c r="N1444" t="inlineStr"/>
      <c r="O1444" t="inlineStr"/>
      <c r="P1444" t="inlineStr">
        <is>
          <t>CS101-MAT</t>
        </is>
      </c>
      <c r="Q1444">
        <f>IF(I1444="ENFASIS","ÉNFASIS "&amp;M1444,IFERROR(VLOOKUP(J1444,Grupos!$A$2:$D$100,4,FALSE),J1444))</f>
        <v/>
      </c>
      <c r="R1444">
        <f>O1444&amp;IF(N1444&lt;&gt;"",IF(O1444&lt;&gt;""," · ","")&amp;"Con: "&amp;N1444,"")</f>
        <v/>
      </c>
      <c r="S1444">
        <f>C1444&amp;"|"&amp;D1444</f>
        <v/>
      </c>
      <c r="T1444">
        <f>COUNTIF($S$2:S1444,S1444)</f>
        <v/>
      </c>
      <c r="U1444">
        <f>S1444&amp;"|"&amp;T1444</f>
        <v/>
      </c>
      <c r="V1444">
        <f>IFERROR(VLOOKUP(IF(I1444="ENFASIS",LEFT(M1444,FIND("+",M1444&amp;"+")-1),J1444),Direccion_Grupo!$A$2:$G$100,7,FALSE),"")</f>
        <v/>
      </c>
    </row>
    <row r="1445">
      <c r="A1445" t="n">
        <v>16</v>
      </c>
      <c r="B1445" t="inlineStr">
        <is>
          <t>Cuero Rincón Hernando Jesús</t>
        </is>
      </c>
      <c r="C1445" t="inlineStr">
        <is>
          <t>VIERNES</t>
        </is>
      </c>
      <c r="D1445" t="n">
        <v>5</v>
      </c>
      <c r="E1445" t="n">
        <v>3</v>
      </c>
      <c r="F1445" t="n">
        <v>1</v>
      </c>
      <c r="G1445" t="inlineStr">
        <is>
          <t>10:10</t>
        </is>
      </c>
      <c r="H1445" t="inlineStr">
        <is>
          <t>10:55</t>
        </is>
      </c>
      <c r="I1445" t="inlineStr">
        <is>
          <t>CLASE</t>
        </is>
      </c>
      <c r="J1445" t="inlineStr">
        <is>
          <t>CS102</t>
        </is>
      </c>
      <c r="K1445" t="inlineStr">
        <is>
          <t>CAS</t>
        </is>
      </c>
      <c r="L1445" t="inlineStr"/>
      <c r="M1445" t="inlineStr"/>
      <c r="N1445" t="inlineStr"/>
      <c r="O1445" t="inlineStr"/>
      <c r="P1445" t="inlineStr">
        <is>
          <t>CS102-CAS</t>
        </is>
      </c>
      <c r="Q1445">
        <f>IF(I1445="ENFASIS","ÉNFASIS "&amp;M1445,IFERROR(VLOOKUP(J1445,Grupos!$A$2:$D$100,4,FALSE),J1445))</f>
        <v/>
      </c>
      <c r="R1445">
        <f>O1445&amp;IF(N1445&lt;&gt;"",IF(O1445&lt;&gt;""," · ","")&amp;"Con: "&amp;N1445,"")</f>
        <v/>
      </c>
      <c r="S1445">
        <f>C1445&amp;"|"&amp;D1445</f>
        <v/>
      </c>
      <c r="T1445">
        <f>COUNTIF($S$2:S1445,S1445)</f>
        <v/>
      </c>
      <c r="U1445">
        <f>S1445&amp;"|"&amp;T1445</f>
        <v/>
      </c>
      <c r="V1445">
        <f>IFERROR(VLOOKUP(IF(I1445="ENFASIS",LEFT(M1445,FIND("+",M1445&amp;"+")-1),J1445),Direccion_Grupo!$A$2:$G$100,7,FALSE),"")</f>
        <v/>
      </c>
    </row>
    <row r="1446">
      <c r="A1446" t="n">
        <v>19</v>
      </c>
      <c r="B1446" t="inlineStr">
        <is>
          <t>Fernández Vélez Alfredo Enrique</t>
        </is>
      </c>
      <c r="C1446" t="inlineStr">
        <is>
          <t>VIERNES</t>
        </is>
      </c>
      <c r="D1446" t="n">
        <v>5</v>
      </c>
      <c r="E1446" t="n">
        <v>3</v>
      </c>
      <c r="F1446" t="n">
        <v>1</v>
      </c>
      <c r="G1446" t="inlineStr">
        <is>
          <t>10:10</t>
        </is>
      </c>
      <c r="H1446" t="inlineStr">
        <is>
          <t>10:55</t>
        </is>
      </c>
      <c r="I1446" t="inlineStr">
        <is>
          <t>CLASE</t>
        </is>
      </c>
      <c r="J1446" t="inlineStr">
        <is>
          <t>CS201</t>
        </is>
      </c>
      <c r="K1446" t="inlineStr">
        <is>
          <t>TEI</t>
        </is>
      </c>
      <c r="L1446" t="inlineStr"/>
      <c r="M1446" t="inlineStr"/>
      <c r="N1446" t="inlineStr"/>
      <c r="O1446" t="inlineStr"/>
      <c r="P1446" t="inlineStr">
        <is>
          <t>CS201-TEI</t>
        </is>
      </c>
      <c r="Q1446">
        <f>IF(I1446="ENFASIS","ÉNFASIS "&amp;M1446,IFERROR(VLOOKUP(J1446,Grupos!$A$2:$D$100,4,FALSE),J1446))</f>
        <v/>
      </c>
      <c r="R1446">
        <f>O1446&amp;IF(N1446&lt;&gt;"",IF(O1446&lt;&gt;""," · ","")&amp;"Con: "&amp;N1446,"")</f>
        <v/>
      </c>
      <c r="S1446">
        <f>C1446&amp;"|"&amp;D1446</f>
        <v/>
      </c>
      <c r="T1446">
        <f>COUNTIF($S$2:S1446,S1446)</f>
        <v/>
      </c>
      <c r="U1446">
        <f>S1446&amp;"|"&amp;T1446</f>
        <v/>
      </c>
      <c r="V1446">
        <f>IFERROR(VLOOKUP(IF(I1446="ENFASIS",LEFT(M1446,FIND("+",M1446&amp;"+")-1),J1446),Direccion_Grupo!$A$2:$G$100,7,FALSE),"")</f>
        <v/>
      </c>
    </row>
    <row r="1447">
      <c r="A1447" t="n">
        <v>7</v>
      </c>
      <c r="B1447" t="inlineStr">
        <is>
          <t>Casanova Casanova Johana Andrea</t>
        </is>
      </c>
      <c r="C1447" t="inlineStr">
        <is>
          <t>VIERNES</t>
        </is>
      </c>
      <c r="D1447" t="n">
        <v>5</v>
      </c>
      <c r="E1447" t="n">
        <v>3</v>
      </c>
      <c r="F1447" t="n">
        <v>1</v>
      </c>
      <c r="G1447" t="inlineStr">
        <is>
          <t>10:10</t>
        </is>
      </c>
      <c r="H1447" t="inlineStr">
        <is>
          <t>10:55</t>
        </is>
      </c>
      <c r="I1447" t="inlineStr">
        <is>
          <t>ORIENTACION</t>
        </is>
      </c>
      <c r="J1447" t="inlineStr">
        <is>
          <t>ORIENT</t>
        </is>
      </c>
      <c r="K1447" t="inlineStr">
        <is>
          <t>ORIENTACIÓN ESCOLAR</t>
        </is>
      </c>
      <c r="L1447" t="inlineStr"/>
      <c r="M1447" t="inlineStr"/>
      <c r="N1447" t="inlineStr"/>
      <c r="O1447" t="inlineStr">
        <is>
          <t>Jornada 07:30 a 14:30</t>
        </is>
      </c>
      <c r="P1447" t="inlineStr"/>
      <c r="Q1447">
        <f>IF(I1447="ENFASIS","ÉNFASIS "&amp;M1447,IFERROR(VLOOKUP(J1447,Grupos!$A$2:$D$100,4,FALSE),J1447))</f>
        <v/>
      </c>
      <c r="R1447">
        <f>O1447&amp;IF(N1447&lt;&gt;"",IF(O1447&lt;&gt;""," · ","")&amp;"Con: "&amp;N1447,"")</f>
        <v/>
      </c>
      <c r="S1447">
        <f>C1447&amp;"|"&amp;D1447</f>
        <v/>
      </c>
      <c r="T1447">
        <f>COUNTIF($S$2:S1447,S1447)</f>
        <v/>
      </c>
      <c r="U1447">
        <f>S1447&amp;"|"&amp;T1447</f>
        <v/>
      </c>
      <c r="V1447">
        <f>IFERROR(VLOOKUP(IF(I1447="ENFASIS",LEFT(M1447,FIND("+",M1447&amp;"+")-1),J1447),Direccion_Grupo!$A$2:$G$100,7,FALSE),"")</f>
        <v/>
      </c>
    </row>
    <row r="1448">
      <c r="A1448" t="n">
        <v>36</v>
      </c>
      <c r="B1448" t="inlineStr">
        <is>
          <t>Ponce Moncayo Ángela Paola</t>
        </is>
      </c>
      <c r="C1448" t="inlineStr">
        <is>
          <t>VIERNES</t>
        </is>
      </c>
      <c r="D1448" t="n">
        <v>5</v>
      </c>
      <c r="E1448" t="n">
        <v>3</v>
      </c>
      <c r="F1448" t="n">
        <v>1</v>
      </c>
      <c r="G1448" t="inlineStr">
        <is>
          <t>10:10</t>
        </is>
      </c>
      <c r="H1448" t="inlineStr">
        <is>
          <t>10:55</t>
        </is>
      </c>
      <c r="I1448" t="inlineStr">
        <is>
          <t>ORIENTACION</t>
        </is>
      </c>
      <c r="J1448" t="inlineStr">
        <is>
          <t>ORIENT</t>
        </is>
      </c>
      <c r="K1448" t="inlineStr">
        <is>
          <t>ORIENTACIÓN ESCOLAR</t>
        </is>
      </c>
      <c r="L1448" t="inlineStr"/>
      <c r="M1448" t="inlineStr"/>
      <c r="N1448" t="inlineStr"/>
      <c r="O1448" t="inlineStr">
        <is>
          <t>Jornada 08:30 a 13:30</t>
        </is>
      </c>
      <c r="P1448" t="inlineStr"/>
      <c r="Q1448">
        <f>IF(I1448="ENFASIS","ÉNFASIS "&amp;M1448,IFERROR(VLOOKUP(J1448,Grupos!$A$2:$D$100,4,FALSE),J1448))</f>
        <v/>
      </c>
      <c r="R1448">
        <f>O1448&amp;IF(N1448&lt;&gt;"",IF(O1448&lt;&gt;""," · ","")&amp;"Con: "&amp;N1448,"")</f>
        <v/>
      </c>
      <c r="S1448">
        <f>C1448&amp;"|"&amp;D1448</f>
        <v/>
      </c>
      <c r="T1448">
        <f>COUNTIF($S$2:S1448,S1448)</f>
        <v/>
      </c>
      <c r="U1448">
        <f>S1448&amp;"|"&amp;T1448</f>
        <v/>
      </c>
      <c r="V1448">
        <f>IFERROR(VLOOKUP(IF(I1448="ENFASIS",LEFT(M1448,FIND("+",M1448&amp;"+")-1),J1448),Direccion_Grupo!$A$2:$G$100,7,FALSE),"")</f>
        <v/>
      </c>
    </row>
    <row r="1449">
      <c r="A1449" t="n">
        <v>56</v>
      </c>
      <c r="B1449" t="inlineStr">
        <is>
          <t>Ortiz Estacio Martha Cecilia</t>
        </is>
      </c>
      <c r="C1449" t="inlineStr">
        <is>
          <t>VIERNES</t>
        </is>
      </c>
      <c r="D1449" t="n">
        <v>5</v>
      </c>
      <c r="E1449" t="n">
        <v>3</v>
      </c>
      <c r="F1449" t="n">
        <v>1</v>
      </c>
      <c r="G1449" t="inlineStr">
        <is>
          <t>10:10</t>
        </is>
      </c>
      <c r="H1449" t="inlineStr">
        <is>
          <t>10:55</t>
        </is>
      </c>
      <c r="I1449" t="inlineStr">
        <is>
          <t>TUTORIA</t>
        </is>
      </c>
      <c r="J1449" t="inlineStr">
        <is>
          <t>PTAFI</t>
        </is>
      </c>
      <c r="K1449" t="inlineStr">
        <is>
          <t>TUTORÍA PTAFI</t>
        </is>
      </c>
      <c r="L1449" t="inlineStr"/>
      <c r="M1449" t="inlineStr"/>
      <c r="N1449" t="inlineStr"/>
      <c r="O1449" t="inlineStr">
        <is>
          <t>Jornada 06:30 a 12:00</t>
        </is>
      </c>
      <c r="P1449" t="inlineStr"/>
      <c r="Q1449">
        <f>IF(I1449="ENFASIS","ÉNFASIS "&amp;M1449,IFERROR(VLOOKUP(J1449,Grupos!$A$2:$D$100,4,FALSE),J1449))</f>
        <v/>
      </c>
      <c r="R1449">
        <f>O1449&amp;IF(N1449&lt;&gt;"",IF(O1449&lt;&gt;""," · ","")&amp;"Con: "&amp;N1449,"")</f>
        <v/>
      </c>
      <c r="S1449">
        <f>C1449&amp;"|"&amp;D1449</f>
        <v/>
      </c>
      <c r="T1449">
        <f>COUNTIF($S$2:S1449,S1449)</f>
        <v/>
      </c>
      <c r="U1449">
        <f>S1449&amp;"|"&amp;T1449</f>
        <v/>
      </c>
      <c r="V1449">
        <f>IFERROR(VLOOKUP(IF(I1449="ENFASIS",LEFT(M1449,FIND("+",M1449&amp;"+")-1),J1449),Direccion_Grupo!$A$2:$G$100,7,FALSE),"")</f>
        <v/>
      </c>
    </row>
    <row r="1450">
      <c r="A1450" t="n">
        <v>12</v>
      </c>
      <c r="B1450" t="inlineStr">
        <is>
          <t>Chillambo Quiñones María Rocío</t>
        </is>
      </c>
      <c r="C1450" t="inlineStr">
        <is>
          <t>VIERNES</t>
        </is>
      </c>
      <c r="D1450" t="n">
        <v>5</v>
      </c>
      <c r="E1450" t="n">
        <v>3</v>
      </c>
      <c r="F1450" t="n">
        <v>1</v>
      </c>
      <c r="G1450" t="inlineStr">
        <is>
          <t>10:10</t>
        </is>
      </c>
      <c r="H1450" t="inlineStr">
        <is>
          <t>10:55</t>
        </is>
      </c>
      <c r="I1450" t="inlineStr">
        <is>
          <t>ENFASIS</t>
        </is>
      </c>
      <c r="J1450" t="inlineStr"/>
      <c r="K1450" t="inlineStr">
        <is>
          <t>CNA</t>
        </is>
      </c>
      <c r="L1450" t="inlineStr">
        <is>
          <t>0801</t>
        </is>
      </c>
      <c r="M1450" t="inlineStr">
        <is>
          <t>0801</t>
        </is>
      </c>
      <c r="N1450" t="inlineStr">
        <is>
          <t>Samaniego Angulo Flor Mireya (ART); Valverde Montaño María Teresa (CAS); Cuero Bamba Berte Levi (ERD)</t>
        </is>
      </c>
      <c r="O1450" t="inlineStr">
        <is>
          <t>EQUIPO DE 4: cada docente atiende un grupo de estudiantes en su área</t>
        </is>
      </c>
      <c r="P1450" t="inlineStr">
        <is>
          <t>ENFASIS-0801</t>
        </is>
      </c>
      <c r="Q1450">
        <f>IF(I1450="ENFASIS","ÉNFASIS "&amp;M1450,IFERROR(VLOOKUP(J1450,Grupos!$A$2:$D$100,4,FALSE),J1450))</f>
        <v/>
      </c>
      <c r="R1450">
        <f>O1450&amp;IF(N1450&lt;&gt;"",IF(O1450&lt;&gt;""," · ","")&amp;"Con: "&amp;N1450,"")</f>
        <v/>
      </c>
      <c r="S1450">
        <f>C1450&amp;"|"&amp;D1450</f>
        <v/>
      </c>
      <c r="T1450">
        <f>COUNTIF($S$2:S1450,S1450)</f>
        <v/>
      </c>
      <c r="U1450">
        <f>S1450&amp;"|"&amp;T1450</f>
        <v/>
      </c>
      <c r="V1450">
        <f>IFERROR(VLOOKUP(IF(I1450="ENFASIS",LEFT(M1450,FIND("+",M1450&amp;"+")-1),J1450),Direccion_Grupo!$A$2:$G$100,7,FALSE),"")</f>
        <v/>
      </c>
    </row>
    <row r="1451">
      <c r="A1451" t="n">
        <v>15</v>
      </c>
      <c r="B1451" t="inlineStr">
        <is>
          <t>Cuero Bamba Berte Levi</t>
        </is>
      </c>
      <c r="C1451" t="inlineStr">
        <is>
          <t>VIERNES</t>
        </is>
      </c>
      <c r="D1451" t="n">
        <v>5</v>
      </c>
      <c r="E1451" t="n">
        <v>3</v>
      </c>
      <c r="F1451" t="n">
        <v>1</v>
      </c>
      <c r="G1451" t="inlineStr">
        <is>
          <t>10:10</t>
        </is>
      </c>
      <c r="H1451" t="inlineStr">
        <is>
          <t>10:55</t>
        </is>
      </c>
      <c r="I1451" t="inlineStr">
        <is>
          <t>ENFASIS</t>
        </is>
      </c>
      <c r="J1451" t="inlineStr"/>
      <c r="K1451" t="inlineStr">
        <is>
          <t>ERD</t>
        </is>
      </c>
      <c r="L1451" t="inlineStr">
        <is>
          <t>0801</t>
        </is>
      </c>
      <c r="M1451" t="inlineStr">
        <is>
          <t>0801</t>
        </is>
      </c>
      <c r="N1451" t="inlineStr">
        <is>
          <t>Samaniego Angulo Flor Mireya (ART); Valverde Montaño María Teresa (CAS); Chillambo Quiñones María Rocío (CNA)</t>
        </is>
      </c>
      <c r="O1451" t="inlineStr">
        <is>
          <t>EQUIPO DE 4: cada docente atiende un grupo de estudiantes en su área</t>
        </is>
      </c>
      <c r="P1451" t="inlineStr">
        <is>
          <t>ENFASIS-0801</t>
        </is>
      </c>
      <c r="Q1451">
        <f>IF(I1451="ENFASIS","ÉNFASIS "&amp;M1451,IFERROR(VLOOKUP(J1451,Grupos!$A$2:$D$100,4,FALSE),J1451))</f>
        <v/>
      </c>
      <c r="R1451">
        <f>O1451&amp;IF(N1451&lt;&gt;"",IF(O1451&lt;&gt;""," · ","")&amp;"Con: "&amp;N1451,"")</f>
        <v/>
      </c>
      <c r="S1451">
        <f>C1451&amp;"|"&amp;D1451</f>
        <v/>
      </c>
      <c r="T1451">
        <f>COUNTIF($S$2:S1451,S1451)</f>
        <v/>
      </c>
      <c r="U1451">
        <f>S1451&amp;"|"&amp;T1451</f>
        <v/>
      </c>
      <c r="V1451">
        <f>IFERROR(VLOOKUP(IF(I1451="ENFASIS",LEFT(M1451,FIND("+",M1451&amp;"+")-1),J1451),Direccion_Grupo!$A$2:$G$100,7,FALSE),"")</f>
        <v/>
      </c>
    </row>
    <row r="1452">
      <c r="A1452" t="n">
        <v>44</v>
      </c>
      <c r="B1452" t="inlineStr">
        <is>
          <t>Samaniego Angulo Flor Mireya</t>
        </is>
      </c>
      <c r="C1452" t="inlineStr">
        <is>
          <t>VIERNES</t>
        </is>
      </c>
      <c r="D1452" t="n">
        <v>5</v>
      </c>
      <c r="E1452" t="n">
        <v>3</v>
      </c>
      <c r="F1452" t="n">
        <v>1</v>
      </c>
      <c r="G1452" t="inlineStr">
        <is>
          <t>10:10</t>
        </is>
      </c>
      <c r="H1452" t="inlineStr">
        <is>
          <t>10:55</t>
        </is>
      </c>
      <c r="I1452" t="inlineStr">
        <is>
          <t>ENFASIS</t>
        </is>
      </c>
      <c r="J1452" t="inlineStr"/>
      <c r="K1452" t="inlineStr">
        <is>
          <t>ART</t>
        </is>
      </c>
      <c r="L1452" t="inlineStr">
        <is>
          <t>0801</t>
        </is>
      </c>
      <c r="M1452" t="inlineStr">
        <is>
          <t>0801</t>
        </is>
      </c>
      <c r="N1452" t="inlineStr">
        <is>
          <t>Valverde Montaño María Teresa (CAS); Cuero Bamba Berte Levi (ERD); Chillambo Quiñones María Rocío (CNA)</t>
        </is>
      </c>
      <c r="O1452" t="inlineStr">
        <is>
          <t>EQUIPO DE 4: cada docente atiende un grupo de estudiantes en su área</t>
        </is>
      </c>
      <c r="P1452" t="inlineStr">
        <is>
          <t>ENFASIS-0801</t>
        </is>
      </c>
      <c r="Q1452">
        <f>IF(I1452="ENFASIS","ÉNFASIS "&amp;M1452,IFERROR(VLOOKUP(J1452,Grupos!$A$2:$D$100,4,FALSE),J1452))</f>
        <v/>
      </c>
      <c r="R1452">
        <f>O1452&amp;IF(N1452&lt;&gt;"",IF(O1452&lt;&gt;""," · ","")&amp;"Con: "&amp;N1452,"")</f>
        <v/>
      </c>
      <c r="S1452">
        <f>C1452&amp;"|"&amp;D1452</f>
        <v/>
      </c>
      <c r="T1452">
        <f>COUNTIF($S$2:S1452,S1452)</f>
        <v/>
      </c>
      <c r="U1452">
        <f>S1452&amp;"|"&amp;T1452</f>
        <v/>
      </c>
      <c r="V1452">
        <f>IFERROR(VLOOKUP(IF(I1452="ENFASIS",LEFT(M1452,FIND("+",M1452&amp;"+")-1),J1452),Direccion_Grupo!$A$2:$G$100,7,FALSE),"")</f>
        <v/>
      </c>
    </row>
    <row r="1453">
      <c r="A1453" t="n">
        <v>51</v>
      </c>
      <c r="B1453" t="inlineStr">
        <is>
          <t>Valverde Montaño María Teresa</t>
        </is>
      </c>
      <c r="C1453" t="inlineStr">
        <is>
          <t>VIERNES</t>
        </is>
      </c>
      <c r="D1453" t="n">
        <v>5</v>
      </c>
      <c r="E1453" t="n">
        <v>3</v>
      </c>
      <c r="F1453" t="n">
        <v>1</v>
      </c>
      <c r="G1453" t="inlineStr">
        <is>
          <t>10:10</t>
        </is>
      </c>
      <c r="H1453" t="inlineStr">
        <is>
          <t>10:55</t>
        </is>
      </c>
      <c r="I1453" t="inlineStr">
        <is>
          <t>ENFASIS</t>
        </is>
      </c>
      <c r="J1453" t="inlineStr"/>
      <c r="K1453" t="inlineStr">
        <is>
          <t>CAS</t>
        </is>
      </c>
      <c r="L1453" t="inlineStr">
        <is>
          <t>0801</t>
        </is>
      </c>
      <c r="M1453" t="inlineStr">
        <is>
          <t>0801</t>
        </is>
      </c>
      <c r="N1453" t="inlineStr">
        <is>
          <t>Samaniego Angulo Flor Mireya (ART); Cuero Bamba Berte Levi (ERD); Chillambo Quiñones María Rocío (CNA)</t>
        </is>
      </c>
      <c r="O1453" t="inlineStr">
        <is>
          <t>EQUIPO DE 4: cada docente atiende un grupo de estudiantes en su área</t>
        </is>
      </c>
      <c r="P1453" t="inlineStr">
        <is>
          <t>ENFASIS-0801</t>
        </is>
      </c>
      <c r="Q1453">
        <f>IF(I1453="ENFASIS","ÉNFASIS "&amp;M1453,IFERROR(VLOOKUP(J1453,Grupos!$A$2:$D$100,4,FALSE),J1453))</f>
        <v/>
      </c>
      <c r="R1453">
        <f>O1453&amp;IF(N1453&lt;&gt;"",IF(O1453&lt;&gt;""," · ","")&amp;"Con: "&amp;N1453,"")</f>
        <v/>
      </c>
      <c r="S1453">
        <f>C1453&amp;"|"&amp;D1453</f>
        <v/>
      </c>
      <c r="T1453">
        <f>COUNTIF($S$2:S1453,S1453)</f>
        <v/>
      </c>
      <c r="U1453">
        <f>S1453&amp;"|"&amp;T1453</f>
        <v/>
      </c>
      <c r="V1453">
        <f>IFERROR(VLOOKUP(IF(I1453="ENFASIS",LEFT(M1453,FIND("+",M1453&amp;"+")-1),J1453),Direccion_Grupo!$A$2:$G$100,7,FALSE),"")</f>
        <v/>
      </c>
    </row>
    <row r="1454">
      <c r="A1454" t="n">
        <v>3</v>
      </c>
      <c r="B1454" t="inlineStr">
        <is>
          <t>Arboleda Ortiz Luz América</t>
        </is>
      </c>
      <c r="C1454" t="inlineStr">
        <is>
          <t>VIERNES</t>
        </is>
      </c>
      <c r="D1454" t="n">
        <v>5</v>
      </c>
      <c r="E1454" t="n">
        <v>3</v>
      </c>
      <c r="F1454" t="n">
        <v>1</v>
      </c>
      <c r="G1454" t="inlineStr">
        <is>
          <t>10:10</t>
        </is>
      </c>
      <c r="H1454" t="inlineStr">
        <is>
          <t>10:55</t>
        </is>
      </c>
      <c r="I1454" t="inlineStr">
        <is>
          <t>ENFASIS</t>
        </is>
      </c>
      <c r="J1454" t="inlineStr"/>
      <c r="K1454" t="inlineStr">
        <is>
          <t>ART</t>
        </is>
      </c>
      <c r="L1454" t="inlineStr">
        <is>
          <t>D5-10°</t>
        </is>
      </c>
      <c r="M1454" t="inlineStr">
        <is>
          <t>1001</t>
        </is>
      </c>
      <c r="N1454" t="inlineStr">
        <is>
          <t>Montaño Anchico Favio Héctor (CAS); Ramírez Guerra Jimmy Eduardo (ERD); Villota Rubio Héctor Hugo (CNA)</t>
        </is>
      </c>
      <c r="O1454" t="inlineStr">
        <is>
          <t>EQUIPO DE 4: cada docente atiende un grupo de estudiantes en su área</t>
        </is>
      </c>
      <c r="P1454" t="inlineStr">
        <is>
          <t>ENFASIS-D5-10°</t>
        </is>
      </c>
      <c r="Q1454">
        <f>IF(I1454="ENFASIS","ÉNFASIS "&amp;M1454,IFERROR(VLOOKUP(J1454,Grupos!$A$2:$D$100,4,FALSE),J1454))</f>
        <v/>
      </c>
      <c r="R1454">
        <f>O1454&amp;IF(N1454&lt;&gt;"",IF(O1454&lt;&gt;""," · ","")&amp;"Con: "&amp;N1454,"")</f>
        <v/>
      </c>
      <c r="S1454">
        <f>C1454&amp;"|"&amp;D1454</f>
        <v/>
      </c>
      <c r="T1454">
        <f>COUNTIF($S$2:S1454,S1454)</f>
        <v/>
      </c>
      <c r="U1454">
        <f>S1454&amp;"|"&amp;T1454</f>
        <v/>
      </c>
      <c r="V1454">
        <f>IFERROR(VLOOKUP(IF(I1454="ENFASIS",LEFT(M1454,FIND("+",M1454&amp;"+")-1),J1454),Direccion_Grupo!$A$2:$G$100,7,FALSE),"")</f>
        <v/>
      </c>
    </row>
    <row r="1455">
      <c r="A1455" t="n">
        <v>30</v>
      </c>
      <c r="B1455" t="inlineStr">
        <is>
          <t>Montaño Anchico Favio Héctor</t>
        </is>
      </c>
      <c r="C1455" t="inlineStr">
        <is>
          <t>VIERNES</t>
        </is>
      </c>
      <c r="D1455" t="n">
        <v>5</v>
      </c>
      <c r="E1455" t="n">
        <v>3</v>
      </c>
      <c r="F1455" t="n">
        <v>1</v>
      </c>
      <c r="G1455" t="inlineStr">
        <is>
          <t>10:10</t>
        </is>
      </c>
      <c r="H1455" t="inlineStr">
        <is>
          <t>10:55</t>
        </is>
      </c>
      <c r="I1455" t="inlineStr">
        <is>
          <t>ENFASIS</t>
        </is>
      </c>
      <c r="J1455" t="inlineStr"/>
      <c r="K1455" t="inlineStr">
        <is>
          <t>CAS</t>
        </is>
      </c>
      <c r="L1455" t="inlineStr">
        <is>
          <t>D5-10°</t>
        </is>
      </c>
      <c r="M1455" t="inlineStr">
        <is>
          <t>1001</t>
        </is>
      </c>
      <c r="N1455" t="inlineStr">
        <is>
          <t>Arboleda Ortiz Luz América (ART); Ramírez Guerra Jimmy Eduardo (ERD); Villota Rubio Héctor Hugo (CNA)</t>
        </is>
      </c>
      <c r="O1455" t="inlineStr">
        <is>
          <t>EQUIPO DE 4: cada docente atiende un grupo de estudiantes en su área</t>
        </is>
      </c>
      <c r="P1455" t="inlineStr">
        <is>
          <t>ENFASIS-D5-10°</t>
        </is>
      </c>
      <c r="Q1455">
        <f>IF(I1455="ENFASIS","ÉNFASIS "&amp;M1455,IFERROR(VLOOKUP(J1455,Grupos!$A$2:$D$100,4,FALSE),J1455))</f>
        <v/>
      </c>
      <c r="R1455">
        <f>O1455&amp;IF(N1455&lt;&gt;"",IF(O1455&lt;&gt;""," · ","")&amp;"Con: "&amp;N1455,"")</f>
        <v/>
      </c>
      <c r="S1455">
        <f>C1455&amp;"|"&amp;D1455</f>
        <v/>
      </c>
      <c r="T1455">
        <f>COUNTIF($S$2:S1455,S1455)</f>
        <v/>
      </c>
      <c r="U1455">
        <f>S1455&amp;"|"&amp;T1455</f>
        <v/>
      </c>
      <c r="V1455">
        <f>IFERROR(VLOOKUP(IF(I1455="ENFASIS",LEFT(M1455,FIND("+",M1455&amp;"+")-1),J1455),Direccion_Grupo!$A$2:$G$100,7,FALSE),"")</f>
        <v/>
      </c>
    </row>
    <row r="1456">
      <c r="A1456" t="n">
        <v>43</v>
      </c>
      <c r="B1456" t="inlineStr">
        <is>
          <t>Ramírez Guerra Jimmy Eduardo</t>
        </is>
      </c>
      <c r="C1456" t="inlineStr">
        <is>
          <t>VIERNES</t>
        </is>
      </c>
      <c r="D1456" t="n">
        <v>5</v>
      </c>
      <c r="E1456" t="n">
        <v>3</v>
      </c>
      <c r="F1456" t="n">
        <v>1</v>
      </c>
      <c r="G1456" t="inlineStr">
        <is>
          <t>10:10</t>
        </is>
      </c>
      <c r="H1456" t="inlineStr">
        <is>
          <t>10:55</t>
        </is>
      </c>
      <c r="I1456" t="inlineStr">
        <is>
          <t>ENFASIS</t>
        </is>
      </c>
      <c r="J1456" t="inlineStr"/>
      <c r="K1456" t="inlineStr">
        <is>
          <t>ERD</t>
        </is>
      </c>
      <c r="L1456" t="inlineStr">
        <is>
          <t>D5-10°</t>
        </is>
      </c>
      <c r="M1456" t="inlineStr">
        <is>
          <t>1001</t>
        </is>
      </c>
      <c r="N1456" t="inlineStr">
        <is>
          <t>Arboleda Ortiz Luz América (ART); Montaño Anchico Favio Héctor (CAS); Villota Rubio Héctor Hugo (CNA)</t>
        </is>
      </c>
      <c r="O1456" t="inlineStr">
        <is>
          <t>EQUIPO DE 4: cada docente atiende un grupo de estudiantes en su área</t>
        </is>
      </c>
      <c r="P1456" t="inlineStr">
        <is>
          <t>ENFASIS-D5-10°</t>
        </is>
      </c>
      <c r="Q1456">
        <f>IF(I1456="ENFASIS","ÉNFASIS "&amp;M1456,IFERROR(VLOOKUP(J1456,Grupos!$A$2:$D$100,4,FALSE),J1456))</f>
        <v/>
      </c>
      <c r="R1456">
        <f>O1456&amp;IF(N1456&lt;&gt;"",IF(O1456&lt;&gt;""," · ","")&amp;"Con: "&amp;N1456,"")</f>
        <v/>
      </c>
      <c r="S1456">
        <f>C1456&amp;"|"&amp;D1456</f>
        <v/>
      </c>
      <c r="T1456">
        <f>COUNTIF($S$2:S1456,S1456)</f>
        <v/>
      </c>
      <c r="U1456">
        <f>S1456&amp;"|"&amp;T1456</f>
        <v/>
      </c>
      <c r="V1456">
        <f>IFERROR(VLOOKUP(IF(I1456="ENFASIS",LEFT(M1456,FIND("+",M1456&amp;"+")-1),J1456),Direccion_Grupo!$A$2:$G$100,7,FALSE),"")</f>
        <v/>
      </c>
    </row>
    <row r="1457">
      <c r="A1457" t="n">
        <v>53</v>
      </c>
      <c r="B1457" t="inlineStr">
        <is>
          <t>Villota Rubio Héctor Hugo</t>
        </is>
      </c>
      <c r="C1457" t="inlineStr">
        <is>
          <t>VIERNES</t>
        </is>
      </c>
      <c r="D1457" t="n">
        <v>5</v>
      </c>
      <c r="E1457" t="n">
        <v>3</v>
      </c>
      <c r="F1457" t="n">
        <v>1</v>
      </c>
      <c r="G1457" t="inlineStr">
        <is>
          <t>10:10</t>
        </is>
      </c>
      <c r="H1457" t="inlineStr">
        <is>
          <t>10:55</t>
        </is>
      </c>
      <c r="I1457" t="inlineStr">
        <is>
          <t>ENFASIS</t>
        </is>
      </c>
      <c r="J1457" t="inlineStr"/>
      <c r="K1457" t="inlineStr">
        <is>
          <t>CNA</t>
        </is>
      </c>
      <c r="L1457" t="inlineStr">
        <is>
          <t>D5-10°</t>
        </is>
      </c>
      <c r="M1457" t="inlineStr">
        <is>
          <t>1001</t>
        </is>
      </c>
      <c r="N1457" t="inlineStr">
        <is>
          <t>Arboleda Ortiz Luz América (ART); Montaño Anchico Favio Héctor (CAS); Ramírez Guerra Jimmy Eduardo (ERD)</t>
        </is>
      </c>
      <c r="O1457" t="inlineStr">
        <is>
          <t>EQUIPO DE 4: cada docente atiende un grupo de estudiantes en su área</t>
        </is>
      </c>
      <c r="P1457" t="inlineStr">
        <is>
          <t>ENFASIS-D5-10°</t>
        </is>
      </c>
      <c r="Q1457">
        <f>IF(I1457="ENFASIS","ÉNFASIS "&amp;M1457,IFERROR(VLOOKUP(J1457,Grupos!$A$2:$D$100,4,FALSE),J1457))</f>
        <v/>
      </c>
      <c r="R1457">
        <f>O1457&amp;IF(N1457&lt;&gt;"",IF(O1457&lt;&gt;""," · ","")&amp;"Con: "&amp;N1457,"")</f>
        <v/>
      </c>
      <c r="S1457">
        <f>C1457&amp;"|"&amp;D1457</f>
        <v/>
      </c>
      <c r="T1457">
        <f>COUNTIF($S$2:S1457,S1457)</f>
        <v/>
      </c>
      <c r="U1457">
        <f>S1457&amp;"|"&amp;T1457</f>
        <v/>
      </c>
      <c r="V1457">
        <f>IFERROR(VLOOKUP(IF(I1457="ENFASIS",LEFT(M1457,FIND("+",M1457&amp;"+")-1),J1457),Direccion_Grupo!$A$2:$G$100,7,FALSE),"")</f>
        <v/>
      </c>
    </row>
    <row r="1458">
      <c r="A1458" t="n">
        <v>5</v>
      </c>
      <c r="B1458" t="inlineStr">
        <is>
          <t>Bastidas Valencia Zeneida Judith</t>
        </is>
      </c>
      <c r="C1458" t="inlineStr">
        <is>
          <t>VIERNES</t>
        </is>
      </c>
      <c r="D1458" t="n">
        <v>5</v>
      </c>
      <c r="E1458" t="n">
        <v>3</v>
      </c>
      <c r="F1458" t="n">
        <v>1</v>
      </c>
      <c r="G1458" t="inlineStr">
        <is>
          <t>10:10</t>
        </is>
      </c>
      <c r="H1458" t="inlineStr">
        <is>
          <t>10:55</t>
        </is>
      </c>
      <c r="I1458" t="inlineStr">
        <is>
          <t>ENFASIS</t>
        </is>
      </c>
      <c r="J1458" t="inlineStr"/>
      <c r="K1458" t="inlineStr">
        <is>
          <t>MAT</t>
        </is>
      </c>
      <c r="L1458" t="inlineStr">
        <is>
          <t>CS202</t>
        </is>
      </c>
      <c r="M1458" t="inlineStr">
        <is>
          <t>CS202</t>
        </is>
      </c>
      <c r="N1458" t="inlineStr">
        <is>
          <t>Betancourth Ocampo Yohana Patricia (CSI); Estacio Estupiñán Rosario (ETR); Mindineros Satizábal John Jáver (TEI)</t>
        </is>
      </c>
      <c r="O1458" t="inlineStr">
        <is>
          <t>EQUIPO DE 4: cada docente atiende un grupo de estudiantes en su área</t>
        </is>
      </c>
      <c r="P1458" t="inlineStr">
        <is>
          <t>ENFASIS-CS202</t>
        </is>
      </c>
      <c r="Q1458">
        <f>IF(I1458="ENFASIS","ÉNFASIS "&amp;M1458,IFERROR(VLOOKUP(J1458,Grupos!$A$2:$D$100,4,FALSE),J1458))</f>
        <v/>
      </c>
      <c r="R1458">
        <f>O1458&amp;IF(N1458&lt;&gt;"",IF(O1458&lt;&gt;""," · ","")&amp;"Con: "&amp;N1458,"")</f>
        <v/>
      </c>
      <c r="S1458">
        <f>C1458&amp;"|"&amp;D1458</f>
        <v/>
      </c>
      <c r="T1458">
        <f>COUNTIF($S$2:S1458,S1458)</f>
        <v/>
      </c>
      <c r="U1458">
        <f>S1458&amp;"|"&amp;T1458</f>
        <v/>
      </c>
      <c r="V1458">
        <f>IFERROR(VLOOKUP(IF(I1458="ENFASIS",LEFT(M1458,FIND("+",M1458&amp;"+")-1),J1458),Direccion_Grupo!$A$2:$G$100,7,FALSE),"")</f>
        <v/>
      </c>
    </row>
    <row r="1459">
      <c r="A1459" t="n">
        <v>6</v>
      </c>
      <c r="B1459" t="inlineStr">
        <is>
          <t>Betancourth Ocampo Yohana Patricia</t>
        </is>
      </c>
      <c r="C1459" t="inlineStr">
        <is>
          <t>VIERNES</t>
        </is>
      </c>
      <c r="D1459" t="n">
        <v>5</v>
      </c>
      <c r="E1459" t="n">
        <v>3</v>
      </c>
      <c r="F1459" t="n">
        <v>1</v>
      </c>
      <c r="G1459" t="inlineStr">
        <is>
          <t>10:10</t>
        </is>
      </c>
      <c r="H1459" t="inlineStr">
        <is>
          <t>10:55</t>
        </is>
      </c>
      <c r="I1459" t="inlineStr">
        <is>
          <t>ENFASIS</t>
        </is>
      </c>
      <c r="J1459" t="inlineStr"/>
      <c r="K1459" t="inlineStr">
        <is>
          <t>CSI</t>
        </is>
      </c>
      <c r="L1459" t="inlineStr">
        <is>
          <t>CS202</t>
        </is>
      </c>
      <c r="M1459" t="inlineStr">
        <is>
          <t>CS202</t>
        </is>
      </c>
      <c r="N1459" t="inlineStr">
        <is>
          <t>Estacio Estupiñán Rosario (ETR); Bastidas Valencia Zeneida Judith (MAT); Mindineros Satizábal John Jáver (TEI)</t>
        </is>
      </c>
      <c r="O1459" t="inlineStr">
        <is>
          <t>EQUIPO DE 4: cada docente atiende un grupo de estudiantes en su área</t>
        </is>
      </c>
      <c r="P1459" t="inlineStr">
        <is>
          <t>ENFASIS-CS202</t>
        </is>
      </c>
      <c r="Q1459">
        <f>IF(I1459="ENFASIS","ÉNFASIS "&amp;M1459,IFERROR(VLOOKUP(J1459,Grupos!$A$2:$D$100,4,FALSE),J1459))</f>
        <v/>
      </c>
      <c r="R1459">
        <f>O1459&amp;IF(N1459&lt;&gt;"",IF(O1459&lt;&gt;""," · ","")&amp;"Con: "&amp;N1459,"")</f>
        <v/>
      </c>
      <c r="S1459">
        <f>C1459&amp;"|"&amp;D1459</f>
        <v/>
      </c>
      <c r="T1459">
        <f>COUNTIF($S$2:S1459,S1459)</f>
        <v/>
      </c>
      <c r="U1459">
        <f>S1459&amp;"|"&amp;T1459</f>
        <v/>
      </c>
      <c r="V1459">
        <f>IFERROR(VLOOKUP(IF(I1459="ENFASIS",LEFT(M1459,FIND("+",M1459&amp;"+")-1),J1459),Direccion_Grupo!$A$2:$G$100,7,FALSE),"")</f>
        <v/>
      </c>
    </row>
    <row r="1460">
      <c r="A1460" t="n">
        <v>18</v>
      </c>
      <c r="B1460" t="inlineStr">
        <is>
          <t>Estacio Estupiñán Rosario</t>
        </is>
      </c>
      <c r="C1460" t="inlineStr">
        <is>
          <t>VIERNES</t>
        </is>
      </c>
      <c r="D1460" t="n">
        <v>5</v>
      </c>
      <c r="E1460" t="n">
        <v>3</v>
      </c>
      <c r="F1460" t="n">
        <v>1</v>
      </c>
      <c r="G1460" t="inlineStr">
        <is>
          <t>10:10</t>
        </is>
      </c>
      <c r="H1460" t="inlineStr">
        <is>
          <t>10:55</t>
        </is>
      </c>
      <c r="I1460" t="inlineStr">
        <is>
          <t>ENFASIS</t>
        </is>
      </c>
      <c r="J1460" t="inlineStr"/>
      <c r="K1460" t="inlineStr">
        <is>
          <t>ETR</t>
        </is>
      </c>
      <c r="L1460" t="inlineStr">
        <is>
          <t>CS202</t>
        </is>
      </c>
      <c r="M1460" t="inlineStr">
        <is>
          <t>CS202</t>
        </is>
      </c>
      <c r="N1460" t="inlineStr">
        <is>
          <t>Betancourth Ocampo Yohana Patricia (CSI); Bastidas Valencia Zeneida Judith (MAT); Mindineros Satizábal John Jáver (TEI)</t>
        </is>
      </c>
      <c r="O1460" t="inlineStr">
        <is>
          <t>EQUIPO DE 4: cada docente atiende un grupo de estudiantes en su área</t>
        </is>
      </c>
      <c r="P1460" t="inlineStr">
        <is>
          <t>ENFASIS-CS202</t>
        </is>
      </c>
      <c r="Q1460">
        <f>IF(I1460="ENFASIS","ÉNFASIS "&amp;M1460,IFERROR(VLOOKUP(J1460,Grupos!$A$2:$D$100,4,FALSE),J1460))</f>
        <v/>
      </c>
      <c r="R1460">
        <f>O1460&amp;IF(N1460&lt;&gt;"",IF(O1460&lt;&gt;""," · ","")&amp;"Con: "&amp;N1460,"")</f>
        <v/>
      </c>
      <c r="S1460">
        <f>C1460&amp;"|"&amp;D1460</f>
        <v/>
      </c>
      <c r="T1460">
        <f>COUNTIF($S$2:S1460,S1460)</f>
        <v/>
      </c>
      <c r="U1460">
        <f>S1460&amp;"|"&amp;T1460</f>
        <v/>
      </c>
      <c r="V1460">
        <f>IFERROR(VLOOKUP(IF(I1460="ENFASIS",LEFT(M1460,FIND("+",M1460&amp;"+")-1),J1460),Direccion_Grupo!$A$2:$G$100,7,FALSE),"")</f>
        <v/>
      </c>
    </row>
    <row r="1461">
      <c r="A1461" t="n">
        <v>29</v>
      </c>
      <c r="B1461" t="inlineStr">
        <is>
          <t>Mindineros Satizábal John Jáver</t>
        </is>
      </c>
      <c r="C1461" t="inlineStr">
        <is>
          <t>VIERNES</t>
        </is>
      </c>
      <c r="D1461" t="n">
        <v>5</v>
      </c>
      <c r="E1461" t="n">
        <v>3</v>
      </c>
      <c r="F1461" t="n">
        <v>1</v>
      </c>
      <c r="G1461" t="inlineStr">
        <is>
          <t>10:10</t>
        </is>
      </c>
      <c r="H1461" t="inlineStr">
        <is>
          <t>10:55</t>
        </is>
      </c>
      <c r="I1461" t="inlineStr">
        <is>
          <t>ENFASIS</t>
        </is>
      </c>
      <c r="J1461" t="inlineStr"/>
      <c r="K1461" t="inlineStr">
        <is>
          <t>TEI</t>
        </is>
      </c>
      <c r="L1461" t="inlineStr">
        <is>
          <t>CS202</t>
        </is>
      </c>
      <c r="M1461" t="inlineStr">
        <is>
          <t>CS202</t>
        </is>
      </c>
      <c r="N1461" t="inlineStr">
        <is>
          <t>Betancourth Ocampo Yohana Patricia (CSI); Estacio Estupiñán Rosario (ETR); Bastidas Valencia Zeneida Judith (MAT)</t>
        </is>
      </c>
      <c r="O1461" t="inlineStr">
        <is>
          <t>EQUIPO DE 4: cada docente atiende un grupo de estudiantes en su área</t>
        </is>
      </c>
      <c r="P1461" t="inlineStr">
        <is>
          <t>ENFASIS-CS202</t>
        </is>
      </c>
      <c r="Q1461">
        <f>IF(I1461="ENFASIS","ÉNFASIS "&amp;M1461,IFERROR(VLOOKUP(J1461,Grupos!$A$2:$D$100,4,FALSE),J1461))</f>
        <v/>
      </c>
      <c r="R1461">
        <f>O1461&amp;IF(N1461&lt;&gt;"",IF(O1461&lt;&gt;""," · ","")&amp;"Con: "&amp;N1461,"")</f>
        <v/>
      </c>
      <c r="S1461">
        <f>C1461&amp;"|"&amp;D1461</f>
        <v/>
      </c>
      <c r="T1461">
        <f>COUNTIF($S$2:S1461,S1461)</f>
        <v/>
      </c>
      <c r="U1461">
        <f>S1461&amp;"|"&amp;T1461</f>
        <v/>
      </c>
      <c r="V1461">
        <f>IFERROR(VLOOKUP(IF(I1461="ENFASIS",LEFT(M1461,FIND("+",M1461&amp;"+")-1),J1461),Direccion_Grupo!$A$2:$G$100,7,FALSE),"")</f>
        <v/>
      </c>
    </row>
    <row r="1462">
      <c r="A1462" t="n">
        <v>50</v>
      </c>
      <c r="B1462" t="inlineStr">
        <is>
          <t>Valencia Solís Gloria Alexa</t>
        </is>
      </c>
      <c r="C1462" t="inlineStr">
        <is>
          <t>VIERNES</t>
        </is>
      </c>
      <c r="D1462" t="n">
        <v>6</v>
      </c>
      <c r="E1462" t="n">
        <v>3</v>
      </c>
      <c r="F1462" t="n">
        <v>2</v>
      </c>
      <c r="G1462" t="inlineStr">
        <is>
          <t>10:30</t>
        </is>
      </c>
      <c r="H1462" t="inlineStr">
        <is>
          <t>11:30</t>
        </is>
      </c>
      <c r="I1462" t="inlineStr">
        <is>
          <t>AREAS_MULTIPLES</t>
        </is>
      </c>
      <c r="J1462" t="inlineStr">
        <is>
          <t>0001</t>
        </is>
      </c>
      <c r="K1462" t="inlineStr">
        <is>
          <t>ÁREAS MÚLTIPLES</t>
        </is>
      </c>
      <c r="L1462" t="inlineStr"/>
      <c r="M1462" t="inlineStr"/>
      <c r="N1462" t="inlineStr"/>
      <c r="O1462" t="inlineStr">
        <is>
          <t>Maestro de aula: todas las áreas con su grupo</t>
        </is>
      </c>
      <c r="P1462" t="inlineStr"/>
      <c r="Q1462">
        <f>IF(I1462="ENFASIS","ÉNFASIS "&amp;M1462,IFERROR(VLOOKUP(J1462,Grupos!$A$2:$D$100,4,FALSE),J1462))</f>
        <v/>
      </c>
      <c r="R1462">
        <f>O1462&amp;IF(N1462&lt;&gt;"",IF(O1462&lt;&gt;""," · ","")&amp;"Con: "&amp;N1462,"")</f>
        <v/>
      </c>
      <c r="S1462">
        <f>C1462&amp;"|"&amp;D1462</f>
        <v/>
      </c>
      <c r="T1462">
        <f>COUNTIF($S$2:S1462,S1462)</f>
        <v/>
      </c>
      <c r="U1462">
        <f>S1462&amp;"|"&amp;T1462</f>
        <v/>
      </c>
      <c r="V1462">
        <f>IFERROR(VLOOKUP(IF(I1462="ENFASIS",LEFT(M1462,FIND("+",M1462&amp;"+")-1),J1462),Direccion_Grupo!$A$2:$G$100,7,FALSE),"")</f>
        <v/>
      </c>
    </row>
    <row r="1463">
      <c r="A1463" t="n">
        <v>27</v>
      </c>
      <c r="B1463" t="inlineStr">
        <is>
          <t>Martínez Álvarez Andrea Ascención</t>
        </is>
      </c>
      <c r="C1463" t="inlineStr">
        <is>
          <t>VIERNES</t>
        </is>
      </c>
      <c r="D1463" t="n">
        <v>6</v>
      </c>
      <c r="E1463" t="n">
        <v>3</v>
      </c>
      <c r="F1463" t="n">
        <v>2</v>
      </c>
      <c r="G1463" t="inlineStr">
        <is>
          <t>10:30</t>
        </is>
      </c>
      <c r="H1463" t="inlineStr">
        <is>
          <t>11:30</t>
        </is>
      </c>
      <c r="I1463" t="inlineStr">
        <is>
          <t>AREAS_MULTIPLES</t>
        </is>
      </c>
      <c r="J1463" t="inlineStr">
        <is>
          <t>0002</t>
        </is>
      </c>
      <c r="K1463" t="inlineStr">
        <is>
          <t>ÁREAS MÚLTIPLES</t>
        </is>
      </c>
      <c r="L1463" t="inlineStr"/>
      <c r="M1463" t="inlineStr"/>
      <c r="N1463" t="inlineStr"/>
      <c r="O1463" t="inlineStr">
        <is>
          <t>Maestro de aula: todas las áreas con su grupo</t>
        </is>
      </c>
      <c r="P1463" t="inlineStr"/>
      <c r="Q1463">
        <f>IF(I1463="ENFASIS","ÉNFASIS "&amp;M1463,IFERROR(VLOOKUP(J1463,Grupos!$A$2:$D$100,4,FALSE),J1463))</f>
        <v/>
      </c>
      <c r="R1463">
        <f>O1463&amp;IF(N1463&lt;&gt;"",IF(O1463&lt;&gt;""," · ","")&amp;"Con: "&amp;N1463,"")</f>
        <v/>
      </c>
      <c r="S1463">
        <f>C1463&amp;"|"&amp;D1463</f>
        <v/>
      </c>
      <c r="T1463">
        <f>COUNTIF($S$2:S1463,S1463)</f>
        <v/>
      </c>
      <c r="U1463">
        <f>S1463&amp;"|"&amp;T1463</f>
        <v/>
      </c>
      <c r="V1463">
        <f>IFERROR(VLOOKUP(IF(I1463="ENFASIS",LEFT(M1463,FIND("+",M1463&amp;"+")-1),J1463),Direccion_Grupo!$A$2:$G$100,7,FALSE),"")</f>
        <v/>
      </c>
    </row>
    <row r="1464">
      <c r="A1464" t="n">
        <v>23</v>
      </c>
      <c r="B1464" t="inlineStr">
        <is>
          <t>Landázuri Quiñones María Elia</t>
        </is>
      </c>
      <c r="C1464" t="inlineStr">
        <is>
          <t>VIERNES</t>
        </is>
      </c>
      <c r="D1464" t="n">
        <v>6</v>
      </c>
      <c r="E1464" t="n">
        <v>3</v>
      </c>
      <c r="F1464" t="n">
        <v>2</v>
      </c>
      <c r="G1464" t="inlineStr">
        <is>
          <t>10:55</t>
        </is>
      </c>
      <c r="H1464" t="inlineStr">
        <is>
          <t>11:40</t>
        </is>
      </c>
      <c r="I1464" t="inlineStr">
        <is>
          <t>AREAS_MULTIPLES</t>
        </is>
      </c>
      <c r="J1464" t="inlineStr">
        <is>
          <t>0101</t>
        </is>
      </c>
      <c r="K1464" t="inlineStr">
        <is>
          <t>ÁREAS MÚLTIPLES</t>
        </is>
      </c>
      <c r="L1464" t="inlineStr"/>
      <c r="M1464" t="inlineStr"/>
      <c r="N1464" t="inlineStr"/>
      <c r="O1464" t="inlineStr">
        <is>
          <t>Maestro de aula: todas las áreas con su grupo</t>
        </is>
      </c>
      <c r="P1464" t="inlineStr"/>
      <c r="Q1464">
        <f>IF(I1464="ENFASIS","ÉNFASIS "&amp;M1464,IFERROR(VLOOKUP(J1464,Grupos!$A$2:$D$100,4,FALSE),J1464))</f>
        <v/>
      </c>
      <c r="R1464">
        <f>O1464&amp;IF(N1464&lt;&gt;"",IF(O1464&lt;&gt;""," · ","")&amp;"Con: "&amp;N1464,"")</f>
        <v/>
      </c>
      <c r="S1464">
        <f>C1464&amp;"|"&amp;D1464</f>
        <v/>
      </c>
      <c r="T1464">
        <f>COUNTIF($S$2:S1464,S1464)</f>
        <v/>
      </c>
      <c r="U1464">
        <f>S1464&amp;"|"&amp;T1464</f>
        <v/>
      </c>
      <c r="V1464">
        <f>IFERROR(VLOOKUP(IF(I1464="ENFASIS",LEFT(M1464,FIND("+",M1464&amp;"+")-1),J1464),Direccion_Grupo!$A$2:$G$100,7,FALSE),"")</f>
        <v/>
      </c>
    </row>
    <row r="1465">
      <c r="A1465" t="n">
        <v>45</v>
      </c>
      <c r="B1465" t="inlineStr">
        <is>
          <t>Sinisterra Ana Lucía</t>
        </is>
      </c>
      <c r="C1465" t="inlineStr">
        <is>
          <t>VIERNES</t>
        </is>
      </c>
      <c r="D1465" t="n">
        <v>6</v>
      </c>
      <c r="E1465" t="n">
        <v>3</v>
      </c>
      <c r="F1465" t="n">
        <v>2</v>
      </c>
      <c r="G1465" t="inlineStr">
        <is>
          <t>10:55</t>
        </is>
      </c>
      <c r="H1465" t="inlineStr">
        <is>
          <t>11:40</t>
        </is>
      </c>
      <c r="I1465" t="inlineStr">
        <is>
          <t>AREAS_MULTIPLES</t>
        </is>
      </c>
      <c r="J1465" t="inlineStr">
        <is>
          <t>0102</t>
        </is>
      </c>
      <c r="K1465" t="inlineStr">
        <is>
          <t>ÁREAS MÚLTIPLES</t>
        </is>
      </c>
      <c r="L1465" t="inlineStr"/>
      <c r="M1465" t="inlineStr"/>
      <c r="N1465" t="inlineStr"/>
      <c r="O1465" t="inlineStr">
        <is>
          <t>Maestro de aula: todas las áreas con su grupo</t>
        </is>
      </c>
      <c r="P1465" t="inlineStr"/>
      <c r="Q1465">
        <f>IF(I1465="ENFASIS","ÉNFASIS "&amp;M1465,IFERROR(VLOOKUP(J1465,Grupos!$A$2:$D$100,4,FALSE),J1465))</f>
        <v/>
      </c>
      <c r="R1465">
        <f>O1465&amp;IF(N1465&lt;&gt;"",IF(O1465&lt;&gt;""," · ","")&amp;"Con: "&amp;N1465,"")</f>
        <v/>
      </c>
      <c r="S1465">
        <f>C1465&amp;"|"&amp;D1465</f>
        <v/>
      </c>
      <c r="T1465">
        <f>COUNTIF($S$2:S1465,S1465)</f>
        <v/>
      </c>
      <c r="U1465">
        <f>S1465&amp;"|"&amp;T1465</f>
        <v/>
      </c>
      <c r="V1465">
        <f>IFERROR(VLOOKUP(IF(I1465="ENFASIS",LEFT(M1465,FIND("+",M1465&amp;"+")-1),J1465),Direccion_Grupo!$A$2:$G$100,7,FALSE),"")</f>
        <v/>
      </c>
    </row>
    <row r="1466">
      <c r="A1466" t="n">
        <v>13</v>
      </c>
      <c r="B1466" t="inlineStr">
        <is>
          <t>Cortés Salazar María Ebelice</t>
        </is>
      </c>
      <c r="C1466" t="inlineStr">
        <is>
          <t>VIERNES</t>
        </is>
      </c>
      <c r="D1466" t="n">
        <v>6</v>
      </c>
      <c r="E1466" t="n">
        <v>3</v>
      </c>
      <c r="F1466" t="n">
        <v>2</v>
      </c>
      <c r="G1466" t="inlineStr">
        <is>
          <t>10:55</t>
        </is>
      </c>
      <c r="H1466" t="inlineStr">
        <is>
          <t>11:40</t>
        </is>
      </c>
      <c r="I1466" t="inlineStr">
        <is>
          <t>AREAS_MULTIPLES</t>
        </is>
      </c>
      <c r="J1466" t="inlineStr">
        <is>
          <t>0201</t>
        </is>
      </c>
      <c r="K1466" t="inlineStr">
        <is>
          <t>ÁREAS MÚLTIPLES</t>
        </is>
      </c>
      <c r="L1466" t="inlineStr"/>
      <c r="M1466" t="inlineStr"/>
      <c r="N1466" t="inlineStr"/>
      <c r="O1466" t="inlineStr">
        <is>
          <t>Maestro de aula: todas las áreas con su grupo</t>
        </is>
      </c>
      <c r="P1466" t="inlineStr"/>
      <c r="Q1466">
        <f>IF(I1466="ENFASIS","ÉNFASIS "&amp;M1466,IFERROR(VLOOKUP(J1466,Grupos!$A$2:$D$100,4,FALSE),J1466))</f>
        <v/>
      </c>
      <c r="R1466">
        <f>O1466&amp;IF(N1466&lt;&gt;"",IF(O1466&lt;&gt;""," · ","")&amp;"Con: "&amp;N1466,"")</f>
        <v/>
      </c>
      <c r="S1466">
        <f>C1466&amp;"|"&amp;D1466</f>
        <v/>
      </c>
      <c r="T1466">
        <f>COUNTIF($S$2:S1466,S1466)</f>
        <v/>
      </c>
      <c r="U1466">
        <f>S1466&amp;"|"&amp;T1466</f>
        <v/>
      </c>
      <c r="V1466">
        <f>IFERROR(VLOOKUP(IF(I1466="ENFASIS",LEFT(M1466,FIND("+",M1466&amp;"+")-1),J1466),Direccion_Grupo!$A$2:$G$100,7,FALSE),"")</f>
        <v/>
      </c>
    </row>
    <row r="1467">
      <c r="A1467" t="n">
        <v>21</v>
      </c>
      <c r="B1467" t="inlineStr">
        <is>
          <t>Garzón Quiñones Sixta Janina</t>
        </is>
      </c>
      <c r="C1467" t="inlineStr">
        <is>
          <t>VIERNES</t>
        </is>
      </c>
      <c r="D1467" t="n">
        <v>6</v>
      </c>
      <c r="E1467" t="n">
        <v>3</v>
      </c>
      <c r="F1467" t="n">
        <v>2</v>
      </c>
      <c r="G1467" t="inlineStr">
        <is>
          <t>10:55</t>
        </is>
      </c>
      <c r="H1467" t="inlineStr">
        <is>
          <t>11:40</t>
        </is>
      </c>
      <c r="I1467" t="inlineStr">
        <is>
          <t>AREAS_MULTIPLES</t>
        </is>
      </c>
      <c r="J1467" t="inlineStr">
        <is>
          <t>0202</t>
        </is>
      </c>
      <c r="K1467" t="inlineStr">
        <is>
          <t>ÁREAS MÚLTIPLES</t>
        </is>
      </c>
      <c r="L1467" t="inlineStr"/>
      <c r="M1467" t="inlineStr"/>
      <c r="N1467" t="inlineStr"/>
      <c r="O1467" t="inlineStr">
        <is>
          <t>Maestro de aula: todas las áreas con su grupo</t>
        </is>
      </c>
      <c r="P1467" t="inlineStr"/>
      <c r="Q1467">
        <f>IF(I1467="ENFASIS","ÉNFASIS "&amp;M1467,IFERROR(VLOOKUP(J1467,Grupos!$A$2:$D$100,4,FALSE),J1467))</f>
        <v/>
      </c>
      <c r="R1467">
        <f>O1467&amp;IF(N1467&lt;&gt;"",IF(O1467&lt;&gt;""," · ","")&amp;"Con: "&amp;N1467,"")</f>
        <v/>
      </c>
      <c r="S1467">
        <f>C1467&amp;"|"&amp;D1467</f>
        <v/>
      </c>
      <c r="T1467">
        <f>COUNTIF($S$2:S1467,S1467)</f>
        <v/>
      </c>
      <c r="U1467">
        <f>S1467&amp;"|"&amp;T1467</f>
        <v/>
      </c>
      <c r="V1467">
        <f>IFERROR(VLOOKUP(IF(I1467="ENFASIS",LEFT(M1467,FIND("+",M1467&amp;"+")-1),J1467),Direccion_Grupo!$A$2:$G$100,7,FALSE),"")</f>
        <v/>
      </c>
    </row>
    <row r="1468">
      <c r="A1468" t="n">
        <v>46</v>
      </c>
      <c r="B1468" t="inlineStr">
        <is>
          <t>Tenorio Cuero Lucy Bivian</t>
        </is>
      </c>
      <c r="C1468" t="inlineStr">
        <is>
          <t>VIERNES</t>
        </is>
      </c>
      <c r="D1468" t="n">
        <v>6</v>
      </c>
      <c r="E1468" t="n">
        <v>3</v>
      </c>
      <c r="F1468" t="n">
        <v>2</v>
      </c>
      <c r="G1468" t="inlineStr">
        <is>
          <t>10:55</t>
        </is>
      </c>
      <c r="H1468" t="inlineStr">
        <is>
          <t>11:40</t>
        </is>
      </c>
      <c r="I1468" t="inlineStr">
        <is>
          <t>AREAS_MULTIPLES</t>
        </is>
      </c>
      <c r="J1468" t="inlineStr">
        <is>
          <t>0203</t>
        </is>
      </c>
      <c r="K1468" t="inlineStr">
        <is>
          <t>ÁREAS MÚLTIPLES</t>
        </is>
      </c>
      <c r="L1468" t="inlineStr"/>
      <c r="M1468" t="inlineStr"/>
      <c r="N1468" t="inlineStr"/>
      <c r="O1468" t="inlineStr">
        <is>
          <t>Maestro de aula: todas las áreas con su grupo</t>
        </is>
      </c>
      <c r="P1468" t="inlineStr"/>
      <c r="Q1468">
        <f>IF(I1468="ENFASIS","ÉNFASIS "&amp;M1468,IFERROR(VLOOKUP(J1468,Grupos!$A$2:$D$100,4,FALSE),J1468))</f>
        <v/>
      </c>
      <c r="R1468">
        <f>O1468&amp;IF(N1468&lt;&gt;"",IF(O1468&lt;&gt;""," · ","")&amp;"Con: "&amp;N1468,"")</f>
        <v/>
      </c>
      <c r="S1468">
        <f>C1468&amp;"|"&amp;D1468</f>
        <v/>
      </c>
      <c r="T1468">
        <f>COUNTIF($S$2:S1468,S1468)</f>
        <v/>
      </c>
      <c r="U1468">
        <f>S1468&amp;"|"&amp;T1468</f>
        <v/>
      </c>
      <c r="V1468">
        <f>IFERROR(VLOOKUP(IF(I1468="ENFASIS",LEFT(M1468,FIND("+",M1468&amp;"+")-1),J1468),Direccion_Grupo!$A$2:$G$100,7,FALSE),"")</f>
        <v/>
      </c>
    </row>
    <row r="1469">
      <c r="A1469" t="n">
        <v>48</v>
      </c>
      <c r="B1469" t="inlineStr">
        <is>
          <t>Torres Segura Encarnación</t>
        </is>
      </c>
      <c r="C1469" t="inlineStr">
        <is>
          <t>VIERNES</t>
        </is>
      </c>
      <c r="D1469" t="n">
        <v>6</v>
      </c>
      <c r="E1469" t="n">
        <v>3</v>
      </c>
      <c r="F1469" t="n">
        <v>2</v>
      </c>
      <c r="G1469" t="inlineStr">
        <is>
          <t>10:55</t>
        </is>
      </c>
      <c r="H1469" t="inlineStr">
        <is>
          <t>11:40</t>
        </is>
      </c>
      <c r="I1469" t="inlineStr">
        <is>
          <t>AREAS_MULTIPLES</t>
        </is>
      </c>
      <c r="J1469" t="inlineStr">
        <is>
          <t>0301</t>
        </is>
      </c>
      <c r="K1469" t="inlineStr">
        <is>
          <t>ÁREAS MÚLTIPLES</t>
        </is>
      </c>
      <c r="L1469" t="inlineStr"/>
      <c r="M1469" t="inlineStr"/>
      <c r="N1469" t="inlineStr"/>
      <c r="O1469" t="inlineStr">
        <is>
          <t>Maestro de aula: todas las áreas con su grupo</t>
        </is>
      </c>
      <c r="P1469" t="inlineStr"/>
      <c r="Q1469">
        <f>IF(I1469="ENFASIS","ÉNFASIS "&amp;M1469,IFERROR(VLOOKUP(J1469,Grupos!$A$2:$D$100,4,FALSE),J1469))</f>
        <v/>
      </c>
      <c r="R1469">
        <f>O1469&amp;IF(N1469&lt;&gt;"",IF(O1469&lt;&gt;""," · ","")&amp;"Con: "&amp;N1469,"")</f>
        <v/>
      </c>
      <c r="S1469">
        <f>C1469&amp;"|"&amp;D1469</f>
        <v/>
      </c>
      <c r="T1469">
        <f>COUNTIF($S$2:S1469,S1469)</f>
        <v/>
      </c>
      <c r="U1469">
        <f>S1469&amp;"|"&amp;T1469</f>
        <v/>
      </c>
      <c r="V1469">
        <f>IFERROR(VLOOKUP(IF(I1469="ENFASIS",LEFT(M1469,FIND("+",M1469&amp;"+")-1),J1469),Direccion_Grupo!$A$2:$G$100,7,FALSE),"")</f>
        <v/>
      </c>
    </row>
    <row r="1470">
      <c r="A1470" t="n">
        <v>24</v>
      </c>
      <c r="B1470" t="inlineStr">
        <is>
          <t>Landázuri Gallón Teresa</t>
        </is>
      </c>
      <c r="C1470" t="inlineStr">
        <is>
          <t>VIERNES</t>
        </is>
      </c>
      <c r="D1470" t="n">
        <v>6</v>
      </c>
      <c r="E1470" t="n">
        <v>3</v>
      </c>
      <c r="F1470" t="n">
        <v>2</v>
      </c>
      <c r="G1470" t="inlineStr">
        <is>
          <t>10:55</t>
        </is>
      </c>
      <c r="H1470" t="inlineStr">
        <is>
          <t>11:40</t>
        </is>
      </c>
      <c r="I1470" t="inlineStr">
        <is>
          <t>AREAS_MULTIPLES</t>
        </is>
      </c>
      <c r="J1470" t="inlineStr">
        <is>
          <t>0302</t>
        </is>
      </c>
      <c r="K1470" t="inlineStr">
        <is>
          <t>ÁREAS MÚLTIPLES</t>
        </is>
      </c>
      <c r="L1470" t="inlineStr"/>
      <c r="M1470" t="inlineStr"/>
      <c r="N1470" t="inlineStr"/>
      <c r="O1470" t="inlineStr">
        <is>
          <t>Maestro de aula: todas las áreas con su grupo</t>
        </is>
      </c>
      <c r="P1470" t="inlineStr"/>
      <c r="Q1470">
        <f>IF(I1470="ENFASIS","ÉNFASIS "&amp;M1470,IFERROR(VLOOKUP(J1470,Grupos!$A$2:$D$100,4,FALSE),J1470))</f>
        <v/>
      </c>
      <c r="R1470">
        <f>O1470&amp;IF(N1470&lt;&gt;"",IF(O1470&lt;&gt;""," · ","")&amp;"Con: "&amp;N1470,"")</f>
        <v/>
      </c>
      <c r="S1470">
        <f>C1470&amp;"|"&amp;D1470</f>
        <v/>
      </c>
      <c r="T1470">
        <f>COUNTIF($S$2:S1470,S1470)</f>
        <v/>
      </c>
      <c r="U1470">
        <f>S1470&amp;"|"&amp;T1470</f>
        <v/>
      </c>
      <c r="V1470">
        <f>IFERROR(VLOOKUP(IF(I1470="ENFASIS",LEFT(M1470,FIND("+",M1470&amp;"+")-1),J1470),Direccion_Grupo!$A$2:$G$100,7,FALSE),"")</f>
        <v/>
      </c>
    </row>
    <row r="1471">
      <c r="A1471" t="n">
        <v>55</v>
      </c>
      <c r="B1471" t="inlineStr">
        <is>
          <t>Zamora Ordóñez Celia Pastora</t>
        </is>
      </c>
      <c r="C1471" t="inlineStr">
        <is>
          <t>VIERNES</t>
        </is>
      </c>
      <c r="D1471" t="n">
        <v>6</v>
      </c>
      <c r="E1471" t="n">
        <v>3</v>
      </c>
      <c r="F1471" t="n">
        <v>2</v>
      </c>
      <c r="G1471" t="inlineStr">
        <is>
          <t>10:55</t>
        </is>
      </c>
      <c r="H1471" t="inlineStr">
        <is>
          <t>11:40</t>
        </is>
      </c>
      <c r="I1471" t="inlineStr">
        <is>
          <t>AREAS_MULTIPLES</t>
        </is>
      </c>
      <c r="J1471" t="inlineStr">
        <is>
          <t>0401</t>
        </is>
      </c>
      <c r="K1471" t="inlineStr">
        <is>
          <t>ÁREAS MÚLTIPLES</t>
        </is>
      </c>
      <c r="L1471" t="inlineStr"/>
      <c r="M1471" t="inlineStr"/>
      <c r="N1471" t="inlineStr"/>
      <c r="O1471" t="inlineStr">
        <is>
          <t>Maestro de aula: todas las áreas con su grupo</t>
        </is>
      </c>
      <c r="P1471" t="inlineStr"/>
      <c r="Q1471">
        <f>IF(I1471="ENFASIS","ÉNFASIS "&amp;M1471,IFERROR(VLOOKUP(J1471,Grupos!$A$2:$D$100,4,FALSE),J1471))</f>
        <v/>
      </c>
      <c r="R1471">
        <f>O1471&amp;IF(N1471&lt;&gt;"",IF(O1471&lt;&gt;""," · ","")&amp;"Con: "&amp;N1471,"")</f>
        <v/>
      </c>
      <c r="S1471">
        <f>C1471&amp;"|"&amp;D1471</f>
        <v/>
      </c>
      <c r="T1471">
        <f>COUNTIF($S$2:S1471,S1471)</f>
        <v/>
      </c>
      <c r="U1471">
        <f>S1471&amp;"|"&amp;T1471</f>
        <v/>
      </c>
      <c r="V1471">
        <f>IFERROR(VLOOKUP(IF(I1471="ENFASIS",LEFT(M1471,FIND("+",M1471&amp;"+")-1),J1471),Direccion_Grupo!$A$2:$G$100,7,FALSE),"")</f>
        <v/>
      </c>
    </row>
    <row r="1472">
      <c r="A1472" t="n">
        <v>33</v>
      </c>
      <c r="B1472" t="inlineStr">
        <is>
          <t>Núñez Perlaza Elcy</t>
        </is>
      </c>
      <c r="C1472" t="inlineStr">
        <is>
          <t>VIERNES</t>
        </is>
      </c>
      <c r="D1472" t="n">
        <v>6</v>
      </c>
      <c r="E1472" t="n">
        <v>3</v>
      </c>
      <c r="F1472" t="n">
        <v>2</v>
      </c>
      <c r="G1472" t="inlineStr">
        <is>
          <t>10:55</t>
        </is>
      </c>
      <c r="H1472" t="inlineStr">
        <is>
          <t>11:40</t>
        </is>
      </c>
      <c r="I1472" t="inlineStr">
        <is>
          <t>AREAS_MULTIPLES</t>
        </is>
      </c>
      <c r="J1472" t="inlineStr">
        <is>
          <t>0402</t>
        </is>
      </c>
      <c r="K1472" t="inlineStr">
        <is>
          <t>ÁREAS MÚLTIPLES</t>
        </is>
      </c>
      <c r="L1472" t="inlineStr"/>
      <c r="M1472" t="inlineStr"/>
      <c r="N1472" t="inlineStr"/>
      <c r="O1472" t="inlineStr">
        <is>
          <t>Maestro de aula: todas las áreas con su grupo</t>
        </is>
      </c>
      <c r="P1472" t="inlineStr"/>
      <c r="Q1472">
        <f>IF(I1472="ENFASIS","ÉNFASIS "&amp;M1472,IFERROR(VLOOKUP(J1472,Grupos!$A$2:$D$100,4,FALSE),J1472))</f>
        <v/>
      </c>
      <c r="R1472">
        <f>O1472&amp;IF(N1472&lt;&gt;"",IF(O1472&lt;&gt;""," · ","")&amp;"Con: "&amp;N1472,"")</f>
        <v/>
      </c>
      <c r="S1472">
        <f>C1472&amp;"|"&amp;D1472</f>
        <v/>
      </c>
      <c r="T1472">
        <f>COUNTIF($S$2:S1472,S1472)</f>
        <v/>
      </c>
      <c r="U1472">
        <f>S1472&amp;"|"&amp;T1472</f>
        <v/>
      </c>
      <c r="V1472">
        <f>IFERROR(VLOOKUP(IF(I1472="ENFASIS",LEFT(M1472,FIND("+",M1472&amp;"+")-1),J1472),Direccion_Grupo!$A$2:$G$100,7,FALSE),"")</f>
        <v/>
      </c>
    </row>
    <row r="1473">
      <c r="A1473" t="n">
        <v>14</v>
      </c>
      <c r="B1473" t="inlineStr">
        <is>
          <t>Cuéllar Gallo Nemesia</t>
        </is>
      </c>
      <c r="C1473" t="inlineStr">
        <is>
          <t>VIERNES</t>
        </is>
      </c>
      <c r="D1473" t="n">
        <v>6</v>
      </c>
      <c r="E1473" t="n">
        <v>3</v>
      </c>
      <c r="F1473" t="n">
        <v>2</v>
      </c>
      <c r="G1473" t="inlineStr">
        <is>
          <t>10:55</t>
        </is>
      </c>
      <c r="H1473" t="inlineStr">
        <is>
          <t>11:40</t>
        </is>
      </c>
      <c r="I1473" t="inlineStr">
        <is>
          <t>AREAS_MULTIPLES</t>
        </is>
      </c>
      <c r="J1473" t="inlineStr">
        <is>
          <t>0501</t>
        </is>
      </c>
      <c r="K1473" t="inlineStr">
        <is>
          <t>ÁREAS MÚLTIPLES</t>
        </is>
      </c>
      <c r="L1473" t="inlineStr"/>
      <c r="M1473" t="inlineStr"/>
      <c r="N1473" t="inlineStr"/>
      <c r="O1473" t="inlineStr">
        <is>
          <t>Maestro de aula: todas las áreas con su grupo</t>
        </is>
      </c>
      <c r="P1473" t="inlineStr"/>
      <c r="Q1473">
        <f>IF(I1473="ENFASIS","ÉNFASIS "&amp;M1473,IFERROR(VLOOKUP(J1473,Grupos!$A$2:$D$100,4,FALSE),J1473))</f>
        <v/>
      </c>
      <c r="R1473">
        <f>O1473&amp;IF(N1473&lt;&gt;"",IF(O1473&lt;&gt;""," · ","")&amp;"Con: "&amp;N1473,"")</f>
        <v/>
      </c>
      <c r="S1473">
        <f>C1473&amp;"|"&amp;D1473</f>
        <v/>
      </c>
      <c r="T1473">
        <f>COUNTIF($S$2:S1473,S1473)</f>
        <v/>
      </c>
      <c r="U1473">
        <f>S1473&amp;"|"&amp;T1473</f>
        <v/>
      </c>
      <c r="V1473">
        <f>IFERROR(VLOOKUP(IF(I1473="ENFASIS",LEFT(M1473,FIND("+",M1473&amp;"+")-1),J1473),Direccion_Grupo!$A$2:$G$100,7,FALSE),"")</f>
        <v/>
      </c>
    </row>
    <row r="1474">
      <c r="A1474" t="n">
        <v>11</v>
      </c>
      <c r="B1474" t="inlineStr">
        <is>
          <t>Centeno Zúñiga Claudia Patricia</t>
        </is>
      </c>
      <c r="C1474" t="inlineStr">
        <is>
          <t>VIERNES</t>
        </is>
      </c>
      <c r="D1474" t="n">
        <v>6</v>
      </c>
      <c r="E1474" t="n">
        <v>3</v>
      </c>
      <c r="F1474" t="n">
        <v>2</v>
      </c>
      <c r="G1474" t="inlineStr">
        <is>
          <t>10:55</t>
        </is>
      </c>
      <c r="H1474" t="inlineStr">
        <is>
          <t>11:40</t>
        </is>
      </c>
      <c r="I1474" t="inlineStr">
        <is>
          <t>AREAS_MULTIPLES</t>
        </is>
      </c>
      <c r="J1474" t="inlineStr">
        <is>
          <t>0502</t>
        </is>
      </c>
      <c r="K1474" t="inlineStr">
        <is>
          <t>ÁREAS MÚLTIPLES</t>
        </is>
      </c>
      <c r="L1474" t="inlineStr"/>
      <c r="M1474" t="inlineStr"/>
      <c r="N1474" t="inlineStr"/>
      <c r="O1474" t="inlineStr">
        <is>
          <t>Maestro de aula: todas las áreas con su grupo</t>
        </is>
      </c>
      <c r="P1474" t="inlineStr"/>
      <c r="Q1474">
        <f>IF(I1474="ENFASIS","ÉNFASIS "&amp;M1474,IFERROR(VLOOKUP(J1474,Grupos!$A$2:$D$100,4,FALSE),J1474))</f>
        <v/>
      </c>
      <c r="R1474">
        <f>O1474&amp;IF(N1474&lt;&gt;"",IF(O1474&lt;&gt;""," · ","")&amp;"Con: "&amp;N1474,"")</f>
        <v/>
      </c>
      <c r="S1474">
        <f>C1474&amp;"|"&amp;D1474</f>
        <v/>
      </c>
      <c r="T1474">
        <f>COUNTIF($S$2:S1474,S1474)</f>
        <v/>
      </c>
      <c r="U1474">
        <f>S1474&amp;"|"&amp;T1474</f>
        <v/>
      </c>
      <c r="V1474">
        <f>IFERROR(VLOOKUP(IF(I1474="ENFASIS",LEFT(M1474,FIND("+",M1474&amp;"+")-1),J1474),Direccion_Grupo!$A$2:$G$100,7,FALSE),"")</f>
        <v/>
      </c>
    </row>
    <row r="1475">
      <c r="A1475" t="n">
        <v>32</v>
      </c>
      <c r="B1475" t="inlineStr">
        <is>
          <t>Narváez Sánchez Dora Alejandra</t>
        </is>
      </c>
      <c r="C1475" t="inlineStr">
        <is>
          <t>VIERNES</t>
        </is>
      </c>
      <c r="D1475" t="n">
        <v>6</v>
      </c>
      <c r="E1475" t="n">
        <v>3</v>
      </c>
      <c r="F1475" t="n">
        <v>2</v>
      </c>
      <c r="G1475" t="inlineStr">
        <is>
          <t>10:55</t>
        </is>
      </c>
      <c r="H1475" t="inlineStr">
        <is>
          <t>11:40</t>
        </is>
      </c>
      <c r="I1475" t="inlineStr">
        <is>
          <t>AREAS_MULTIPLES</t>
        </is>
      </c>
      <c r="J1475" t="inlineStr">
        <is>
          <t>0503</t>
        </is>
      </c>
      <c r="K1475" t="inlineStr">
        <is>
          <t>ÁREAS MÚLTIPLES</t>
        </is>
      </c>
      <c r="L1475" t="inlineStr"/>
      <c r="M1475" t="inlineStr"/>
      <c r="N1475" t="inlineStr"/>
      <c r="O1475" t="inlineStr">
        <is>
          <t>Maestro de aula: todas las áreas con su grupo</t>
        </is>
      </c>
      <c r="P1475" t="inlineStr"/>
      <c r="Q1475">
        <f>IF(I1475="ENFASIS","ÉNFASIS "&amp;M1475,IFERROR(VLOOKUP(J1475,Grupos!$A$2:$D$100,4,FALSE),J1475))</f>
        <v/>
      </c>
      <c r="R1475">
        <f>O1475&amp;IF(N1475&lt;&gt;"",IF(O1475&lt;&gt;""," · ","")&amp;"Con: "&amp;N1475,"")</f>
        <v/>
      </c>
      <c r="S1475">
        <f>C1475&amp;"|"&amp;D1475</f>
        <v/>
      </c>
      <c r="T1475">
        <f>COUNTIF($S$2:S1475,S1475)</f>
        <v/>
      </c>
      <c r="U1475">
        <f>S1475&amp;"|"&amp;T1475</f>
        <v/>
      </c>
      <c r="V1475">
        <f>IFERROR(VLOOKUP(IF(I1475="ENFASIS",LEFT(M1475,FIND("+",M1475&amp;"+")-1),J1475),Direccion_Grupo!$A$2:$G$100,7,FALSE),"")</f>
        <v/>
      </c>
    </row>
    <row r="1476">
      <c r="A1476" t="n">
        <v>17</v>
      </c>
      <c r="B1476" t="inlineStr">
        <is>
          <t>Escobar Cortés Liliana</t>
        </is>
      </c>
      <c r="C1476" t="inlineStr">
        <is>
          <t>VIERNES</t>
        </is>
      </c>
      <c r="D1476" t="n">
        <v>6</v>
      </c>
      <c r="E1476" t="n">
        <v>3</v>
      </c>
      <c r="F1476" t="n">
        <v>2</v>
      </c>
      <c r="G1476" t="inlineStr">
        <is>
          <t>10:55</t>
        </is>
      </c>
      <c r="H1476" t="inlineStr">
        <is>
          <t>11:40</t>
        </is>
      </c>
      <c r="I1476" t="inlineStr">
        <is>
          <t>AREAS_MULTIPLES</t>
        </is>
      </c>
      <c r="J1476" t="inlineStr">
        <is>
          <t>0504</t>
        </is>
      </c>
      <c r="K1476" t="inlineStr">
        <is>
          <t>ÁREAS MÚLTIPLES</t>
        </is>
      </c>
      <c r="L1476" t="inlineStr"/>
      <c r="M1476" t="inlineStr"/>
      <c r="N1476" t="inlineStr"/>
      <c r="O1476" t="inlineStr">
        <is>
          <t>Maestro de aula: todas las áreas con su grupo</t>
        </is>
      </c>
      <c r="P1476" t="inlineStr"/>
      <c r="Q1476">
        <f>IF(I1476="ENFASIS","ÉNFASIS "&amp;M1476,IFERROR(VLOOKUP(J1476,Grupos!$A$2:$D$100,4,FALSE),J1476))</f>
        <v/>
      </c>
      <c r="R1476">
        <f>O1476&amp;IF(N1476&lt;&gt;"",IF(O1476&lt;&gt;""," · ","")&amp;"Con: "&amp;N1476,"")</f>
        <v/>
      </c>
      <c r="S1476">
        <f>C1476&amp;"|"&amp;D1476</f>
        <v/>
      </c>
      <c r="T1476">
        <f>COUNTIF($S$2:S1476,S1476)</f>
        <v/>
      </c>
      <c r="U1476">
        <f>S1476&amp;"|"&amp;T1476</f>
        <v/>
      </c>
      <c r="V1476">
        <f>IFERROR(VLOOKUP(IF(I1476="ENFASIS",LEFT(M1476,FIND("+",M1476&amp;"+")-1),J1476),Direccion_Grupo!$A$2:$G$100,7,FALSE),"")</f>
        <v/>
      </c>
    </row>
    <row r="1477">
      <c r="A1477" t="n">
        <v>26</v>
      </c>
      <c r="B1477" t="inlineStr">
        <is>
          <t>Lozano Torres Amanda Inés</t>
        </is>
      </c>
      <c r="C1477" t="inlineStr">
        <is>
          <t>VIERNES</t>
        </is>
      </c>
      <c r="D1477" t="n">
        <v>6</v>
      </c>
      <c r="E1477" t="n">
        <v>3</v>
      </c>
      <c r="F1477" t="n">
        <v>2</v>
      </c>
      <c r="G1477" t="inlineStr">
        <is>
          <t>10:55</t>
        </is>
      </c>
      <c r="H1477" t="inlineStr">
        <is>
          <t>11:40</t>
        </is>
      </c>
      <c r="I1477" t="inlineStr">
        <is>
          <t>CLASE</t>
        </is>
      </c>
      <c r="J1477" t="inlineStr">
        <is>
          <t>0601</t>
        </is>
      </c>
      <c r="K1477" t="inlineStr">
        <is>
          <t>ETR</t>
        </is>
      </c>
      <c r="L1477" t="inlineStr"/>
      <c r="M1477" t="inlineStr"/>
      <c r="N1477" t="inlineStr"/>
      <c r="O1477" t="inlineStr">
        <is>
          <t>Ética / Religión (alternan cada semana)</t>
        </is>
      </c>
      <c r="P1477" t="inlineStr">
        <is>
          <t>0601-ETR</t>
        </is>
      </c>
      <c r="Q1477">
        <f>IF(I1477="ENFASIS","ÉNFASIS "&amp;M1477,IFERROR(VLOOKUP(J1477,Grupos!$A$2:$D$100,4,FALSE),J1477))</f>
        <v/>
      </c>
      <c r="R1477">
        <f>O1477&amp;IF(N1477&lt;&gt;"",IF(O1477&lt;&gt;""," · ","")&amp;"Con: "&amp;N1477,"")</f>
        <v/>
      </c>
      <c r="S1477">
        <f>C1477&amp;"|"&amp;D1477</f>
        <v/>
      </c>
      <c r="T1477">
        <f>COUNTIF($S$2:S1477,S1477)</f>
        <v/>
      </c>
      <c r="U1477">
        <f>S1477&amp;"|"&amp;T1477</f>
        <v/>
      </c>
      <c r="V1477">
        <f>IFERROR(VLOOKUP(IF(I1477="ENFASIS",LEFT(M1477,FIND("+",M1477&amp;"+")-1),J1477),Direccion_Grupo!$A$2:$G$100,7,FALSE),"")</f>
        <v/>
      </c>
    </row>
    <row r="1478">
      <c r="A1478" t="n">
        <v>57</v>
      </c>
      <c r="B1478" t="inlineStr">
        <is>
          <t>Armero Dájome Jesús</t>
        </is>
      </c>
      <c r="C1478" t="inlineStr">
        <is>
          <t>VIERNES</t>
        </is>
      </c>
      <c r="D1478" t="n">
        <v>6</v>
      </c>
      <c r="E1478" t="n">
        <v>3</v>
      </c>
      <c r="F1478" t="n">
        <v>2</v>
      </c>
      <c r="G1478" t="inlineStr">
        <is>
          <t>10:55</t>
        </is>
      </c>
      <c r="H1478" t="inlineStr">
        <is>
          <t>11:40</t>
        </is>
      </c>
      <c r="I1478" t="inlineStr">
        <is>
          <t>CLASE</t>
        </is>
      </c>
      <c r="J1478" t="inlineStr">
        <is>
          <t>0602</t>
        </is>
      </c>
      <c r="K1478" t="inlineStr">
        <is>
          <t>ERD</t>
        </is>
      </c>
      <c r="L1478" t="inlineStr"/>
      <c r="M1478" t="inlineStr"/>
      <c r="N1478" t="inlineStr"/>
      <c r="O1478" t="inlineStr"/>
      <c r="P1478" t="inlineStr">
        <is>
          <t>0602-ERD</t>
        </is>
      </c>
      <c r="Q1478">
        <f>IF(I1478="ENFASIS","ÉNFASIS "&amp;M1478,IFERROR(VLOOKUP(J1478,Grupos!$A$2:$D$100,4,FALSE),J1478))</f>
        <v/>
      </c>
      <c r="R1478">
        <f>O1478&amp;IF(N1478&lt;&gt;"",IF(O1478&lt;&gt;""," · ","")&amp;"Con: "&amp;N1478,"")</f>
        <v/>
      </c>
      <c r="S1478">
        <f>C1478&amp;"|"&amp;D1478</f>
        <v/>
      </c>
      <c r="T1478">
        <f>COUNTIF($S$2:S1478,S1478)</f>
        <v/>
      </c>
      <c r="U1478">
        <f>S1478&amp;"|"&amp;T1478</f>
        <v/>
      </c>
      <c r="V1478">
        <f>IFERROR(VLOOKUP(IF(I1478="ENFASIS",LEFT(M1478,FIND("+",M1478&amp;"+")-1),J1478),Direccion_Grupo!$A$2:$G$100,7,FALSE),"")</f>
        <v/>
      </c>
    </row>
    <row r="1479">
      <c r="A1479" t="n">
        <v>34</v>
      </c>
      <c r="B1479" t="inlineStr">
        <is>
          <t>Ordóñez Tenorio Jaime Marcial</t>
        </is>
      </c>
      <c r="C1479" t="inlineStr">
        <is>
          <t>VIERNES</t>
        </is>
      </c>
      <c r="D1479" t="n">
        <v>6</v>
      </c>
      <c r="E1479" t="n">
        <v>3</v>
      </c>
      <c r="F1479" t="n">
        <v>2</v>
      </c>
      <c r="G1479" t="inlineStr">
        <is>
          <t>10:55</t>
        </is>
      </c>
      <c r="H1479" t="inlineStr">
        <is>
          <t>11:40</t>
        </is>
      </c>
      <c r="I1479" t="inlineStr">
        <is>
          <t>CLASE</t>
        </is>
      </c>
      <c r="J1479" t="inlineStr">
        <is>
          <t>0701</t>
        </is>
      </c>
      <c r="K1479" t="inlineStr">
        <is>
          <t>CNA</t>
        </is>
      </c>
      <c r="L1479" t="inlineStr"/>
      <c r="M1479" t="inlineStr"/>
      <c r="N1479" t="inlineStr"/>
      <c r="O1479" t="inlineStr"/>
      <c r="P1479" t="inlineStr">
        <is>
          <t>0701-CNA</t>
        </is>
      </c>
      <c r="Q1479">
        <f>IF(I1479="ENFASIS","ÉNFASIS "&amp;M1479,IFERROR(VLOOKUP(J1479,Grupos!$A$2:$D$100,4,FALSE),J1479))</f>
        <v/>
      </c>
      <c r="R1479">
        <f>O1479&amp;IF(N1479&lt;&gt;"",IF(O1479&lt;&gt;""," · ","")&amp;"Con: "&amp;N1479,"")</f>
        <v/>
      </c>
      <c r="S1479">
        <f>C1479&amp;"|"&amp;D1479</f>
        <v/>
      </c>
      <c r="T1479">
        <f>COUNTIF($S$2:S1479,S1479)</f>
        <v/>
      </c>
      <c r="U1479">
        <f>S1479&amp;"|"&amp;T1479</f>
        <v/>
      </c>
      <c r="V1479">
        <f>IFERROR(VLOOKUP(IF(I1479="ENFASIS",LEFT(M1479,FIND("+",M1479&amp;"+")-1),J1479),Direccion_Grupo!$A$2:$G$100,7,FALSE),"")</f>
        <v/>
      </c>
    </row>
    <row r="1480">
      <c r="A1480" t="n">
        <v>41</v>
      </c>
      <c r="B1480" t="inlineStr">
        <is>
          <t>Quintero Ramírez María del Carmen</t>
        </is>
      </c>
      <c r="C1480" t="inlineStr">
        <is>
          <t>VIERNES</t>
        </is>
      </c>
      <c r="D1480" t="n">
        <v>6</v>
      </c>
      <c r="E1480" t="n">
        <v>3</v>
      </c>
      <c r="F1480" t="n">
        <v>2</v>
      </c>
      <c r="G1480" t="inlineStr">
        <is>
          <t>10:55</t>
        </is>
      </c>
      <c r="H1480" t="inlineStr">
        <is>
          <t>11:40</t>
        </is>
      </c>
      <c r="I1480" t="inlineStr">
        <is>
          <t>CLASE</t>
        </is>
      </c>
      <c r="J1480" t="inlineStr">
        <is>
          <t>0702</t>
        </is>
      </c>
      <c r="K1480" t="inlineStr">
        <is>
          <t>CSI</t>
        </is>
      </c>
      <c r="L1480" t="inlineStr"/>
      <c r="M1480" t="inlineStr"/>
      <c r="N1480" t="inlineStr"/>
      <c r="O1480" t="inlineStr">
        <is>
          <t>Sociales / Inglés (alternan cada semana)</t>
        </is>
      </c>
      <c r="P1480" t="inlineStr">
        <is>
          <t>0702-CSI</t>
        </is>
      </c>
      <c r="Q1480">
        <f>IF(I1480="ENFASIS","ÉNFASIS "&amp;M1480,IFERROR(VLOOKUP(J1480,Grupos!$A$2:$D$100,4,FALSE),J1480))</f>
        <v/>
      </c>
      <c r="R1480">
        <f>O1480&amp;IF(N1480&lt;&gt;"",IF(O1480&lt;&gt;""," · ","")&amp;"Con: "&amp;N1480,"")</f>
        <v/>
      </c>
      <c r="S1480">
        <f>C1480&amp;"|"&amp;D1480</f>
        <v/>
      </c>
      <c r="T1480">
        <f>COUNTIF($S$2:S1480,S1480)</f>
        <v/>
      </c>
      <c r="U1480">
        <f>S1480&amp;"|"&amp;T1480</f>
        <v/>
      </c>
      <c r="V1480">
        <f>IFERROR(VLOOKUP(IF(I1480="ENFASIS",LEFT(M1480,FIND("+",M1480&amp;"+")-1),J1480),Direccion_Grupo!$A$2:$G$100,7,FALSE),"")</f>
        <v/>
      </c>
    </row>
    <row r="1481">
      <c r="A1481" t="n">
        <v>39</v>
      </c>
      <c r="B1481" t="inlineStr">
        <is>
          <t>Puches Ana Milena</t>
        </is>
      </c>
      <c r="C1481" t="inlineStr">
        <is>
          <t>VIERNES</t>
        </is>
      </c>
      <c r="D1481" t="n">
        <v>6</v>
      </c>
      <c r="E1481" t="n">
        <v>3</v>
      </c>
      <c r="F1481" t="n">
        <v>2</v>
      </c>
      <c r="G1481" t="inlineStr">
        <is>
          <t>10:55</t>
        </is>
      </c>
      <c r="H1481" t="inlineStr">
        <is>
          <t>11:40</t>
        </is>
      </c>
      <c r="I1481" t="inlineStr">
        <is>
          <t>CLASE</t>
        </is>
      </c>
      <c r="J1481" t="inlineStr">
        <is>
          <t>0703</t>
        </is>
      </c>
      <c r="K1481" t="inlineStr">
        <is>
          <t>ART</t>
        </is>
      </c>
      <c r="L1481" t="inlineStr"/>
      <c r="M1481" t="inlineStr"/>
      <c r="N1481" t="inlineStr"/>
      <c r="O1481" t="inlineStr"/>
      <c r="P1481" t="inlineStr">
        <is>
          <t>0703-ART</t>
        </is>
      </c>
      <c r="Q1481">
        <f>IF(I1481="ENFASIS","ÉNFASIS "&amp;M1481,IFERROR(VLOOKUP(J1481,Grupos!$A$2:$D$100,4,FALSE),J1481))</f>
        <v/>
      </c>
      <c r="R1481">
        <f>O1481&amp;IF(N1481&lt;&gt;"",IF(O1481&lt;&gt;""," · ","")&amp;"Con: "&amp;N1481,"")</f>
        <v/>
      </c>
      <c r="S1481">
        <f>C1481&amp;"|"&amp;D1481</f>
        <v/>
      </c>
      <c r="T1481">
        <f>COUNTIF($S$2:S1481,S1481)</f>
        <v/>
      </c>
      <c r="U1481">
        <f>S1481&amp;"|"&amp;T1481</f>
        <v/>
      </c>
      <c r="V1481">
        <f>IFERROR(VLOOKUP(IF(I1481="ENFASIS",LEFT(M1481,FIND("+",M1481&amp;"+")-1),J1481),Direccion_Grupo!$A$2:$G$100,7,FALSE),"")</f>
        <v/>
      </c>
    </row>
    <row r="1482">
      <c r="A1482" t="n">
        <v>52</v>
      </c>
      <c r="B1482" t="inlineStr">
        <is>
          <t>Vásquez Valencia Segundo Leoncio</t>
        </is>
      </c>
      <c r="C1482" t="inlineStr">
        <is>
          <t>VIERNES</t>
        </is>
      </c>
      <c r="D1482" t="n">
        <v>6</v>
      </c>
      <c r="E1482" t="n">
        <v>3</v>
      </c>
      <c r="F1482" t="n">
        <v>2</v>
      </c>
      <c r="G1482" t="inlineStr">
        <is>
          <t>10:55</t>
        </is>
      </c>
      <c r="H1482" t="inlineStr">
        <is>
          <t>11:40</t>
        </is>
      </c>
      <c r="I1482" t="inlineStr">
        <is>
          <t>CLASE</t>
        </is>
      </c>
      <c r="J1482" t="inlineStr">
        <is>
          <t>0704</t>
        </is>
      </c>
      <c r="K1482" t="inlineStr">
        <is>
          <t>MAT</t>
        </is>
      </c>
      <c r="L1482" t="inlineStr"/>
      <c r="M1482" t="inlineStr"/>
      <c r="N1482" t="inlineStr"/>
      <c r="O1482" t="inlineStr"/>
      <c r="P1482" t="inlineStr">
        <is>
          <t>0704-MAT</t>
        </is>
      </c>
      <c r="Q1482">
        <f>IF(I1482="ENFASIS","ÉNFASIS "&amp;M1482,IFERROR(VLOOKUP(J1482,Grupos!$A$2:$D$100,4,FALSE),J1482))</f>
        <v/>
      </c>
      <c r="R1482">
        <f>O1482&amp;IF(N1482&lt;&gt;"",IF(O1482&lt;&gt;""," · ","")&amp;"Con: "&amp;N1482,"")</f>
        <v/>
      </c>
      <c r="S1482">
        <f>C1482&amp;"|"&amp;D1482</f>
        <v/>
      </c>
      <c r="T1482">
        <f>COUNTIF($S$2:S1482,S1482)</f>
        <v/>
      </c>
      <c r="U1482">
        <f>S1482&amp;"|"&amp;T1482</f>
        <v/>
      </c>
      <c r="V1482">
        <f>IFERROR(VLOOKUP(IF(I1482="ENFASIS",LEFT(M1482,FIND("+",M1482&amp;"+")-1),J1482),Direccion_Grupo!$A$2:$G$100,7,FALSE),"")</f>
        <v/>
      </c>
    </row>
    <row r="1483">
      <c r="A1483" t="n">
        <v>38</v>
      </c>
      <c r="B1483" t="inlineStr">
        <is>
          <t>Preciado Torres Oleisa</t>
        </is>
      </c>
      <c r="C1483" t="inlineStr">
        <is>
          <t>VIERNES</t>
        </is>
      </c>
      <c r="D1483" t="n">
        <v>6</v>
      </c>
      <c r="E1483" t="n">
        <v>3</v>
      </c>
      <c r="F1483" t="n">
        <v>2</v>
      </c>
      <c r="G1483" t="inlineStr">
        <is>
          <t>10:55</t>
        </is>
      </c>
      <c r="H1483" t="inlineStr">
        <is>
          <t>11:40</t>
        </is>
      </c>
      <c r="I1483" t="inlineStr">
        <is>
          <t>CLASE</t>
        </is>
      </c>
      <c r="J1483" t="inlineStr">
        <is>
          <t>0802</t>
        </is>
      </c>
      <c r="K1483" t="inlineStr">
        <is>
          <t>MAT</t>
        </is>
      </c>
      <c r="L1483" t="inlineStr"/>
      <c r="M1483" t="inlineStr"/>
      <c r="N1483" t="inlineStr"/>
      <c r="O1483" t="inlineStr"/>
      <c r="P1483" t="inlineStr">
        <is>
          <t>0802-MAT</t>
        </is>
      </c>
      <c r="Q1483">
        <f>IF(I1483="ENFASIS","ÉNFASIS "&amp;M1483,IFERROR(VLOOKUP(J1483,Grupos!$A$2:$D$100,4,FALSE),J1483))</f>
        <v/>
      </c>
      <c r="R1483">
        <f>O1483&amp;IF(N1483&lt;&gt;"",IF(O1483&lt;&gt;""," · ","")&amp;"Con: "&amp;N1483,"")</f>
        <v/>
      </c>
      <c r="S1483">
        <f>C1483&amp;"|"&amp;D1483</f>
        <v/>
      </c>
      <c r="T1483">
        <f>COUNTIF($S$2:S1483,S1483)</f>
        <v/>
      </c>
      <c r="U1483">
        <f>S1483&amp;"|"&amp;T1483</f>
        <v/>
      </c>
      <c r="V1483">
        <f>IFERROR(VLOOKUP(IF(I1483="ENFASIS",LEFT(M1483,FIND("+",M1483&amp;"+")-1),J1483),Direccion_Grupo!$A$2:$G$100,7,FALSE),"")</f>
        <v/>
      </c>
    </row>
    <row r="1484">
      <c r="A1484" t="n">
        <v>22</v>
      </c>
      <c r="B1484" t="inlineStr">
        <is>
          <t>González Castillo Jólmer Jimy</t>
        </is>
      </c>
      <c r="C1484" t="inlineStr">
        <is>
          <t>VIERNES</t>
        </is>
      </c>
      <c r="D1484" t="n">
        <v>6</v>
      </c>
      <c r="E1484" t="n">
        <v>3</v>
      </c>
      <c r="F1484" t="n">
        <v>2</v>
      </c>
      <c r="G1484" t="inlineStr">
        <is>
          <t>10:55</t>
        </is>
      </c>
      <c r="H1484" t="inlineStr">
        <is>
          <t>11:40</t>
        </is>
      </c>
      <c r="I1484" t="inlineStr">
        <is>
          <t>CLASE</t>
        </is>
      </c>
      <c r="J1484" t="inlineStr">
        <is>
          <t>0901</t>
        </is>
      </c>
      <c r="K1484" t="inlineStr">
        <is>
          <t>ERD</t>
        </is>
      </c>
      <c r="L1484" t="inlineStr"/>
      <c r="M1484" t="inlineStr"/>
      <c r="N1484" t="inlineStr"/>
      <c r="O1484" t="inlineStr"/>
      <c r="P1484" t="inlineStr">
        <is>
          <t>0901-ERD</t>
        </is>
      </c>
      <c r="Q1484">
        <f>IF(I1484="ENFASIS","ÉNFASIS "&amp;M1484,IFERROR(VLOOKUP(J1484,Grupos!$A$2:$D$100,4,FALSE),J1484))</f>
        <v/>
      </c>
      <c r="R1484">
        <f>O1484&amp;IF(N1484&lt;&gt;"",IF(O1484&lt;&gt;""," · ","")&amp;"Con: "&amp;N1484,"")</f>
        <v/>
      </c>
      <c r="S1484">
        <f>C1484&amp;"|"&amp;D1484</f>
        <v/>
      </c>
      <c r="T1484">
        <f>COUNTIF($S$2:S1484,S1484)</f>
        <v/>
      </c>
      <c r="U1484">
        <f>S1484&amp;"|"&amp;T1484</f>
        <v/>
      </c>
      <c r="V1484">
        <f>IFERROR(VLOOKUP(IF(I1484="ENFASIS",LEFT(M1484,FIND("+",M1484&amp;"+")-1),J1484),Direccion_Grupo!$A$2:$G$100,7,FALSE),"")</f>
        <v/>
      </c>
    </row>
    <row r="1485">
      <c r="A1485" t="n">
        <v>25</v>
      </c>
      <c r="B1485" t="inlineStr">
        <is>
          <t>Lemos Guancha Miriam</t>
        </is>
      </c>
      <c r="C1485" t="inlineStr">
        <is>
          <t>VIERNES</t>
        </is>
      </c>
      <c r="D1485" t="n">
        <v>6</v>
      </c>
      <c r="E1485" t="n">
        <v>3</v>
      </c>
      <c r="F1485" t="n">
        <v>2</v>
      </c>
      <c r="G1485" t="inlineStr">
        <is>
          <t>10:55</t>
        </is>
      </c>
      <c r="H1485" t="inlineStr">
        <is>
          <t>11:40</t>
        </is>
      </c>
      <c r="I1485" t="inlineStr">
        <is>
          <t>CLASE</t>
        </is>
      </c>
      <c r="J1485" t="inlineStr">
        <is>
          <t>0902</t>
        </is>
      </c>
      <c r="K1485" t="inlineStr">
        <is>
          <t>CNA</t>
        </is>
      </c>
      <c r="L1485" t="inlineStr"/>
      <c r="M1485" t="inlineStr"/>
      <c r="N1485" t="inlineStr"/>
      <c r="O1485" t="inlineStr"/>
      <c r="P1485" t="inlineStr">
        <is>
          <t>0902-CNA</t>
        </is>
      </c>
      <c r="Q1485">
        <f>IF(I1485="ENFASIS","ÉNFASIS "&amp;M1485,IFERROR(VLOOKUP(J1485,Grupos!$A$2:$D$100,4,FALSE),J1485))</f>
        <v/>
      </c>
      <c r="R1485">
        <f>O1485&amp;IF(N1485&lt;&gt;"",IF(O1485&lt;&gt;""," · ","")&amp;"Con: "&amp;N1485,"")</f>
        <v/>
      </c>
      <c r="S1485">
        <f>C1485&amp;"|"&amp;D1485</f>
        <v/>
      </c>
      <c r="T1485">
        <f>COUNTIF($S$2:S1485,S1485)</f>
        <v/>
      </c>
      <c r="U1485">
        <f>S1485&amp;"|"&amp;T1485</f>
        <v/>
      </c>
      <c r="V1485">
        <f>IFERROR(VLOOKUP(IF(I1485="ENFASIS",LEFT(M1485,FIND("+",M1485&amp;"+")-1),J1485),Direccion_Grupo!$A$2:$G$100,7,FALSE),"")</f>
        <v/>
      </c>
    </row>
    <row r="1486">
      <c r="A1486" t="n">
        <v>54</v>
      </c>
      <c r="B1486" t="inlineStr">
        <is>
          <t>Villota Rubio Janeth del Carmen</t>
        </is>
      </c>
      <c r="C1486" t="inlineStr">
        <is>
          <t>VIERNES</t>
        </is>
      </c>
      <c r="D1486" t="n">
        <v>6</v>
      </c>
      <c r="E1486" t="n">
        <v>3</v>
      </c>
      <c r="F1486" t="n">
        <v>2</v>
      </c>
      <c r="G1486" t="inlineStr">
        <is>
          <t>10:55</t>
        </is>
      </c>
      <c r="H1486" t="inlineStr">
        <is>
          <t>11:40</t>
        </is>
      </c>
      <c r="I1486" t="inlineStr">
        <is>
          <t>CLASE</t>
        </is>
      </c>
      <c r="J1486" t="inlineStr">
        <is>
          <t>1002</t>
        </is>
      </c>
      <c r="K1486" t="inlineStr">
        <is>
          <t>MAT</t>
        </is>
      </c>
      <c r="L1486" t="inlineStr"/>
      <c r="M1486" t="inlineStr"/>
      <c r="N1486" t="inlineStr"/>
      <c r="O1486" t="inlineStr"/>
      <c r="P1486" t="inlineStr">
        <is>
          <t>1002-MAT</t>
        </is>
      </c>
      <c r="Q1486">
        <f>IF(I1486="ENFASIS","ÉNFASIS "&amp;M1486,IFERROR(VLOOKUP(J1486,Grupos!$A$2:$D$100,4,FALSE),J1486))</f>
        <v/>
      </c>
      <c r="R1486">
        <f>O1486&amp;IF(N1486&lt;&gt;"",IF(O1486&lt;&gt;""," · ","")&amp;"Con: "&amp;N1486,"")</f>
        <v/>
      </c>
      <c r="S1486">
        <f>C1486&amp;"|"&amp;D1486</f>
        <v/>
      </c>
      <c r="T1486">
        <f>COUNTIF($S$2:S1486,S1486)</f>
        <v/>
      </c>
      <c r="U1486">
        <f>S1486&amp;"|"&amp;T1486</f>
        <v/>
      </c>
      <c r="V1486">
        <f>IFERROR(VLOOKUP(IF(I1486="ENFASIS",LEFT(M1486,FIND("+",M1486&amp;"+")-1),J1486),Direccion_Grupo!$A$2:$G$100,7,FALSE),"")</f>
        <v/>
      </c>
    </row>
    <row r="1487">
      <c r="A1487" t="n">
        <v>40</v>
      </c>
      <c r="B1487" t="inlineStr">
        <is>
          <t>Pulgarín Ortiz César Marino</t>
        </is>
      </c>
      <c r="C1487" t="inlineStr">
        <is>
          <t>VIERNES</t>
        </is>
      </c>
      <c r="D1487" t="n">
        <v>6</v>
      </c>
      <c r="E1487" t="n">
        <v>3</v>
      </c>
      <c r="F1487" t="n">
        <v>2</v>
      </c>
      <c r="G1487" t="inlineStr">
        <is>
          <t>10:55</t>
        </is>
      </c>
      <c r="H1487" t="inlineStr">
        <is>
          <t>11:40</t>
        </is>
      </c>
      <c r="I1487" t="inlineStr">
        <is>
          <t>CLASE</t>
        </is>
      </c>
      <c r="J1487" t="inlineStr">
        <is>
          <t>1101</t>
        </is>
      </c>
      <c r="K1487" t="inlineStr">
        <is>
          <t>CSI</t>
        </is>
      </c>
      <c r="L1487" t="inlineStr"/>
      <c r="M1487" t="inlineStr"/>
      <c r="N1487" t="inlineStr"/>
      <c r="O1487" t="inlineStr">
        <is>
          <t>Sociales / Inglés (alternan cada semana)</t>
        </is>
      </c>
      <c r="P1487" t="inlineStr">
        <is>
          <t>1101-CSI</t>
        </is>
      </c>
      <c r="Q1487">
        <f>IF(I1487="ENFASIS","ÉNFASIS "&amp;M1487,IFERROR(VLOOKUP(J1487,Grupos!$A$2:$D$100,4,FALSE),J1487))</f>
        <v/>
      </c>
      <c r="R1487">
        <f>O1487&amp;IF(N1487&lt;&gt;"",IF(O1487&lt;&gt;""," · ","")&amp;"Con: "&amp;N1487,"")</f>
        <v/>
      </c>
      <c r="S1487">
        <f>C1487&amp;"|"&amp;D1487</f>
        <v/>
      </c>
      <c r="T1487">
        <f>COUNTIF($S$2:S1487,S1487)</f>
        <v/>
      </c>
      <c r="U1487">
        <f>S1487&amp;"|"&amp;T1487</f>
        <v/>
      </c>
      <c r="V1487">
        <f>IFERROR(VLOOKUP(IF(I1487="ENFASIS",LEFT(M1487,FIND("+",M1487&amp;"+")-1),J1487),Direccion_Grupo!$A$2:$G$100,7,FALSE),"")</f>
        <v/>
      </c>
    </row>
    <row r="1488">
      <c r="A1488" t="n">
        <v>31</v>
      </c>
      <c r="B1488" t="inlineStr">
        <is>
          <t>Montaño Arizala Leidis Claudina</t>
        </is>
      </c>
      <c r="C1488" t="inlineStr">
        <is>
          <t>VIERNES</t>
        </is>
      </c>
      <c r="D1488" t="n">
        <v>6</v>
      </c>
      <c r="E1488" t="n">
        <v>3</v>
      </c>
      <c r="F1488" t="n">
        <v>2</v>
      </c>
      <c r="G1488" t="inlineStr">
        <is>
          <t>10:55</t>
        </is>
      </c>
      <c r="H1488" t="inlineStr">
        <is>
          <t>11:40</t>
        </is>
      </c>
      <c r="I1488" t="inlineStr">
        <is>
          <t>CLASE</t>
        </is>
      </c>
      <c r="J1488" t="inlineStr">
        <is>
          <t>1102</t>
        </is>
      </c>
      <c r="K1488" t="inlineStr">
        <is>
          <t>ETR</t>
        </is>
      </c>
      <c r="L1488" t="inlineStr"/>
      <c r="M1488" t="inlineStr"/>
      <c r="N1488" t="inlineStr"/>
      <c r="O1488" t="inlineStr">
        <is>
          <t>Ética / Religión (alternan cada semana)</t>
        </is>
      </c>
      <c r="P1488" t="inlineStr">
        <is>
          <t>1102-ETR</t>
        </is>
      </c>
      <c r="Q1488">
        <f>IF(I1488="ENFASIS","ÉNFASIS "&amp;M1488,IFERROR(VLOOKUP(J1488,Grupos!$A$2:$D$100,4,FALSE),J1488))</f>
        <v/>
      </c>
      <c r="R1488">
        <f>O1488&amp;IF(N1488&lt;&gt;"",IF(O1488&lt;&gt;""," · ","")&amp;"Con: "&amp;N1488,"")</f>
        <v/>
      </c>
      <c r="S1488">
        <f>C1488&amp;"|"&amp;D1488</f>
        <v/>
      </c>
      <c r="T1488">
        <f>COUNTIF($S$2:S1488,S1488)</f>
        <v/>
      </c>
      <c r="U1488">
        <f>S1488&amp;"|"&amp;T1488</f>
        <v/>
      </c>
      <c r="V1488">
        <f>IFERROR(VLOOKUP(IF(I1488="ENFASIS",LEFT(M1488,FIND("+",M1488&amp;"+")-1),J1488),Direccion_Grupo!$A$2:$G$100,7,FALSE),"")</f>
        <v/>
      </c>
    </row>
    <row r="1489">
      <c r="A1489" t="n">
        <v>42</v>
      </c>
      <c r="B1489" t="inlineStr">
        <is>
          <t>Quiñones Cabezas Marcos Vidal</t>
        </is>
      </c>
      <c r="C1489" t="inlineStr">
        <is>
          <t>VIERNES</t>
        </is>
      </c>
      <c r="D1489" t="n">
        <v>6</v>
      </c>
      <c r="E1489" t="n">
        <v>3</v>
      </c>
      <c r="F1489" t="n">
        <v>2</v>
      </c>
      <c r="G1489" t="inlineStr">
        <is>
          <t>10:55</t>
        </is>
      </c>
      <c r="H1489" t="inlineStr">
        <is>
          <t>11:40</t>
        </is>
      </c>
      <c r="I1489" t="inlineStr">
        <is>
          <t>CLASE</t>
        </is>
      </c>
      <c r="J1489" t="inlineStr">
        <is>
          <t>CS101</t>
        </is>
      </c>
      <c r="K1489" t="inlineStr">
        <is>
          <t>MAT</t>
        </is>
      </c>
      <c r="L1489" t="inlineStr"/>
      <c r="M1489" t="inlineStr"/>
      <c r="N1489" t="inlineStr"/>
      <c r="O1489" t="inlineStr"/>
      <c r="P1489" t="inlineStr">
        <is>
          <t>CS101-MAT</t>
        </is>
      </c>
      <c r="Q1489">
        <f>IF(I1489="ENFASIS","ÉNFASIS "&amp;M1489,IFERROR(VLOOKUP(J1489,Grupos!$A$2:$D$100,4,FALSE),J1489))</f>
        <v/>
      </c>
      <c r="R1489">
        <f>O1489&amp;IF(N1489&lt;&gt;"",IF(O1489&lt;&gt;""," · ","")&amp;"Con: "&amp;N1489,"")</f>
        <v/>
      </c>
      <c r="S1489">
        <f>C1489&amp;"|"&amp;D1489</f>
        <v/>
      </c>
      <c r="T1489">
        <f>COUNTIF($S$2:S1489,S1489)</f>
        <v/>
      </c>
      <c r="U1489">
        <f>S1489&amp;"|"&amp;T1489</f>
        <v/>
      </c>
      <c r="V1489">
        <f>IFERROR(VLOOKUP(IF(I1489="ENFASIS",LEFT(M1489,FIND("+",M1489&amp;"+")-1),J1489),Direccion_Grupo!$A$2:$G$100,7,FALSE),"")</f>
        <v/>
      </c>
    </row>
    <row r="1490">
      <c r="A1490" t="n">
        <v>16</v>
      </c>
      <c r="B1490" t="inlineStr">
        <is>
          <t>Cuero Rincón Hernando Jesús</t>
        </is>
      </c>
      <c r="C1490" t="inlineStr">
        <is>
          <t>VIERNES</t>
        </is>
      </c>
      <c r="D1490" t="n">
        <v>6</v>
      </c>
      <c r="E1490" t="n">
        <v>3</v>
      </c>
      <c r="F1490" t="n">
        <v>2</v>
      </c>
      <c r="G1490" t="inlineStr">
        <is>
          <t>10:55</t>
        </is>
      </c>
      <c r="H1490" t="inlineStr">
        <is>
          <t>11:40</t>
        </is>
      </c>
      <c r="I1490" t="inlineStr">
        <is>
          <t>CLASE</t>
        </is>
      </c>
      <c r="J1490" t="inlineStr">
        <is>
          <t>CS102</t>
        </is>
      </c>
      <c r="K1490" t="inlineStr">
        <is>
          <t>CAS</t>
        </is>
      </c>
      <c r="L1490" t="inlineStr"/>
      <c r="M1490" t="inlineStr"/>
      <c r="N1490" t="inlineStr"/>
      <c r="O1490" t="inlineStr"/>
      <c r="P1490" t="inlineStr">
        <is>
          <t>CS102-CAS</t>
        </is>
      </c>
      <c r="Q1490">
        <f>IF(I1490="ENFASIS","ÉNFASIS "&amp;M1490,IFERROR(VLOOKUP(J1490,Grupos!$A$2:$D$100,4,FALSE),J1490))</f>
        <v/>
      </c>
      <c r="R1490">
        <f>O1490&amp;IF(N1490&lt;&gt;"",IF(O1490&lt;&gt;""," · ","")&amp;"Con: "&amp;N1490,"")</f>
        <v/>
      </c>
      <c r="S1490">
        <f>C1490&amp;"|"&amp;D1490</f>
        <v/>
      </c>
      <c r="T1490">
        <f>COUNTIF($S$2:S1490,S1490)</f>
        <v/>
      </c>
      <c r="U1490">
        <f>S1490&amp;"|"&amp;T1490</f>
        <v/>
      </c>
      <c r="V1490">
        <f>IFERROR(VLOOKUP(IF(I1490="ENFASIS",LEFT(M1490,FIND("+",M1490&amp;"+")-1),J1490),Direccion_Grupo!$A$2:$G$100,7,FALSE),"")</f>
        <v/>
      </c>
    </row>
    <row r="1491">
      <c r="A1491" t="n">
        <v>19</v>
      </c>
      <c r="B1491" t="inlineStr">
        <is>
          <t>Fernández Vélez Alfredo Enrique</t>
        </is>
      </c>
      <c r="C1491" t="inlineStr">
        <is>
          <t>VIERNES</t>
        </is>
      </c>
      <c r="D1491" t="n">
        <v>6</v>
      </c>
      <c r="E1491" t="n">
        <v>3</v>
      </c>
      <c r="F1491" t="n">
        <v>2</v>
      </c>
      <c r="G1491" t="inlineStr">
        <is>
          <t>10:55</t>
        </is>
      </c>
      <c r="H1491" t="inlineStr">
        <is>
          <t>11:40</t>
        </is>
      </c>
      <c r="I1491" t="inlineStr">
        <is>
          <t>CLASE</t>
        </is>
      </c>
      <c r="J1491" t="inlineStr">
        <is>
          <t>CS201</t>
        </is>
      </c>
      <c r="K1491" t="inlineStr">
        <is>
          <t>TEI</t>
        </is>
      </c>
      <c r="L1491" t="inlineStr"/>
      <c r="M1491" t="inlineStr"/>
      <c r="N1491" t="inlineStr"/>
      <c r="O1491" t="inlineStr"/>
      <c r="P1491" t="inlineStr">
        <is>
          <t>CS201-TEI</t>
        </is>
      </c>
      <c r="Q1491">
        <f>IF(I1491="ENFASIS","ÉNFASIS "&amp;M1491,IFERROR(VLOOKUP(J1491,Grupos!$A$2:$D$100,4,FALSE),J1491))</f>
        <v/>
      </c>
      <c r="R1491">
        <f>O1491&amp;IF(N1491&lt;&gt;"",IF(O1491&lt;&gt;""," · ","")&amp;"Con: "&amp;N1491,"")</f>
        <v/>
      </c>
      <c r="S1491">
        <f>C1491&amp;"|"&amp;D1491</f>
        <v/>
      </c>
      <c r="T1491">
        <f>COUNTIF($S$2:S1491,S1491)</f>
        <v/>
      </c>
      <c r="U1491">
        <f>S1491&amp;"|"&amp;T1491</f>
        <v/>
      </c>
      <c r="V1491">
        <f>IFERROR(VLOOKUP(IF(I1491="ENFASIS",LEFT(M1491,FIND("+",M1491&amp;"+")-1),J1491),Direccion_Grupo!$A$2:$G$100,7,FALSE),"")</f>
        <v/>
      </c>
    </row>
    <row r="1492">
      <c r="A1492" t="n">
        <v>7</v>
      </c>
      <c r="B1492" t="inlineStr">
        <is>
          <t>Casanova Casanova Johana Andrea</t>
        </is>
      </c>
      <c r="C1492" t="inlineStr">
        <is>
          <t>VIERNES</t>
        </is>
      </c>
      <c r="D1492" t="n">
        <v>6</v>
      </c>
      <c r="E1492" t="n">
        <v>3</v>
      </c>
      <c r="F1492" t="n">
        <v>2</v>
      </c>
      <c r="G1492" t="inlineStr">
        <is>
          <t>10:55</t>
        </is>
      </c>
      <c r="H1492" t="inlineStr">
        <is>
          <t>11:40</t>
        </is>
      </c>
      <c r="I1492" t="inlineStr">
        <is>
          <t>ORIENTACION</t>
        </is>
      </c>
      <c r="J1492" t="inlineStr">
        <is>
          <t>ORIENT</t>
        </is>
      </c>
      <c r="K1492" t="inlineStr">
        <is>
          <t>ORIENTACIÓN ESCOLAR</t>
        </is>
      </c>
      <c r="L1492" t="inlineStr"/>
      <c r="M1492" t="inlineStr"/>
      <c r="N1492" t="inlineStr"/>
      <c r="O1492" t="inlineStr">
        <is>
          <t>Jornada 07:30 a 14:30</t>
        </is>
      </c>
      <c r="P1492" t="inlineStr"/>
      <c r="Q1492">
        <f>IF(I1492="ENFASIS","ÉNFASIS "&amp;M1492,IFERROR(VLOOKUP(J1492,Grupos!$A$2:$D$100,4,FALSE),J1492))</f>
        <v/>
      </c>
      <c r="R1492">
        <f>O1492&amp;IF(N1492&lt;&gt;"",IF(O1492&lt;&gt;""," · ","")&amp;"Con: "&amp;N1492,"")</f>
        <v/>
      </c>
      <c r="S1492">
        <f>C1492&amp;"|"&amp;D1492</f>
        <v/>
      </c>
      <c r="T1492">
        <f>COUNTIF($S$2:S1492,S1492)</f>
        <v/>
      </c>
      <c r="U1492">
        <f>S1492&amp;"|"&amp;T1492</f>
        <v/>
      </c>
      <c r="V1492">
        <f>IFERROR(VLOOKUP(IF(I1492="ENFASIS",LEFT(M1492,FIND("+",M1492&amp;"+")-1),J1492),Direccion_Grupo!$A$2:$G$100,7,FALSE),"")</f>
        <v/>
      </c>
    </row>
    <row r="1493">
      <c r="A1493" t="n">
        <v>36</v>
      </c>
      <c r="B1493" t="inlineStr">
        <is>
          <t>Ponce Moncayo Ángela Paola</t>
        </is>
      </c>
      <c r="C1493" t="inlineStr">
        <is>
          <t>VIERNES</t>
        </is>
      </c>
      <c r="D1493" t="n">
        <v>6</v>
      </c>
      <c r="E1493" t="n">
        <v>3</v>
      </c>
      <c r="F1493" t="n">
        <v>2</v>
      </c>
      <c r="G1493" t="inlineStr">
        <is>
          <t>10:55</t>
        </is>
      </c>
      <c r="H1493" t="inlineStr">
        <is>
          <t>11:40</t>
        </is>
      </c>
      <c r="I1493" t="inlineStr">
        <is>
          <t>ORIENTACION</t>
        </is>
      </c>
      <c r="J1493" t="inlineStr">
        <is>
          <t>ORIENT</t>
        </is>
      </c>
      <c r="K1493" t="inlineStr">
        <is>
          <t>ORIENTACIÓN ESCOLAR</t>
        </is>
      </c>
      <c r="L1493" t="inlineStr"/>
      <c r="M1493" t="inlineStr"/>
      <c r="N1493" t="inlineStr"/>
      <c r="O1493" t="inlineStr">
        <is>
          <t>Jornada 08:30 a 13:30</t>
        </is>
      </c>
      <c r="P1493" t="inlineStr"/>
      <c r="Q1493">
        <f>IF(I1493="ENFASIS","ÉNFASIS "&amp;M1493,IFERROR(VLOOKUP(J1493,Grupos!$A$2:$D$100,4,FALSE),J1493))</f>
        <v/>
      </c>
      <c r="R1493">
        <f>O1493&amp;IF(N1493&lt;&gt;"",IF(O1493&lt;&gt;""," · ","")&amp;"Con: "&amp;N1493,"")</f>
        <v/>
      </c>
      <c r="S1493">
        <f>C1493&amp;"|"&amp;D1493</f>
        <v/>
      </c>
      <c r="T1493">
        <f>COUNTIF($S$2:S1493,S1493)</f>
        <v/>
      </c>
      <c r="U1493">
        <f>S1493&amp;"|"&amp;T1493</f>
        <v/>
      </c>
      <c r="V1493">
        <f>IFERROR(VLOOKUP(IF(I1493="ENFASIS",LEFT(M1493,FIND("+",M1493&amp;"+")-1),J1493),Direccion_Grupo!$A$2:$G$100,7,FALSE),"")</f>
        <v/>
      </c>
    </row>
    <row r="1494">
      <c r="A1494" t="n">
        <v>56</v>
      </c>
      <c r="B1494" t="inlineStr">
        <is>
          <t>Ortiz Estacio Martha Cecilia</t>
        </is>
      </c>
      <c r="C1494" t="inlineStr">
        <is>
          <t>VIERNES</t>
        </is>
      </c>
      <c r="D1494" t="n">
        <v>6</v>
      </c>
      <c r="E1494" t="n">
        <v>3</v>
      </c>
      <c r="F1494" t="n">
        <v>2</v>
      </c>
      <c r="G1494" t="inlineStr">
        <is>
          <t>10:55</t>
        </is>
      </c>
      <c r="H1494" t="inlineStr">
        <is>
          <t>11:40</t>
        </is>
      </c>
      <c r="I1494" t="inlineStr">
        <is>
          <t>TUTORIA</t>
        </is>
      </c>
      <c r="J1494" t="inlineStr">
        <is>
          <t>PTAFI</t>
        </is>
      </c>
      <c r="K1494" t="inlineStr">
        <is>
          <t>TUTORÍA PTAFI</t>
        </is>
      </c>
      <c r="L1494" t="inlineStr"/>
      <c r="M1494" t="inlineStr"/>
      <c r="N1494" t="inlineStr"/>
      <c r="O1494" t="inlineStr">
        <is>
          <t>Jornada 06:30 a 12:00</t>
        </is>
      </c>
      <c r="P1494" t="inlineStr"/>
      <c r="Q1494">
        <f>IF(I1494="ENFASIS","ÉNFASIS "&amp;M1494,IFERROR(VLOOKUP(J1494,Grupos!$A$2:$D$100,4,FALSE),J1494))</f>
        <v/>
      </c>
      <c r="R1494">
        <f>O1494&amp;IF(N1494&lt;&gt;"",IF(O1494&lt;&gt;""," · ","")&amp;"Con: "&amp;N1494,"")</f>
        <v/>
      </c>
      <c r="S1494">
        <f>C1494&amp;"|"&amp;D1494</f>
        <v/>
      </c>
      <c r="T1494">
        <f>COUNTIF($S$2:S1494,S1494)</f>
        <v/>
      </c>
      <c r="U1494">
        <f>S1494&amp;"|"&amp;T1494</f>
        <v/>
      </c>
      <c r="V1494">
        <f>IFERROR(VLOOKUP(IF(I1494="ENFASIS",LEFT(M1494,FIND("+",M1494&amp;"+")-1),J1494),Direccion_Grupo!$A$2:$G$100,7,FALSE),"")</f>
        <v/>
      </c>
    </row>
    <row r="1495">
      <c r="A1495" t="n">
        <v>12</v>
      </c>
      <c r="B1495" t="inlineStr">
        <is>
          <t>Chillambo Quiñones María Rocío</t>
        </is>
      </c>
      <c r="C1495" t="inlineStr">
        <is>
          <t>VIERNES</t>
        </is>
      </c>
      <c r="D1495" t="n">
        <v>6</v>
      </c>
      <c r="E1495" t="n">
        <v>3</v>
      </c>
      <c r="F1495" t="n">
        <v>2</v>
      </c>
      <c r="G1495" t="inlineStr">
        <is>
          <t>10:55</t>
        </is>
      </c>
      <c r="H1495" t="inlineStr">
        <is>
          <t>11:40</t>
        </is>
      </c>
      <c r="I1495" t="inlineStr">
        <is>
          <t>ENFASIS</t>
        </is>
      </c>
      <c r="J1495" t="inlineStr"/>
      <c r="K1495" t="inlineStr">
        <is>
          <t>CNA</t>
        </is>
      </c>
      <c r="L1495" t="inlineStr">
        <is>
          <t>0801</t>
        </is>
      </c>
      <c r="M1495" t="inlineStr">
        <is>
          <t>0801</t>
        </is>
      </c>
      <c r="N1495" t="inlineStr">
        <is>
          <t>Samaniego Angulo Flor Mireya (ART); Valverde Montaño María Teresa (CAS); Cuero Bamba Berte Levi (ERD)</t>
        </is>
      </c>
      <c r="O1495" t="inlineStr">
        <is>
          <t>EQUIPO DE 4: cada docente atiende un grupo de estudiantes en su área</t>
        </is>
      </c>
      <c r="P1495" t="inlineStr">
        <is>
          <t>ENFASIS-0801</t>
        </is>
      </c>
      <c r="Q1495">
        <f>IF(I1495="ENFASIS","ÉNFASIS "&amp;M1495,IFERROR(VLOOKUP(J1495,Grupos!$A$2:$D$100,4,FALSE),J1495))</f>
        <v/>
      </c>
      <c r="R1495">
        <f>O1495&amp;IF(N1495&lt;&gt;"",IF(O1495&lt;&gt;""," · ","")&amp;"Con: "&amp;N1495,"")</f>
        <v/>
      </c>
      <c r="S1495">
        <f>C1495&amp;"|"&amp;D1495</f>
        <v/>
      </c>
      <c r="T1495">
        <f>COUNTIF($S$2:S1495,S1495)</f>
        <v/>
      </c>
      <c r="U1495">
        <f>S1495&amp;"|"&amp;T1495</f>
        <v/>
      </c>
      <c r="V1495">
        <f>IFERROR(VLOOKUP(IF(I1495="ENFASIS",LEFT(M1495,FIND("+",M1495&amp;"+")-1),J1495),Direccion_Grupo!$A$2:$G$100,7,FALSE),"")</f>
        <v/>
      </c>
    </row>
    <row r="1496">
      <c r="A1496" t="n">
        <v>15</v>
      </c>
      <c r="B1496" t="inlineStr">
        <is>
          <t>Cuero Bamba Berte Levi</t>
        </is>
      </c>
      <c r="C1496" t="inlineStr">
        <is>
          <t>VIERNES</t>
        </is>
      </c>
      <c r="D1496" t="n">
        <v>6</v>
      </c>
      <c r="E1496" t="n">
        <v>3</v>
      </c>
      <c r="F1496" t="n">
        <v>2</v>
      </c>
      <c r="G1496" t="inlineStr">
        <is>
          <t>10:55</t>
        </is>
      </c>
      <c r="H1496" t="inlineStr">
        <is>
          <t>11:40</t>
        </is>
      </c>
      <c r="I1496" t="inlineStr">
        <is>
          <t>ENFASIS</t>
        </is>
      </c>
      <c r="J1496" t="inlineStr"/>
      <c r="K1496" t="inlineStr">
        <is>
          <t>ERD</t>
        </is>
      </c>
      <c r="L1496" t="inlineStr">
        <is>
          <t>0801</t>
        </is>
      </c>
      <c r="M1496" t="inlineStr">
        <is>
          <t>0801</t>
        </is>
      </c>
      <c r="N1496" t="inlineStr">
        <is>
          <t>Samaniego Angulo Flor Mireya (ART); Valverde Montaño María Teresa (CAS); Chillambo Quiñones María Rocío (CNA)</t>
        </is>
      </c>
      <c r="O1496" t="inlineStr">
        <is>
          <t>EQUIPO DE 4: cada docente atiende un grupo de estudiantes en su área</t>
        </is>
      </c>
      <c r="P1496" t="inlineStr">
        <is>
          <t>ENFASIS-0801</t>
        </is>
      </c>
      <c r="Q1496">
        <f>IF(I1496="ENFASIS","ÉNFASIS "&amp;M1496,IFERROR(VLOOKUP(J1496,Grupos!$A$2:$D$100,4,FALSE),J1496))</f>
        <v/>
      </c>
      <c r="R1496">
        <f>O1496&amp;IF(N1496&lt;&gt;"",IF(O1496&lt;&gt;""," · ","")&amp;"Con: "&amp;N1496,"")</f>
        <v/>
      </c>
      <c r="S1496">
        <f>C1496&amp;"|"&amp;D1496</f>
        <v/>
      </c>
      <c r="T1496">
        <f>COUNTIF($S$2:S1496,S1496)</f>
        <v/>
      </c>
      <c r="U1496">
        <f>S1496&amp;"|"&amp;T1496</f>
        <v/>
      </c>
      <c r="V1496">
        <f>IFERROR(VLOOKUP(IF(I1496="ENFASIS",LEFT(M1496,FIND("+",M1496&amp;"+")-1),J1496),Direccion_Grupo!$A$2:$G$100,7,FALSE),"")</f>
        <v/>
      </c>
    </row>
    <row r="1497">
      <c r="A1497" t="n">
        <v>44</v>
      </c>
      <c r="B1497" t="inlineStr">
        <is>
          <t>Samaniego Angulo Flor Mireya</t>
        </is>
      </c>
      <c r="C1497" t="inlineStr">
        <is>
          <t>VIERNES</t>
        </is>
      </c>
      <c r="D1497" t="n">
        <v>6</v>
      </c>
      <c r="E1497" t="n">
        <v>3</v>
      </c>
      <c r="F1497" t="n">
        <v>2</v>
      </c>
      <c r="G1497" t="inlineStr">
        <is>
          <t>10:55</t>
        </is>
      </c>
      <c r="H1497" t="inlineStr">
        <is>
          <t>11:40</t>
        </is>
      </c>
      <c r="I1497" t="inlineStr">
        <is>
          <t>ENFASIS</t>
        </is>
      </c>
      <c r="J1497" t="inlineStr"/>
      <c r="K1497" t="inlineStr">
        <is>
          <t>ART</t>
        </is>
      </c>
      <c r="L1497" t="inlineStr">
        <is>
          <t>0801</t>
        </is>
      </c>
      <c r="M1497" t="inlineStr">
        <is>
          <t>0801</t>
        </is>
      </c>
      <c r="N1497" t="inlineStr">
        <is>
          <t>Valverde Montaño María Teresa (CAS); Cuero Bamba Berte Levi (ERD); Chillambo Quiñones María Rocío (CNA)</t>
        </is>
      </c>
      <c r="O1497" t="inlineStr">
        <is>
          <t>EQUIPO DE 4: cada docente atiende un grupo de estudiantes en su área</t>
        </is>
      </c>
      <c r="P1497" t="inlineStr">
        <is>
          <t>ENFASIS-0801</t>
        </is>
      </c>
      <c r="Q1497">
        <f>IF(I1497="ENFASIS","ÉNFASIS "&amp;M1497,IFERROR(VLOOKUP(J1497,Grupos!$A$2:$D$100,4,FALSE),J1497))</f>
        <v/>
      </c>
      <c r="R1497">
        <f>O1497&amp;IF(N1497&lt;&gt;"",IF(O1497&lt;&gt;""," · ","")&amp;"Con: "&amp;N1497,"")</f>
        <v/>
      </c>
      <c r="S1497">
        <f>C1497&amp;"|"&amp;D1497</f>
        <v/>
      </c>
      <c r="T1497">
        <f>COUNTIF($S$2:S1497,S1497)</f>
        <v/>
      </c>
      <c r="U1497">
        <f>S1497&amp;"|"&amp;T1497</f>
        <v/>
      </c>
      <c r="V1497">
        <f>IFERROR(VLOOKUP(IF(I1497="ENFASIS",LEFT(M1497,FIND("+",M1497&amp;"+")-1),J1497),Direccion_Grupo!$A$2:$G$100,7,FALSE),"")</f>
        <v/>
      </c>
    </row>
    <row r="1498">
      <c r="A1498" t="n">
        <v>51</v>
      </c>
      <c r="B1498" t="inlineStr">
        <is>
          <t>Valverde Montaño María Teresa</t>
        </is>
      </c>
      <c r="C1498" t="inlineStr">
        <is>
          <t>VIERNES</t>
        </is>
      </c>
      <c r="D1498" t="n">
        <v>6</v>
      </c>
      <c r="E1498" t="n">
        <v>3</v>
      </c>
      <c r="F1498" t="n">
        <v>2</v>
      </c>
      <c r="G1498" t="inlineStr">
        <is>
          <t>10:55</t>
        </is>
      </c>
      <c r="H1498" t="inlineStr">
        <is>
          <t>11:40</t>
        </is>
      </c>
      <c r="I1498" t="inlineStr">
        <is>
          <t>ENFASIS</t>
        </is>
      </c>
      <c r="J1498" t="inlineStr"/>
      <c r="K1498" t="inlineStr">
        <is>
          <t>CAS</t>
        </is>
      </c>
      <c r="L1498" t="inlineStr">
        <is>
          <t>0801</t>
        </is>
      </c>
      <c r="M1498" t="inlineStr">
        <is>
          <t>0801</t>
        </is>
      </c>
      <c r="N1498" t="inlineStr">
        <is>
          <t>Samaniego Angulo Flor Mireya (ART); Cuero Bamba Berte Levi (ERD); Chillambo Quiñones María Rocío (CNA)</t>
        </is>
      </c>
      <c r="O1498" t="inlineStr">
        <is>
          <t>EQUIPO DE 4: cada docente atiende un grupo de estudiantes en su área</t>
        </is>
      </c>
      <c r="P1498" t="inlineStr">
        <is>
          <t>ENFASIS-0801</t>
        </is>
      </c>
      <c r="Q1498">
        <f>IF(I1498="ENFASIS","ÉNFASIS "&amp;M1498,IFERROR(VLOOKUP(J1498,Grupos!$A$2:$D$100,4,FALSE),J1498))</f>
        <v/>
      </c>
      <c r="R1498">
        <f>O1498&amp;IF(N1498&lt;&gt;"",IF(O1498&lt;&gt;""," · ","")&amp;"Con: "&amp;N1498,"")</f>
        <v/>
      </c>
      <c r="S1498">
        <f>C1498&amp;"|"&amp;D1498</f>
        <v/>
      </c>
      <c r="T1498">
        <f>COUNTIF($S$2:S1498,S1498)</f>
        <v/>
      </c>
      <c r="U1498">
        <f>S1498&amp;"|"&amp;T1498</f>
        <v/>
      </c>
      <c r="V1498">
        <f>IFERROR(VLOOKUP(IF(I1498="ENFASIS",LEFT(M1498,FIND("+",M1498&amp;"+")-1),J1498),Direccion_Grupo!$A$2:$G$100,7,FALSE),"")</f>
        <v/>
      </c>
    </row>
    <row r="1499">
      <c r="A1499" t="n">
        <v>3</v>
      </c>
      <c r="B1499" t="inlineStr">
        <is>
          <t>Arboleda Ortiz Luz América</t>
        </is>
      </c>
      <c r="C1499" t="inlineStr">
        <is>
          <t>VIERNES</t>
        </is>
      </c>
      <c r="D1499" t="n">
        <v>6</v>
      </c>
      <c r="E1499" t="n">
        <v>3</v>
      </c>
      <c r="F1499" t="n">
        <v>2</v>
      </c>
      <c r="G1499" t="inlineStr">
        <is>
          <t>10:55</t>
        </is>
      </c>
      <c r="H1499" t="inlineStr">
        <is>
          <t>11:40</t>
        </is>
      </c>
      <c r="I1499" t="inlineStr">
        <is>
          <t>ENFASIS</t>
        </is>
      </c>
      <c r="J1499" t="inlineStr"/>
      <c r="K1499" t="inlineStr">
        <is>
          <t>ART</t>
        </is>
      </c>
      <c r="L1499" t="inlineStr">
        <is>
          <t>D5-10°</t>
        </is>
      </c>
      <c r="M1499" t="inlineStr">
        <is>
          <t>1001</t>
        </is>
      </c>
      <c r="N1499" t="inlineStr">
        <is>
          <t>Montaño Anchico Favio Héctor (CAS); Ramírez Guerra Jimmy Eduardo (ERD); Villota Rubio Héctor Hugo (CNA)</t>
        </is>
      </c>
      <c r="O1499" t="inlineStr">
        <is>
          <t>EQUIPO DE 4: cada docente atiende un grupo de estudiantes en su área</t>
        </is>
      </c>
      <c r="P1499" t="inlineStr">
        <is>
          <t>ENFASIS-D5-10°</t>
        </is>
      </c>
      <c r="Q1499">
        <f>IF(I1499="ENFASIS","ÉNFASIS "&amp;M1499,IFERROR(VLOOKUP(J1499,Grupos!$A$2:$D$100,4,FALSE),J1499))</f>
        <v/>
      </c>
      <c r="R1499">
        <f>O1499&amp;IF(N1499&lt;&gt;"",IF(O1499&lt;&gt;""," · ","")&amp;"Con: "&amp;N1499,"")</f>
        <v/>
      </c>
      <c r="S1499">
        <f>C1499&amp;"|"&amp;D1499</f>
        <v/>
      </c>
      <c r="T1499">
        <f>COUNTIF($S$2:S1499,S1499)</f>
        <v/>
      </c>
      <c r="U1499">
        <f>S1499&amp;"|"&amp;T1499</f>
        <v/>
      </c>
      <c r="V1499">
        <f>IFERROR(VLOOKUP(IF(I1499="ENFASIS",LEFT(M1499,FIND("+",M1499&amp;"+")-1),J1499),Direccion_Grupo!$A$2:$G$100,7,FALSE),"")</f>
        <v/>
      </c>
    </row>
    <row r="1500">
      <c r="A1500" t="n">
        <v>30</v>
      </c>
      <c r="B1500" t="inlineStr">
        <is>
          <t>Montaño Anchico Favio Héctor</t>
        </is>
      </c>
      <c r="C1500" t="inlineStr">
        <is>
          <t>VIERNES</t>
        </is>
      </c>
      <c r="D1500" t="n">
        <v>6</v>
      </c>
      <c r="E1500" t="n">
        <v>3</v>
      </c>
      <c r="F1500" t="n">
        <v>2</v>
      </c>
      <c r="G1500" t="inlineStr">
        <is>
          <t>10:55</t>
        </is>
      </c>
      <c r="H1500" t="inlineStr">
        <is>
          <t>11:40</t>
        </is>
      </c>
      <c r="I1500" t="inlineStr">
        <is>
          <t>ENFASIS</t>
        </is>
      </c>
      <c r="J1500" t="inlineStr"/>
      <c r="K1500" t="inlineStr">
        <is>
          <t>CAS</t>
        </is>
      </c>
      <c r="L1500" t="inlineStr">
        <is>
          <t>D5-10°</t>
        </is>
      </c>
      <c r="M1500" t="inlineStr">
        <is>
          <t>1001</t>
        </is>
      </c>
      <c r="N1500" t="inlineStr">
        <is>
          <t>Arboleda Ortiz Luz América (ART); Ramírez Guerra Jimmy Eduardo (ERD); Villota Rubio Héctor Hugo (CNA)</t>
        </is>
      </c>
      <c r="O1500" t="inlineStr">
        <is>
          <t>EQUIPO DE 4: cada docente atiende un grupo de estudiantes en su área</t>
        </is>
      </c>
      <c r="P1500" t="inlineStr">
        <is>
          <t>ENFASIS-D5-10°</t>
        </is>
      </c>
      <c r="Q1500">
        <f>IF(I1500="ENFASIS","ÉNFASIS "&amp;M1500,IFERROR(VLOOKUP(J1500,Grupos!$A$2:$D$100,4,FALSE),J1500))</f>
        <v/>
      </c>
      <c r="R1500">
        <f>O1500&amp;IF(N1500&lt;&gt;"",IF(O1500&lt;&gt;""," · ","")&amp;"Con: "&amp;N1500,"")</f>
        <v/>
      </c>
      <c r="S1500">
        <f>C1500&amp;"|"&amp;D1500</f>
        <v/>
      </c>
      <c r="T1500">
        <f>COUNTIF($S$2:S1500,S1500)</f>
        <v/>
      </c>
      <c r="U1500">
        <f>S1500&amp;"|"&amp;T1500</f>
        <v/>
      </c>
      <c r="V1500">
        <f>IFERROR(VLOOKUP(IF(I1500="ENFASIS",LEFT(M1500,FIND("+",M1500&amp;"+")-1),J1500),Direccion_Grupo!$A$2:$G$100,7,FALSE),"")</f>
        <v/>
      </c>
    </row>
    <row r="1501">
      <c r="A1501" t="n">
        <v>43</v>
      </c>
      <c r="B1501" t="inlineStr">
        <is>
          <t>Ramírez Guerra Jimmy Eduardo</t>
        </is>
      </c>
      <c r="C1501" t="inlineStr">
        <is>
          <t>VIERNES</t>
        </is>
      </c>
      <c r="D1501" t="n">
        <v>6</v>
      </c>
      <c r="E1501" t="n">
        <v>3</v>
      </c>
      <c r="F1501" t="n">
        <v>2</v>
      </c>
      <c r="G1501" t="inlineStr">
        <is>
          <t>10:55</t>
        </is>
      </c>
      <c r="H1501" t="inlineStr">
        <is>
          <t>11:40</t>
        </is>
      </c>
      <c r="I1501" t="inlineStr">
        <is>
          <t>ENFASIS</t>
        </is>
      </c>
      <c r="J1501" t="inlineStr"/>
      <c r="K1501" t="inlineStr">
        <is>
          <t>ERD</t>
        </is>
      </c>
      <c r="L1501" t="inlineStr">
        <is>
          <t>D5-10°</t>
        </is>
      </c>
      <c r="M1501" t="inlineStr">
        <is>
          <t>1001</t>
        </is>
      </c>
      <c r="N1501" t="inlineStr">
        <is>
          <t>Arboleda Ortiz Luz América (ART); Montaño Anchico Favio Héctor (CAS); Villota Rubio Héctor Hugo (CNA)</t>
        </is>
      </c>
      <c r="O1501" t="inlineStr">
        <is>
          <t>EQUIPO DE 4: cada docente atiende un grupo de estudiantes en su área</t>
        </is>
      </c>
      <c r="P1501" t="inlineStr">
        <is>
          <t>ENFASIS-D5-10°</t>
        </is>
      </c>
      <c r="Q1501">
        <f>IF(I1501="ENFASIS","ÉNFASIS "&amp;M1501,IFERROR(VLOOKUP(J1501,Grupos!$A$2:$D$100,4,FALSE),J1501))</f>
        <v/>
      </c>
      <c r="R1501">
        <f>O1501&amp;IF(N1501&lt;&gt;"",IF(O1501&lt;&gt;""," · ","")&amp;"Con: "&amp;N1501,"")</f>
        <v/>
      </c>
      <c r="S1501">
        <f>C1501&amp;"|"&amp;D1501</f>
        <v/>
      </c>
      <c r="T1501">
        <f>COUNTIF($S$2:S1501,S1501)</f>
        <v/>
      </c>
      <c r="U1501">
        <f>S1501&amp;"|"&amp;T1501</f>
        <v/>
      </c>
      <c r="V1501">
        <f>IFERROR(VLOOKUP(IF(I1501="ENFASIS",LEFT(M1501,FIND("+",M1501&amp;"+")-1),J1501),Direccion_Grupo!$A$2:$G$100,7,FALSE),"")</f>
        <v/>
      </c>
    </row>
    <row r="1502">
      <c r="A1502" t="n">
        <v>53</v>
      </c>
      <c r="B1502" t="inlineStr">
        <is>
          <t>Villota Rubio Héctor Hugo</t>
        </is>
      </c>
      <c r="C1502" t="inlineStr">
        <is>
          <t>VIERNES</t>
        </is>
      </c>
      <c r="D1502" t="n">
        <v>6</v>
      </c>
      <c r="E1502" t="n">
        <v>3</v>
      </c>
      <c r="F1502" t="n">
        <v>2</v>
      </c>
      <c r="G1502" t="inlineStr">
        <is>
          <t>10:55</t>
        </is>
      </c>
      <c r="H1502" t="inlineStr">
        <is>
          <t>11:40</t>
        </is>
      </c>
      <c r="I1502" t="inlineStr">
        <is>
          <t>ENFASIS</t>
        </is>
      </c>
      <c r="J1502" t="inlineStr"/>
      <c r="K1502" t="inlineStr">
        <is>
          <t>CNA</t>
        </is>
      </c>
      <c r="L1502" t="inlineStr">
        <is>
          <t>D5-10°</t>
        </is>
      </c>
      <c r="M1502" t="inlineStr">
        <is>
          <t>1001</t>
        </is>
      </c>
      <c r="N1502" t="inlineStr">
        <is>
          <t>Arboleda Ortiz Luz América (ART); Montaño Anchico Favio Héctor (CAS); Ramírez Guerra Jimmy Eduardo (ERD)</t>
        </is>
      </c>
      <c r="O1502" t="inlineStr">
        <is>
          <t>EQUIPO DE 4: cada docente atiende un grupo de estudiantes en su área</t>
        </is>
      </c>
      <c r="P1502" t="inlineStr">
        <is>
          <t>ENFASIS-D5-10°</t>
        </is>
      </c>
      <c r="Q1502">
        <f>IF(I1502="ENFASIS","ÉNFASIS "&amp;M1502,IFERROR(VLOOKUP(J1502,Grupos!$A$2:$D$100,4,FALSE),J1502))</f>
        <v/>
      </c>
      <c r="R1502">
        <f>O1502&amp;IF(N1502&lt;&gt;"",IF(O1502&lt;&gt;""," · ","")&amp;"Con: "&amp;N1502,"")</f>
        <v/>
      </c>
      <c r="S1502">
        <f>C1502&amp;"|"&amp;D1502</f>
        <v/>
      </c>
      <c r="T1502">
        <f>COUNTIF($S$2:S1502,S1502)</f>
        <v/>
      </c>
      <c r="U1502">
        <f>S1502&amp;"|"&amp;T1502</f>
        <v/>
      </c>
      <c r="V1502">
        <f>IFERROR(VLOOKUP(IF(I1502="ENFASIS",LEFT(M1502,FIND("+",M1502&amp;"+")-1),J1502),Direccion_Grupo!$A$2:$G$100,7,FALSE),"")</f>
        <v/>
      </c>
    </row>
    <row r="1503">
      <c r="A1503" t="n">
        <v>5</v>
      </c>
      <c r="B1503" t="inlineStr">
        <is>
          <t>Bastidas Valencia Zeneida Judith</t>
        </is>
      </c>
      <c r="C1503" t="inlineStr">
        <is>
          <t>VIERNES</t>
        </is>
      </c>
      <c r="D1503" t="n">
        <v>6</v>
      </c>
      <c r="E1503" t="n">
        <v>3</v>
      </c>
      <c r="F1503" t="n">
        <v>2</v>
      </c>
      <c r="G1503" t="inlineStr">
        <is>
          <t>10:55</t>
        </is>
      </c>
      <c r="H1503" t="inlineStr">
        <is>
          <t>11:40</t>
        </is>
      </c>
      <c r="I1503" t="inlineStr">
        <is>
          <t>ENFASIS</t>
        </is>
      </c>
      <c r="J1503" t="inlineStr"/>
      <c r="K1503" t="inlineStr">
        <is>
          <t>MAT</t>
        </is>
      </c>
      <c r="L1503" t="inlineStr">
        <is>
          <t>CS202</t>
        </is>
      </c>
      <c r="M1503" t="inlineStr">
        <is>
          <t>CS202</t>
        </is>
      </c>
      <c r="N1503" t="inlineStr">
        <is>
          <t>Betancourth Ocampo Yohana Patricia (CSI); Estacio Estupiñán Rosario (ETR); Mindineros Satizábal John Jáver (TEI)</t>
        </is>
      </c>
      <c r="O1503" t="inlineStr">
        <is>
          <t>EQUIPO DE 4: cada docente atiende un grupo de estudiantes en su área</t>
        </is>
      </c>
      <c r="P1503" t="inlineStr">
        <is>
          <t>ENFASIS-CS202</t>
        </is>
      </c>
      <c r="Q1503">
        <f>IF(I1503="ENFASIS","ÉNFASIS "&amp;M1503,IFERROR(VLOOKUP(J1503,Grupos!$A$2:$D$100,4,FALSE),J1503))</f>
        <v/>
      </c>
      <c r="R1503">
        <f>O1503&amp;IF(N1503&lt;&gt;"",IF(O1503&lt;&gt;""," · ","")&amp;"Con: "&amp;N1503,"")</f>
        <v/>
      </c>
      <c r="S1503">
        <f>C1503&amp;"|"&amp;D1503</f>
        <v/>
      </c>
      <c r="T1503">
        <f>COUNTIF($S$2:S1503,S1503)</f>
        <v/>
      </c>
      <c r="U1503">
        <f>S1503&amp;"|"&amp;T1503</f>
        <v/>
      </c>
      <c r="V1503">
        <f>IFERROR(VLOOKUP(IF(I1503="ENFASIS",LEFT(M1503,FIND("+",M1503&amp;"+")-1),J1503),Direccion_Grupo!$A$2:$G$100,7,FALSE),"")</f>
        <v/>
      </c>
    </row>
    <row r="1504">
      <c r="A1504" t="n">
        <v>6</v>
      </c>
      <c r="B1504" t="inlineStr">
        <is>
          <t>Betancourth Ocampo Yohana Patricia</t>
        </is>
      </c>
      <c r="C1504" t="inlineStr">
        <is>
          <t>VIERNES</t>
        </is>
      </c>
      <c r="D1504" t="n">
        <v>6</v>
      </c>
      <c r="E1504" t="n">
        <v>3</v>
      </c>
      <c r="F1504" t="n">
        <v>2</v>
      </c>
      <c r="G1504" t="inlineStr">
        <is>
          <t>10:55</t>
        </is>
      </c>
      <c r="H1504" t="inlineStr">
        <is>
          <t>11:40</t>
        </is>
      </c>
      <c r="I1504" t="inlineStr">
        <is>
          <t>ENFASIS</t>
        </is>
      </c>
      <c r="J1504" t="inlineStr"/>
      <c r="K1504" t="inlineStr">
        <is>
          <t>CSI</t>
        </is>
      </c>
      <c r="L1504" t="inlineStr">
        <is>
          <t>CS202</t>
        </is>
      </c>
      <c r="M1504" t="inlineStr">
        <is>
          <t>CS202</t>
        </is>
      </c>
      <c r="N1504" t="inlineStr">
        <is>
          <t>Estacio Estupiñán Rosario (ETR); Bastidas Valencia Zeneida Judith (MAT); Mindineros Satizábal John Jáver (TEI)</t>
        </is>
      </c>
      <c r="O1504" t="inlineStr">
        <is>
          <t>EQUIPO DE 4: cada docente atiende un grupo de estudiantes en su área</t>
        </is>
      </c>
      <c r="P1504" t="inlineStr">
        <is>
          <t>ENFASIS-CS202</t>
        </is>
      </c>
      <c r="Q1504">
        <f>IF(I1504="ENFASIS","ÉNFASIS "&amp;M1504,IFERROR(VLOOKUP(J1504,Grupos!$A$2:$D$100,4,FALSE),J1504))</f>
        <v/>
      </c>
      <c r="R1504">
        <f>O1504&amp;IF(N1504&lt;&gt;"",IF(O1504&lt;&gt;""," · ","")&amp;"Con: "&amp;N1504,"")</f>
        <v/>
      </c>
      <c r="S1504">
        <f>C1504&amp;"|"&amp;D1504</f>
        <v/>
      </c>
      <c r="T1504">
        <f>COUNTIF($S$2:S1504,S1504)</f>
        <v/>
      </c>
      <c r="U1504">
        <f>S1504&amp;"|"&amp;T1504</f>
        <v/>
      </c>
      <c r="V1504">
        <f>IFERROR(VLOOKUP(IF(I1504="ENFASIS",LEFT(M1504,FIND("+",M1504&amp;"+")-1),J1504),Direccion_Grupo!$A$2:$G$100,7,FALSE),"")</f>
        <v/>
      </c>
    </row>
    <row r="1505">
      <c r="A1505" t="n">
        <v>18</v>
      </c>
      <c r="B1505" t="inlineStr">
        <is>
          <t>Estacio Estupiñán Rosario</t>
        </is>
      </c>
      <c r="C1505" t="inlineStr">
        <is>
          <t>VIERNES</t>
        </is>
      </c>
      <c r="D1505" t="n">
        <v>6</v>
      </c>
      <c r="E1505" t="n">
        <v>3</v>
      </c>
      <c r="F1505" t="n">
        <v>2</v>
      </c>
      <c r="G1505" t="inlineStr">
        <is>
          <t>10:55</t>
        </is>
      </c>
      <c r="H1505" t="inlineStr">
        <is>
          <t>11:40</t>
        </is>
      </c>
      <c r="I1505" t="inlineStr">
        <is>
          <t>ENFASIS</t>
        </is>
      </c>
      <c r="J1505" t="inlineStr"/>
      <c r="K1505" t="inlineStr">
        <is>
          <t>ETR</t>
        </is>
      </c>
      <c r="L1505" t="inlineStr">
        <is>
          <t>CS202</t>
        </is>
      </c>
      <c r="M1505" t="inlineStr">
        <is>
          <t>CS202</t>
        </is>
      </c>
      <c r="N1505" t="inlineStr">
        <is>
          <t>Betancourth Ocampo Yohana Patricia (CSI); Bastidas Valencia Zeneida Judith (MAT); Mindineros Satizábal John Jáver (TEI)</t>
        </is>
      </c>
      <c r="O1505" t="inlineStr">
        <is>
          <t>EQUIPO DE 4: cada docente atiende un grupo de estudiantes en su área</t>
        </is>
      </c>
      <c r="P1505" t="inlineStr">
        <is>
          <t>ENFASIS-CS202</t>
        </is>
      </c>
      <c r="Q1505">
        <f>IF(I1505="ENFASIS","ÉNFASIS "&amp;M1505,IFERROR(VLOOKUP(J1505,Grupos!$A$2:$D$100,4,FALSE),J1505))</f>
        <v/>
      </c>
      <c r="R1505">
        <f>O1505&amp;IF(N1505&lt;&gt;"",IF(O1505&lt;&gt;""," · ","")&amp;"Con: "&amp;N1505,"")</f>
        <v/>
      </c>
      <c r="S1505">
        <f>C1505&amp;"|"&amp;D1505</f>
        <v/>
      </c>
      <c r="T1505">
        <f>COUNTIF($S$2:S1505,S1505)</f>
        <v/>
      </c>
      <c r="U1505">
        <f>S1505&amp;"|"&amp;T1505</f>
        <v/>
      </c>
      <c r="V1505">
        <f>IFERROR(VLOOKUP(IF(I1505="ENFASIS",LEFT(M1505,FIND("+",M1505&amp;"+")-1),J1505),Direccion_Grupo!$A$2:$G$100,7,FALSE),"")</f>
        <v/>
      </c>
    </row>
    <row r="1506">
      <c r="A1506" t="n">
        <v>29</v>
      </c>
      <c r="B1506" t="inlineStr">
        <is>
          <t>Mindineros Satizábal John Jáver</t>
        </is>
      </c>
      <c r="C1506" t="inlineStr">
        <is>
          <t>VIERNES</t>
        </is>
      </c>
      <c r="D1506" t="n">
        <v>6</v>
      </c>
      <c r="E1506" t="n">
        <v>3</v>
      </c>
      <c r="F1506" t="n">
        <v>2</v>
      </c>
      <c r="G1506" t="inlineStr">
        <is>
          <t>10:55</t>
        </is>
      </c>
      <c r="H1506" t="inlineStr">
        <is>
          <t>11:40</t>
        </is>
      </c>
      <c r="I1506" t="inlineStr">
        <is>
          <t>ENFASIS</t>
        </is>
      </c>
      <c r="J1506" t="inlineStr"/>
      <c r="K1506" t="inlineStr">
        <is>
          <t>TEI</t>
        </is>
      </c>
      <c r="L1506" t="inlineStr">
        <is>
          <t>CS202</t>
        </is>
      </c>
      <c r="M1506" t="inlineStr">
        <is>
          <t>CS202</t>
        </is>
      </c>
      <c r="N1506" t="inlineStr">
        <is>
          <t>Betancourth Ocampo Yohana Patricia (CSI); Estacio Estupiñán Rosario (ETR); Bastidas Valencia Zeneida Judith (MAT)</t>
        </is>
      </c>
      <c r="O1506" t="inlineStr">
        <is>
          <t>EQUIPO DE 4: cada docente atiende un grupo de estudiantes en su área</t>
        </is>
      </c>
      <c r="P1506" t="inlineStr">
        <is>
          <t>ENFASIS-CS202</t>
        </is>
      </c>
      <c r="Q1506">
        <f>IF(I1506="ENFASIS","ÉNFASIS "&amp;M1506,IFERROR(VLOOKUP(J1506,Grupos!$A$2:$D$100,4,FALSE),J1506))</f>
        <v/>
      </c>
      <c r="R1506">
        <f>O1506&amp;IF(N1506&lt;&gt;"",IF(O1506&lt;&gt;""," · ","")&amp;"Con: "&amp;N1506,"")</f>
        <v/>
      </c>
      <c r="S1506">
        <f>C1506&amp;"|"&amp;D1506</f>
        <v/>
      </c>
      <c r="T1506">
        <f>COUNTIF($S$2:S1506,S1506)</f>
        <v/>
      </c>
      <c r="U1506">
        <f>S1506&amp;"|"&amp;T1506</f>
        <v/>
      </c>
      <c r="V1506">
        <f>IFERROR(VLOOKUP(IF(I1506="ENFASIS",LEFT(M1506,FIND("+",M1506&amp;"+")-1),J1506),Direccion_Grupo!$A$2:$G$100,7,FALSE),"")</f>
        <v/>
      </c>
    </row>
    <row r="1507">
      <c r="A1507" t="n">
        <v>1</v>
      </c>
      <c r="B1507" t="inlineStr">
        <is>
          <t>Aguirre Riascos Jorge Andrés</t>
        </is>
      </c>
      <c r="C1507" t="inlineStr">
        <is>
          <t>VIERNES</t>
        </is>
      </c>
      <c r="D1507" t="n">
        <v>7</v>
      </c>
      <c r="E1507" t="n">
        <v>4</v>
      </c>
      <c r="F1507" t="n">
        <v>1</v>
      </c>
      <c r="G1507" t="inlineStr">
        <is>
          <t>12:00</t>
        </is>
      </c>
      <c r="H1507" t="inlineStr">
        <is>
          <t>12:45</t>
        </is>
      </c>
      <c r="I1507" t="inlineStr">
        <is>
          <t>CLASE</t>
        </is>
      </c>
      <c r="J1507" t="inlineStr">
        <is>
          <t>0701</t>
        </is>
      </c>
      <c r="K1507" t="inlineStr">
        <is>
          <t>TEI</t>
        </is>
      </c>
      <c r="L1507" t="inlineStr"/>
      <c r="M1507" t="inlineStr"/>
      <c r="N1507" t="inlineStr"/>
      <c r="O1507" t="inlineStr"/>
      <c r="P1507" t="inlineStr">
        <is>
          <t>0701-TEI</t>
        </is>
      </c>
      <c r="Q1507">
        <f>IF(I1507="ENFASIS","ÉNFASIS "&amp;M1507,IFERROR(VLOOKUP(J1507,Grupos!$A$2:$D$100,4,FALSE),J1507))</f>
        <v/>
      </c>
      <c r="R1507">
        <f>O1507&amp;IF(N1507&lt;&gt;"",IF(O1507&lt;&gt;""," · ","")&amp;"Con: "&amp;N1507,"")</f>
        <v/>
      </c>
      <c r="S1507">
        <f>C1507&amp;"|"&amp;D1507</f>
        <v/>
      </c>
      <c r="T1507">
        <f>COUNTIF($S$2:S1507,S1507)</f>
        <v/>
      </c>
      <c r="U1507">
        <f>S1507&amp;"|"&amp;T1507</f>
        <v/>
      </c>
      <c r="V1507">
        <f>IFERROR(VLOOKUP(IF(I1507="ENFASIS",LEFT(M1507,FIND("+",M1507&amp;"+")-1),J1507),Direccion_Grupo!$A$2:$G$100,7,FALSE),"")</f>
        <v/>
      </c>
    </row>
    <row r="1508">
      <c r="A1508" t="n">
        <v>8</v>
      </c>
      <c r="B1508" t="inlineStr">
        <is>
          <t>Casanova Quiñones Yoli del Carmen</t>
        </is>
      </c>
      <c r="C1508" t="inlineStr">
        <is>
          <t>VIERNES</t>
        </is>
      </c>
      <c r="D1508" t="n">
        <v>7</v>
      </c>
      <c r="E1508" t="n">
        <v>4</v>
      </c>
      <c r="F1508" t="n">
        <v>1</v>
      </c>
      <c r="G1508" t="inlineStr">
        <is>
          <t>12:00</t>
        </is>
      </c>
      <c r="H1508" t="inlineStr">
        <is>
          <t>12:45</t>
        </is>
      </c>
      <c r="I1508" t="inlineStr">
        <is>
          <t>CLASE</t>
        </is>
      </c>
      <c r="J1508" t="inlineStr">
        <is>
          <t>0702</t>
        </is>
      </c>
      <c r="K1508" t="inlineStr">
        <is>
          <t>ETR</t>
        </is>
      </c>
      <c r="L1508" t="inlineStr"/>
      <c r="M1508" t="inlineStr"/>
      <c r="N1508" t="inlineStr"/>
      <c r="O1508" t="inlineStr">
        <is>
          <t>Ética / Religión (alternan cada semana)</t>
        </is>
      </c>
      <c r="P1508" t="inlineStr">
        <is>
          <t>0702-REL</t>
        </is>
      </c>
      <c r="Q1508">
        <f>IF(I1508="ENFASIS","ÉNFASIS "&amp;M1508,IFERROR(VLOOKUP(J1508,Grupos!$A$2:$D$100,4,FALSE),J1508))</f>
        <v/>
      </c>
      <c r="R1508">
        <f>O1508&amp;IF(N1508&lt;&gt;"",IF(O1508&lt;&gt;""," · ","")&amp;"Con: "&amp;N1508,"")</f>
        <v/>
      </c>
      <c r="S1508">
        <f>C1508&amp;"|"&amp;D1508</f>
        <v/>
      </c>
      <c r="T1508">
        <f>COUNTIF($S$2:S1508,S1508)</f>
        <v/>
      </c>
      <c r="U1508">
        <f>S1508&amp;"|"&amp;T1508</f>
        <v/>
      </c>
      <c r="V1508">
        <f>IFERROR(VLOOKUP(IF(I1508="ENFASIS",LEFT(M1508,FIND("+",M1508&amp;"+")-1),J1508),Direccion_Grupo!$A$2:$G$100,7,FALSE),"")</f>
        <v/>
      </c>
    </row>
    <row r="1509">
      <c r="A1509" t="n">
        <v>52</v>
      </c>
      <c r="B1509" t="inlineStr">
        <is>
          <t>Vásquez Valencia Segundo Leoncio</t>
        </is>
      </c>
      <c r="C1509" t="inlineStr">
        <is>
          <t>VIERNES</t>
        </is>
      </c>
      <c r="D1509" t="n">
        <v>7</v>
      </c>
      <c r="E1509" t="n">
        <v>4</v>
      </c>
      <c r="F1509" t="n">
        <v>1</v>
      </c>
      <c r="G1509" t="inlineStr">
        <is>
          <t>12:00</t>
        </is>
      </c>
      <c r="H1509" t="inlineStr">
        <is>
          <t>12:45</t>
        </is>
      </c>
      <c r="I1509" t="inlineStr">
        <is>
          <t>CLASE</t>
        </is>
      </c>
      <c r="J1509" t="inlineStr">
        <is>
          <t>0703</t>
        </is>
      </c>
      <c r="K1509" t="inlineStr">
        <is>
          <t>MAT</t>
        </is>
      </c>
      <c r="L1509" t="inlineStr"/>
      <c r="M1509" t="inlineStr"/>
      <c r="N1509" t="inlineStr"/>
      <c r="O1509" t="inlineStr"/>
      <c r="P1509" t="inlineStr">
        <is>
          <t>0703-MAT</t>
        </is>
      </c>
      <c r="Q1509">
        <f>IF(I1509="ENFASIS","ÉNFASIS "&amp;M1509,IFERROR(VLOOKUP(J1509,Grupos!$A$2:$D$100,4,FALSE),J1509))</f>
        <v/>
      </c>
      <c r="R1509">
        <f>O1509&amp;IF(N1509&lt;&gt;"",IF(O1509&lt;&gt;""," · ","")&amp;"Con: "&amp;N1509,"")</f>
        <v/>
      </c>
      <c r="S1509">
        <f>C1509&amp;"|"&amp;D1509</f>
        <v/>
      </c>
      <c r="T1509">
        <f>COUNTIF($S$2:S1509,S1509)</f>
        <v/>
      </c>
      <c r="U1509">
        <f>S1509&amp;"|"&amp;T1509</f>
        <v/>
      </c>
      <c r="V1509">
        <f>IFERROR(VLOOKUP(IF(I1509="ENFASIS",LEFT(M1509,FIND("+",M1509&amp;"+")-1),J1509),Direccion_Grupo!$A$2:$G$100,7,FALSE),"")</f>
        <v/>
      </c>
    </row>
    <row r="1510">
      <c r="A1510" t="n">
        <v>41</v>
      </c>
      <c r="B1510" t="inlineStr">
        <is>
          <t>Quintero Ramírez María del Carmen</t>
        </is>
      </c>
      <c r="C1510" t="inlineStr">
        <is>
          <t>VIERNES</t>
        </is>
      </c>
      <c r="D1510" t="n">
        <v>7</v>
      </c>
      <c r="E1510" t="n">
        <v>4</v>
      </c>
      <c r="F1510" t="n">
        <v>1</v>
      </c>
      <c r="G1510" t="inlineStr">
        <is>
          <t>12:00</t>
        </is>
      </c>
      <c r="H1510" t="inlineStr">
        <is>
          <t>12:45</t>
        </is>
      </c>
      <c r="I1510" t="inlineStr">
        <is>
          <t>CLASE</t>
        </is>
      </c>
      <c r="J1510" t="inlineStr">
        <is>
          <t>0704</t>
        </is>
      </c>
      <c r="K1510" t="inlineStr">
        <is>
          <t>CSI</t>
        </is>
      </c>
      <c r="L1510" t="inlineStr"/>
      <c r="M1510" t="inlineStr"/>
      <c r="N1510" t="inlineStr"/>
      <c r="O1510" t="inlineStr">
        <is>
          <t>Sociales / Inglés (alternan cada semana)</t>
        </is>
      </c>
      <c r="P1510" t="inlineStr">
        <is>
          <t>0704-CSI</t>
        </is>
      </c>
      <c r="Q1510">
        <f>IF(I1510="ENFASIS","ÉNFASIS "&amp;M1510,IFERROR(VLOOKUP(J1510,Grupos!$A$2:$D$100,4,FALSE),J1510))</f>
        <v/>
      </c>
      <c r="R1510">
        <f>O1510&amp;IF(N1510&lt;&gt;"",IF(O1510&lt;&gt;""," · ","")&amp;"Con: "&amp;N1510,"")</f>
        <v/>
      </c>
      <c r="S1510">
        <f>C1510&amp;"|"&amp;D1510</f>
        <v/>
      </c>
      <c r="T1510">
        <f>COUNTIF($S$2:S1510,S1510)</f>
        <v/>
      </c>
      <c r="U1510">
        <f>S1510&amp;"|"&amp;T1510</f>
        <v/>
      </c>
      <c r="V1510">
        <f>IFERROR(VLOOKUP(IF(I1510="ENFASIS",LEFT(M1510,FIND("+",M1510&amp;"+")-1),J1510),Direccion_Grupo!$A$2:$G$100,7,FALSE),"")</f>
        <v/>
      </c>
    </row>
    <row r="1511">
      <c r="A1511" t="n">
        <v>38</v>
      </c>
      <c r="B1511" t="inlineStr">
        <is>
          <t>Preciado Torres Oleisa</t>
        </is>
      </c>
      <c r="C1511" t="inlineStr">
        <is>
          <t>VIERNES</t>
        </is>
      </c>
      <c r="D1511" t="n">
        <v>7</v>
      </c>
      <c r="E1511" t="n">
        <v>4</v>
      </c>
      <c r="F1511" t="n">
        <v>1</v>
      </c>
      <c r="G1511" t="inlineStr">
        <is>
          <t>12:00</t>
        </is>
      </c>
      <c r="H1511" t="inlineStr">
        <is>
          <t>12:45</t>
        </is>
      </c>
      <c r="I1511" t="inlineStr">
        <is>
          <t>CLASE</t>
        </is>
      </c>
      <c r="J1511" t="inlineStr">
        <is>
          <t>0801</t>
        </is>
      </c>
      <c r="K1511" t="inlineStr">
        <is>
          <t>MAT</t>
        </is>
      </c>
      <c r="L1511" t="inlineStr"/>
      <c r="M1511" t="inlineStr"/>
      <c r="N1511" t="inlineStr"/>
      <c r="O1511" t="inlineStr"/>
      <c r="P1511" t="inlineStr">
        <is>
          <t>0801-MAT</t>
        </is>
      </c>
      <c r="Q1511">
        <f>IF(I1511="ENFASIS","ÉNFASIS "&amp;M1511,IFERROR(VLOOKUP(J1511,Grupos!$A$2:$D$100,4,FALSE),J1511))</f>
        <v/>
      </c>
      <c r="R1511">
        <f>O1511&amp;IF(N1511&lt;&gt;"",IF(O1511&lt;&gt;""," · ","")&amp;"Con: "&amp;N1511,"")</f>
        <v/>
      </c>
      <c r="S1511">
        <f>C1511&amp;"|"&amp;D1511</f>
        <v/>
      </c>
      <c r="T1511">
        <f>COUNTIF($S$2:S1511,S1511)</f>
        <v/>
      </c>
      <c r="U1511">
        <f>S1511&amp;"|"&amp;T1511</f>
        <v/>
      </c>
      <c r="V1511">
        <f>IFERROR(VLOOKUP(IF(I1511="ENFASIS",LEFT(M1511,FIND("+",M1511&amp;"+")-1),J1511),Direccion_Grupo!$A$2:$G$100,7,FALSE),"")</f>
        <v/>
      </c>
    </row>
    <row r="1512">
      <c r="A1512" t="n">
        <v>12</v>
      </c>
      <c r="B1512" t="inlineStr">
        <is>
          <t>Chillambo Quiñones María Rocío</t>
        </is>
      </c>
      <c r="C1512" t="inlineStr">
        <is>
          <t>VIERNES</t>
        </is>
      </c>
      <c r="D1512" t="n">
        <v>7</v>
      </c>
      <c r="E1512" t="n">
        <v>4</v>
      </c>
      <c r="F1512" t="n">
        <v>1</v>
      </c>
      <c r="G1512" t="inlineStr">
        <is>
          <t>12:00</t>
        </is>
      </c>
      <c r="H1512" t="inlineStr">
        <is>
          <t>12:45</t>
        </is>
      </c>
      <c r="I1512" t="inlineStr">
        <is>
          <t>CLASE</t>
        </is>
      </c>
      <c r="J1512" t="inlineStr">
        <is>
          <t>0802</t>
        </is>
      </c>
      <c r="K1512" t="inlineStr">
        <is>
          <t>CNA</t>
        </is>
      </c>
      <c r="L1512" t="inlineStr"/>
      <c r="M1512" t="inlineStr"/>
      <c r="N1512" t="inlineStr"/>
      <c r="O1512" t="inlineStr"/>
      <c r="P1512" t="inlineStr">
        <is>
          <t>0802-CNA</t>
        </is>
      </c>
      <c r="Q1512">
        <f>IF(I1512="ENFASIS","ÉNFASIS "&amp;M1512,IFERROR(VLOOKUP(J1512,Grupos!$A$2:$D$100,4,FALSE),J1512))</f>
        <v/>
      </c>
      <c r="R1512">
        <f>O1512&amp;IF(N1512&lt;&gt;"",IF(O1512&lt;&gt;""," · ","")&amp;"Con: "&amp;N1512,"")</f>
        <v/>
      </c>
      <c r="S1512">
        <f>C1512&amp;"|"&amp;D1512</f>
        <v/>
      </c>
      <c r="T1512">
        <f>COUNTIF($S$2:S1512,S1512)</f>
        <v/>
      </c>
      <c r="U1512">
        <f>S1512&amp;"|"&amp;T1512</f>
        <v/>
      </c>
      <c r="V1512">
        <f>IFERROR(VLOOKUP(IF(I1512="ENFASIS",LEFT(M1512,FIND("+",M1512&amp;"+")-1),J1512),Direccion_Grupo!$A$2:$G$100,7,FALSE),"")</f>
        <v/>
      </c>
    </row>
    <row r="1513">
      <c r="A1513" t="n">
        <v>6</v>
      </c>
      <c r="B1513" t="inlineStr">
        <is>
          <t>Betancourth Ocampo Yohana Patricia</t>
        </is>
      </c>
      <c r="C1513" t="inlineStr">
        <is>
          <t>VIERNES</t>
        </is>
      </c>
      <c r="D1513" t="n">
        <v>7</v>
      </c>
      <c r="E1513" t="n">
        <v>4</v>
      </c>
      <c r="F1513" t="n">
        <v>1</v>
      </c>
      <c r="G1513" t="inlineStr">
        <is>
          <t>12:00</t>
        </is>
      </c>
      <c r="H1513" t="inlineStr">
        <is>
          <t>12:45</t>
        </is>
      </c>
      <c r="I1513" t="inlineStr">
        <is>
          <t>CLASE</t>
        </is>
      </c>
      <c r="J1513" t="inlineStr">
        <is>
          <t>0901</t>
        </is>
      </c>
      <c r="K1513" t="inlineStr">
        <is>
          <t>CSI</t>
        </is>
      </c>
      <c r="L1513" t="inlineStr"/>
      <c r="M1513" t="inlineStr"/>
      <c r="N1513" t="inlineStr"/>
      <c r="O1513" t="inlineStr">
        <is>
          <t>Sociales / Inglés (alternan cada semana)</t>
        </is>
      </c>
      <c r="P1513" t="inlineStr">
        <is>
          <t>0901-CSI</t>
        </is>
      </c>
      <c r="Q1513">
        <f>IF(I1513="ENFASIS","ÉNFASIS "&amp;M1513,IFERROR(VLOOKUP(J1513,Grupos!$A$2:$D$100,4,FALSE),J1513))</f>
        <v/>
      </c>
      <c r="R1513">
        <f>O1513&amp;IF(N1513&lt;&gt;"",IF(O1513&lt;&gt;""," · ","")&amp;"Con: "&amp;N1513,"")</f>
        <v/>
      </c>
      <c r="S1513">
        <f>C1513&amp;"|"&amp;D1513</f>
        <v/>
      </c>
      <c r="T1513">
        <f>COUNTIF($S$2:S1513,S1513)</f>
        <v/>
      </c>
      <c r="U1513">
        <f>S1513&amp;"|"&amp;T1513</f>
        <v/>
      </c>
      <c r="V1513">
        <f>IFERROR(VLOOKUP(IF(I1513="ENFASIS",LEFT(M1513,FIND("+",M1513&amp;"+")-1),J1513),Direccion_Grupo!$A$2:$G$100,7,FALSE),"")</f>
        <v/>
      </c>
    </row>
    <row r="1514">
      <c r="A1514" t="n">
        <v>29</v>
      </c>
      <c r="B1514" t="inlineStr">
        <is>
          <t>Mindineros Satizábal John Jáver</t>
        </is>
      </c>
      <c r="C1514" t="inlineStr">
        <is>
          <t>VIERNES</t>
        </is>
      </c>
      <c r="D1514" t="n">
        <v>7</v>
      </c>
      <c r="E1514" t="n">
        <v>4</v>
      </c>
      <c r="F1514" t="n">
        <v>1</v>
      </c>
      <c r="G1514" t="inlineStr">
        <is>
          <t>12:00</t>
        </is>
      </c>
      <c r="H1514" t="inlineStr">
        <is>
          <t>12:45</t>
        </is>
      </c>
      <c r="I1514" t="inlineStr">
        <is>
          <t>CLASE</t>
        </is>
      </c>
      <c r="J1514" t="inlineStr">
        <is>
          <t>0902</t>
        </is>
      </c>
      <c r="K1514" t="inlineStr">
        <is>
          <t>TEI</t>
        </is>
      </c>
      <c r="L1514" t="inlineStr"/>
      <c r="M1514" t="inlineStr"/>
      <c r="N1514" t="inlineStr"/>
      <c r="O1514" t="inlineStr"/>
      <c r="P1514" t="inlineStr">
        <is>
          <t>0902-TEI</t>
        </is>
      </c>
      <c r="Q1514">
        <f>IF(I1514="ENFASIS","ÉNFASIS "&amp;M1514,IFERROR(VLOOKUP(J1514,Grupos!$A$2:$D$100,4,FALSE),J1514))</f>
        <v/>
      </c>
      <c r="R1514">
        <f>O1514&amp;IF(N1514&lt;&gt;"",IF(O1514&lt;&gt;""," · ","")&amp;"Con: "&amp;N1514,"")</f>
        <v/>
      </c>
      <c r="S1514">
        <f>C1514&amp;"|"&amp;D1514</f>
        <v/>
      </c>
      <c r="T1514">
        <f>COUNTIF($S$2:S1514,S1514)</f>
        <v/>
      </c>
      <c r="U1514">
        <f>S1514&amp;"|"&amp;T1514</f>
        <v/>
      </c>
      <c r="V1514">
        <f>IFERROR(VLOOKUP(IF(I1514="ENFASIS",LEFT(M1514,FIND("+",M1514&amp;"+")-1),J1514),Direccion_Grupo!$A$2:$G$100,7,FALSE),"")</f>
        <v/>
      </c>
    </row>
    <row r="1515">
      <c r="A1515" t="n">
        <v>25</v>
      </c>
      <c r="B1515" t="inlineStr">
        <is>
          <t>Lemos Guancha Miriam</t>
        </is>
      </c>
      <c r="C1515" t="inlineStr">
        <is>
          <t>VIERNES</t>
        </is>
      </c>
      <c r="D1515" t="n">
        <v>7</v>
      </c>
      <c r="E1515" t="n">
        <v>4</v>
      </c>
      <c r="F1515" t="n">
        <v>1</v>
      </c>
      <c r="G1515" t="inlineStr">
        <is>
          <t>12:00</t>
        </is>
      </c>
      <c r="H1515" t="inlineStr">
        <is>
          <t>12:45</t>
        </is>
      </c>
      <c r="I1515" t="inlineStr">
        <is>
          <t>CLASE</t>
        </is>
      </c>
      <c r="J1515" t="inlineStr">
        <is>
          <t>1001</t>
        </is>
      </c>
      <c r="K1515" t="inlineStr">
        <is>
          <t>CNA</t>
        </is>
      </c>
      <c r="L1515" t="inlineStr"/>
      <c r="M1515" t="inlineStr"/>
      <c r="N1515" t="inlineStr"/>
      <c r="O1515" t="inlineStr"/>
      <c r="P1515" t="inlineStr">
        <is>
          <t>1001-CNA</t>
        </is>
      </c>
      <c r="Q1515">
        <f>IF(I1515="ENFASIS","ÉNFASIS "&amp;M1515,IFERROR(VLOOKUP(J1515,Grupos!$A$2:$D$100,4,FALSE),J1515))</f>
        <v/>
      </c>
      <c r="R1515">
        <f>O1515&amp;IF(N1515&lt;&gt;"",IF(O1515&lt;&gt;""," · ","")&amp;"Con: "&amp;N1515,"")</f>
        <v/>
      </c>
      <c r="S1515">
        <f>C1515&amp;"|"&amp;D1515</f>
        <v/>
      </c>
      <c r="T1515">
        <f>COUNTIF($S$2:S1515,S1515)</f>
        <v/>
      </c>
      <c r="U1515">
        <f>S1515&amp;"|"&amp;T1515</f>
        <v/>
      </c>
      <c r="V1515">
        <f>IFERROR(VLOOKUP(IF(I1515="ENFASIS",LEFT(M1515,FIND("+",M1515&amp;"+")-1),J1515),Direccion_Grupo!$A$2:$G$100,7,FALSE),"")</f>
        <v/>
      </c>
    </row>
    <row r="1516">
      <c r="A1516" t="n">
        <v>43</v>
      </c>
      <c r="B1516" t="inlineStr">
        <is>
          <t>Ramírez Guerra Jimmy Eduardo</t>
        </is>
      </c>
      <c r="C1516" t="inlineStr">
        <is>
          <t>VIERNES</t>
        </is>
      </c>
      <c r="D1516" t="n">
        <v>7</v>
      </c>
      <c r="E1516" t="n">
        <v>4</v>
      </c>
      <c r="F1516" t="n">
        <v>1</v>
      </c>
      <c r="G1516" t="inlineStr">
        <is>
          <t>12:00</t>
        </is>
      </c>
      <c r="H1516" t="inlineStr">
        <is>
          <t>12:45</t>
        </is>
      </c>
      <c r="I1516" t="inlineStr">
        <is>
          <t>CLASE</t>
        </is>
      </c>
      <c r="J1516" t="inlineStr">
        <is>
          <t>1002</t>
        </is>
      </c>
      <c r="K1516" t="inlineStr">
        <is>
          <t>ERD</t>
        </is>
      </c>
      <c r="L1516" t="inlineStr"/>
      <c r="M1516" t="inlineStr"/>
      <c r="N1516" t="inlineStr"/>
      <c r="O1516" t="inlineStr"/>
      <c r="P1516" t="inlineStr">
        <is>
          <t>1002-ERD</t>
        </is>
      </c>
      <c r="Q1516">
        <f>IF(I1516="ENFASIS","ÉNFASIS "&amp;M1516,IFERROR(VLOOKUP(J1516,Grupos!$A$2:$D$100,4,FALSE),J1516))</f>
        <v/>
      </c>
      <c r="R1516">
        <f>O1516&amp;IF(N1516&lt;&gt;"",IF(O1516&lt;&gt;""," · ","")&amp;"Con: "&amp;N1516,"")</f>
        <v/>
      </c>
      <c r="S1516">
        <f>C1516&amp;"|"&amp;D1516</f>
        <v/>
      </c>
      <c r="T1516">
        <f>COUNTIF($S$2:S1516,S1516)</f>
        <v/>
      </c>
      <c r="U1516">
        <f>S1516&amp;"|"&amp;T1516</f>
        <v/>
      </c>
      <c r="V1516">
        <f>IFERROR(VLOOKUP(IF(I1516="ENFASIS",LEFT(M1516,FIND("+",M1516&amp;"+")-1),J1516),Direccion_Grupo!$A$2:$G$100,7,FALSE),"")</f>
        <v/>
      </c>
    </row>
    <row r="1517">
      <c r="A1517" t="n">
        <v>31</v>
      </c>
      <c r="B1517" t="inlineStr">
        <is>
          <t>Montaño Arizala Leidis Claudina</t>
        </is>
      </c>
      <c r="C1517" t="inlineStr">
        <is>
          <t>VIERNES</t>
        </is>
      </c>
      <c r="D1517" t="n">
        <v>7</v>
      </c>
      <c r="E1517" t="n">
        <v>4</v>
      </c>
      <c r="F1517" t="n">
        <v>1</v>
      </c>
      <c r="G1517" t="inlineStr">
        <is>
          <t>12:00</t>
        </is>
      </c>
      <c r="H1517" t="inlineStr">
        <is>
          <t>12:45</t>
        </is>
      </c>
      <c r="I1517" t="inlineStr">
        <is>
          <t>CLASE</t>
        </is>
      </c>
      <c r="J1517" t="inlineStr">
        <is>
          <t>1101</t>
        </is>
      </c>
      <c r="K1517" t="inlineStr">
        <is>
          <t>ETR</t>
        </is>
      </c>
      <c r="L1517" t="inlineStr"/>
      <c r="M1517" t="inlineStr"/>
      <c r="N1517" t="inlineStr"/>
      <c r="O1517" t="inlineStr">
        <is>
          <t>Ética / Religión (alternan cada semana)</t>
        </is>
      </c>
      <c r="P1517" t="inlineStr">
        <is>
          <t>1101-ETR</t>
        </is>
      </c>
      <c r="Q1517">
        <f>IF(I1517="ENFASIS","ÉNFASIS "&amp;M1517,IFERROR(VLOOKUP(J1517,Grupos!$A$2:$D$100,4,FALSE),J1517))</f>
        <v/>
      </c>
      <c r="R1517">
        <f>O1517&amp;IF(N1517&lt;&gt;"",IF(O1517&lt;&gt;""," · ","")&amp;"Con: "&amp;N1517,"")</f>
        <v/>
      </c>
      <c r="S1517">
        <f>C1517&amp;"|"&amp;D1517</f>
        <v/>
      </c>
      <c r="T1517">
        <f>COUNTIF($S$2:S1517,S1517)</f>
        <v/>
      </c>
      <c r="U1517">
        <f>S1517&amp;"|"&amp;T1517</f>
        <v/>
      </c>
      <c r="V1517">
        <f>IFERROR(VLOOKUP(IF(I1517="ENFASIS",LEFT(M1517,FIND("+",M1517&amp;"+")-1),J1517),Direccion_Grupo!$A$2:$G$100,7,FALSE),"")</f>
        <v/>
      </c>
    </row>
    <row r="1518">
      <c r="A1518" t="n">
        <v>30</v>
      </c>
      <c r="B1518" t="inlineStr">
        <is>
          <t>Montaño Anchico Favio Héctor</t>
        </is>
      </c>
      <c r="C1518" t="inlineStr">
        <is>
          <t>VIERNES</t>
        </is>
      </c>
      <c r="D1518" t="n">
        <v>7</v>
      </c>
      <c r="E1518" t="n">
        <v>4</v>
      </c>
      <c r="F1518" t="n">
        <v>1</v>
      </c>
      <c r="G1518" t="inlineStr">
        <is>
          <t>12:00</t>
        </is>
      </c>
      <c r="H1518" t="inlineStr">
        <is>
          <t>12:45</t>
        </is>
      </c>
      <c r="I1518" t="inlineStr">
        <is>
          <t>CLASE</t>
        </is>
      </c>
      <c r="J1518" t="inlineStr">
        <is>
          <t>1102</t>
        </is>
      </c>
      <c r="K1518" t="inlineStr">
        <is>
          <t>CAS</t>
        </is>
      </c>
      <c r="L1518" t="inlineStr"/>
      <c r="M1518" t="inlineStr"/>
      <c r="N1518" t="inlineStr"/>
      <c r="O1518" t="inlineStr"/>
      <c r="P1518" t="inlineStr">
        <is>
          <t>1102-CAS</t>
        </is>
      </c>
      <c r="Q1518">
        <f>IF(I1518="ENFASIS","ÉNFASIS "&amp;M1518,IFERROR(VLOOKUP(J1518,Grupos!$A$2:$D$100,4,FALSE),J1518))</f>
        <v/>
      </c>
      <c r="R1518">
        <f>O1518&amp;IF(N1518&lt;&gt;"",IF(O1518&lt;&gt;""," · ","")&amp;"Con: "&amp;N1518,"")</f>
        <v/>
      </c>
      <c r="S1518">
        <f>C1518&amp;"|"&amp;D1518</f>
        <v/>
      </c>
      <c r="T1518">
        <f>COUNTIF($S$2:S1518,S1518)</f>
        <v/>
      </c>
      <c r="U1518">
        <f>S1518&amp;"|"&amp;T1518</f>
        <v/>
      </c>
      <c r="V1518">
        <f>IFERROR(VLOOKUP(IF(I1518="ENFASIS",LEFT(M1518,FIND("+",M1518&amp;"+")-1),J1518),Direccion_Grupo!$A$2:$G$100,7,FALSE),"")</f>
        <v/>
      </c>
    </row>
    <row r="1519">
      <c r="A1519" t="n">
        <v>57</v>
      </c>
      <c r="B1519" t="inlineStr">
        <is>
          <t>Armero Dájome Jesús</t>
        </is>
      </c>
      <c r="C1519" t="inlineStr">
        <is>
          <t>VIERNES</t>
        </is>
      </c>
      <c r="D1519" t="n">
        <v>7</v>
      </c>
      <c r="E1519" t="n">
        <v>4</v>
      </c>
      <c r="F1519" t="n">
        <v>1</v>
      </c>
      <c r="G1519" t="inlineStr">
        <is>
          <t>12:00</t>
        </is>
      </c>
      <c r="H1519" t="inlineStr">
        <is>
          <t>12:45</t>
        </is>
      </c>
      <c r="I1519" t="inlineStr">
        <is>
          <t>CLASE</t>
        </is>
      </c>
      <c r="J1519" t="inlineStr">
        <is>
          <t>CS101</t>
        </is>
      </c>
      <c r="K1519" t="inlineStr">
        <is>
          <t>CNA</t>
        </is>
      </c>
      <c r="L1519" t="inlineStr"/>
      <c r="M1519" t="inlineStr"/>
      <c r="N1519" t="inlineStr"/>
      <c r="O1519" t="inlineStr"/>
      <c r="P1519" t="inlineStr">
        <is>
          <t>CS101-CNA</t>
        </is>
      </c>
      <c r="Q1519">
        <f>IF(I1519="ENFASIS","ÉNFASIS "&amp;M1519,IFERROR(VLOOKUP(J1519,Grupos!$A$2:$D$100,4,FALSE),J1519))</f>
        <v/>
      </c>
      <c r="R1519">
        <f>O1519&amp;IF(N1519&lt;&gt;"",IF(O1519&lt;&gt;""," · ","")&amp;"Con: "&amp;N1519,"")</f>
        <v/>
      </c>
      <c r="S1519">
        <f>C1519&amp;"|"&amp;D1519</f>
        <v/>
      </c>
      <c r="T1519">
        <f>COUNTIF($S$2:S1519,S1519)</f>
        <v/>
      </c>
      <c r="U1519">
        <f>S1519&amp;"|"&amp;T1519</f>
        <v/>
      </c>
      <c r="V1519">
        <f>IFERROR(VLOOKUP(IF(I1519="ENFASIS",LEFT(M1519,FIND("+",M1519&amp;"+")-1),J1519),Direccion_Grupo!$A$2:$G$100,7,FALSE),"")</f>
        <v/>
      </c>
    </row>
    <row r="1520">
      <c r="A1520" t="n">
        <v>42</v>
      </c>
      <c r="B1520" t="inlineStr">
        <is>
          <t>Quiñones Cabezas Marcos Vidal</t>
        </is>
      </c>
      <c r="C1520" t="inlineStr">
        <is>
          <t>VIERNES</t>
        </is>
      </c>
      <c r="D1520" t="n">
        <v>7</v>
      </c>
      <c r="E1520" t="n">
        <v>4</v>
      </c>
      <c r="F1520" t="n">
        <v>1</v>
      </c>
      <c r="G1520" t="inlineStr">
        <is>
          <t>12:00</t>
        </is>
      </c>
      <c r="H1520" t="inlineStr">
        <is>
          <t>12:45</t>
        </is>
      </c>
      <c r="I1520" t="inlineStr">
        <is>
          <t>CLASE</t>
        </is>
      </c>
      <c r="J1520" t="inlineStr">
        <is>
          <t>CS102</t>
        </is>
      </c>
      <c r="K1520" t="inlineStr">
        <is>
          <t>MAT</t>
        </is>
      </c>
      <c r="L1520" t="inlineStr"/>
      <c r="M1520" t="inlineStr"/>
      <c r="N1520" t="inlineStr"/>
      <c r="O1520" t="inlineStr"/>
      <c r="P1520" t="inlineStr">
        <is>
          <t>CS102-MAT</t>
        </is>
      </c>
      <c r="Q1520">
        <f>IF(I1520="ENFASIS","ÉNFASIS "&amp;M1520,IFERROR(VLOOKUP(J1520,Grupos!$A$2:$D$100,4,FALSE),J1520))</f>
        <v/>
      </c>
      <c r="R1520">
        <f>O1520&amp;IF(N1520&lt;&gt;"",IF(O1520&lt;&gt;""," · ","")&amp;"Con: "&amp;N1520,"")</f>
        <v/>
      </c>
      <c r="S1520">
        <f>C1520&amp;"|"&amp;D1520</f>
        <v/>
      </c>
      <c r="T1520">
        <f>COUNTIF($S$2:S1520,S1520)</f>
        <v/>
      </c>
      <c r="U1520">
        <f>S1520&amp;"|"&amp;T1520</f>
        <v/>
      </c>
      <c r="V1520">
        <f>IFERROR(VLOOKUP(IF(I1520="ENFASIS",LEFT(M1520,FIND("+",M1520&amp;"+")-1),J1520),Direccion_Grupo!$A$2:$G$100,7,FALSE),"")</f>
        <v/>
      </c>
    </row>
    <row r="1521">
      <c r="A1521" t="n">
        <v>15</v>
      </c>
      <c r="B1521" t="inlineStr">
        <is>
          <t>Cuero Bamba Berte Levi</t>
        </is>
      </c>
      <c r="C1521" t="inlineStr">
        <is>
          <t>VIERNES</t>
        </is>
      </c>
      <c r="D1521" t="n">
        <v>7</v>
      </c>
      <c r="E1521" t="n">
        <v>4</v>
      </c>
      <c r="F1521" t="n">
        <v>1</v>
      </c>
      <c r="G1521" t="inlineStr">
        <is>
          <t>12:00</t>
        </is>
      </c>
      <c r="H1521" t="inlineStr">
        <is>
          <t>12:45</t>
        </is>
      </c>
      <c r="I1521" t="inlineStr">
        <is>
          <t>CLASE</t>
        </is>
      </c>
      <c r="J1521" t="inlineStr">
        <is>
          <t>CS201</t>
        </is>
      </c>
      <c r="K1521" t="inlineStr">
        <is>
          <t>ERD</t>
        </is>
      </c>
      <c r="L1521" t="inlineStr"/>
      <c r="M1521" t="inlineStr"/>
      <c r="N1521" t="inlineStr"/>
      <c r="O1521" t="inlineStr"/>
      <c r="P1521" t="inlineStr">
        <is>
          <t>CS201-ERD</t>
        </is>
      </c>
      <c r="Q1521">
        <f>IF(I1521="ENFASIS","ÉNFASIS "&amp;M1521,IFERROR(VLOOKUP(J1521,Grupos!$A$2:$D$100,4,FALSE),J1521))</f>
        <v/>
      </c>
      <c r="R1521">
        <f>O1521&amp;IF(N1521&lt;&gt;"",IF(O1521&lt;&gt;""," · ","")&amp;"Con: "&amp;N1521,"")</f>
        <v/>
      </c>
      <c r="S1521">
        <f>C1521&amp;"|"&amp;D1521</f>
        <v/>
      </c>
      <c r="T1521">
        <f>COUNTIF($S$2:S1521,S1521)</f>
        <v/>
      </c>
      <c r="U1521">
        <f>S1521&amp;"|"&amp;T1521</f>
        <v/>
      </c>
      <c r="V1521">
        <f>IFERROR(VLOOKUP(IF(I1521="ENFASIS",LEFT(M1521,FIND("+",M1521&amp;"+")-1),J1521),Direccion_Grupo!$A$2:$G$100,7,FALSE),"")</f>
        <v/>
      </c>
    </row>
    <row r="1522">
      <c r="A1522" t="n">
        <v>19</v>
      </c>
      <c r="B1522" t="inlineStr">
        <is>
          <t>Fernández Vélez Alfredo Enrique</t>
        </is>
      </c>
      <c r="C1522" t="inlineStr">
        <is>
          <t>VIERNES</t>
        </is>
      </c>
      <c r="D1522" t="n">
        <v>7</v>
      </c>
      <c r="E1522" t="n">
        <v>4</v>
      </c>
      <c r="F1522" t="n">
        <v>1</v>
      </c>
      <c r="G1522" t="inlineStr">
        <is>
          <t>12:00</t>
        </is>
      </c>
      <c r="H1522" t="inlineStr">
        <is>
          <t>12:45</t>
        </is>
      </c>
      <c r="I1522" t="inlineStr">
        <is>
          <t>CLASE</t>
        </is>
      </c>
      <c r="J1522" t="inlineStr">
        <is>
          <t>CS202</t>
        </is>
      </c>
      <c r="K1522" t="inlineStr">
        <is>
          <t>TEI</t>
        </is>
      </c>
      <c r="L1522" t="inlineStr"/>
      <c r="M1522" t="inlineStr"/>
      <c r="N1522" t="inlineStr"/>
      <c r="O1522" t="inlineStr"/>
      <c r="P1522" t="inlineStr">
        <is>
          <t>CS202-TEI</t>
        </is>
      </c>
      <c r="Q1522">
        <f>IF(I1522="ENFASIS","ÉNFASIS "&amp;M1522,IFERROR(VLOOKUP(J1522,Grupos!$A$2:$D$100,4,FALSE),J1522))</f>
        <v/>
      </c>
      <c r="R1522">
        <f>O1522&amp;IF(N1522&lt;&gt;"",IF(O1522&lt;&gt;""," · ","")&amp;"Con: "&amp;N1522,"")</f>
        <v/>
      </c>
      <c r="S1522">
        <f>C1522&amp;"|"&amp;D1522</f>
        <v/>
      </c>
      <c r="T1522">
        <f>COUNTIF($S$2:S1522,S1522)</f>
        <v/>
      </c>
      <c r="U1522">
        <f>S1522&amp;"|"&amp;T1522</f>
        <v/>
      </c>
      <c r="V1522">
        <f>IFERROR(VLOOKUP(IF(I1522="ENFASIS",LEFT(M1522,FIND("+",M1522&amp;"+")-1),J1522),Direccion_Grupo!$A$2:$G$100,7,FALSE),"")</f>
        <v/>
      </c>
    </row>
    <row r="1523">
      <c r="A1523" t="n">
        <v>7</v>
      </c>
      <c r="B1523" t="inlineStr">
        <is>
          <t>Casanova Casanova Johana Andrea</t>
        </is>
      </c>
      <c r="C1523" t="inlineStr">
        <is>
          <t>VIERNES</t>
        </is>
      </c>
      <c r="D1523" t="n">
        <v>7</v>
      </c>
      <c r="E1523" t="n">
        <v>4</v>
      </c>
      <c r="F1523" t="n">
        <v>1</v>
      </c>
      <c r="G1523" t="inlineStr">
        <is>
          <t>12:00</t>
        </is>
      </c>
      <c r="H1523" t="inlineStr">
        <is>
          <t>12:45</t>
        </is>
      </c>
      <c r="I1523" t="inlineStr">
        <is>
          <t>ORIENTACION</t>
        </is>
      </c>
      <c r="J1523" t="inlineStr">
        <is>
          <t>ORIENT</t>
        </is>
      </c>
      <c r="K1523" t="inlineStr">
        <is>
          <t>ORIENTACIÓN ESCOLAR</t>
        </is>
      </c>
      <c r="L1523" t="inlineStr"/>
      <c r="M1523" t="inlineStr"/>
      <c r="N1523" t="inlineStr"/>
      <c r="O1523" t="inlineStr">
        <is>
          <t>Jornada 07:30 a 14:30</t>
        </is>
      </c>
      <c r="P1523" t="inlineStr"/>
      <c r="Q1523">
        <f>IF(I1523="ENFASIS","ÉNFASIS "&amp;M1523,IFERROR(VLOOKUP(J1523,Grupos!$A$2:$D$100,4,FALSE),J1523))</f>
        <v/>
      </c>
      <c r="R1523">
        <f>O1523&amp;IF(N1523&lt;&gt;"",IF(O1523&lt;&gt;""," · ","")&amp;"Con: "&amp;N1523,"")</f>
        <v/>
      </c>
      <c r="S1523">
        <f>C1523&amp;"|"&amp;D1523</f>
        <v/>
      </c>
      <c r="T1523">
        <f>COUNTIF($S$2:S1523,S1523)</f>
        <v/>
      </c>
      <c r="U1523">
        <f>S1523&amp;"|"&amp;T1523</f>
        <v/>
      </c>
      <c r="V1523">
        <f>IFERROR(VLOOKUP(IF(I1523="ENFASIS",LEFT(M1523,FIND("+",M1523&amp;"+")-1),J1523),Direccion_Grupo!$A$2:$G$100,7,FALSE),"")</f>
        <v/>
      </c>
    </row>
    <row r="1524">
      <c r="A1524" t="n">
        <v>36</v>
      </c>
      <c r="B1524" t="inlineStr">
        <is>
          <t>Ponce Moncayo Ángela Paola</t>
        </is>
      </c>
      <c r="C1524" t="inlineStr">
        <is>
          <t>VIERNES</t>
        </is>
      </c>
      <c r="D1524" t="n">
        <v>7</v>
      </c>
      <c r="E1524" t="n">
        <v>4</v>
      </c>
      <c r="F1524" t="n">
        <v>1</v>
      </c>
      <c r="G1524" t="inlineStr">
        <is>
          <t>12:00</t>
        </is>
      </c>
      <c r="H1524" t="inlineStr">
        <is>
          <t>12:45</t>
        </is>
      </c>
      <c r="I1524" t="inlineStr">
        <is>
          <t>ORIENTACION</t>
        </is>
      </c>
      <c r="J1524" t="inlineStr">
        <is>
          <t>ORIENT</t>
        </is>
      </c>
      <c r="K1524" t="inlineStr">
        <is>
          <t>ORIENTACIÓN ESCOLAR</t>
        </is>
      </c>
      <c r="L1524" t="inlineStr"/>
      <c r="M1524" t="inlineStr"/>
      <c r="N1524" t="inlineStr"/>
      <c r="O1524" t="inlineStr">
        <is>
          <t>Jornada 08:30 a 13:30</t>
        </is>
      </c>
      <c r="P1524" t="inlineStr"/>
      <c r="Q1524">
        <f>IF(I1524="ENFASIS","ÉNFASIS "&amp;M1524,IFERROR(VLOOKUP(J1524,Grupos!$A$2:$D$100,4,FALSE),J1524))</f>
        <v/>
      </c>
      <c r="R1524">
        <f>O1524&amp;IF(N1524&lt;&gt;"",IF(O1524&lt;&gt;""," · ","")&amp;"Con: "&amp;N1524,"")</f>
        <v/>
      </c>
      <c r="S1524">
        <f>C1524&amp;"|"&amp;D1524</f>
        <v/>
      </c>
      <c r="T1524">
        <f>COUNTIF($S$2:S1524,S1524)</f>
        <v/>
      </c>
      <c r="U1524">
        <f>S1524&amp;"|"&amp;T1524</f>
        <v/>
      </c>
      <c r="V1524">
        <f>IFERROR(VLOOKUP(IF(I1524="ENFASIS",LEFT(M1524,FIND("+",M1524&amp;"+")-1),J1524),Direccion_Grupo!$A$2:$G$100,7,FALSE),"")</f>
        <v/>
      </c>
    </row>
    <row r="1525">
      <c r="A1525" t="n">
        <v>10</v>
      </c>
      <c r="B1525" t="inlineStr">
        <is>
          <t>Castillo Cuero Daira Eneida</t>
        </is>
      </c>
      <c r="C1525" t="inlineStr">
        <is>
          <t>VIERNES</t>
        </is>
      </c>
      <c r="D1525" t="n">
        <v>7</v>
      </c>
      <c r="E1525" t="n">
        <v>4</v>
      </c>
      <c r="F1525" t="n">
        <v>1</v>
      </c>
      <c r="G1525" t="inlineStr">
        <is>
          <t>12:00</t>
        </is>
      </c>
      <c r="H1525" t="inlineStr">
        <is>
          <t>12:45</t>
        </is>
      </c>
      <c r="I1525" t="inlineStr">
        <is>
          <t>ENFASIS</t>
        </is>
      </c>
      <c r="J1525" t="inlineStr"/>
      <c r="K1525" t="inlineStr">
        <is>
          <t>CAS</t>
        </is>
      </c>
      <c r="L1525" t="inlineStr">
        <is>
          <t>0601</t>
        </is>
      </c>
      <c r="M1525" t="inlineStr">
        <is>
          <t>0601</t>
        </is>
      </c>
      <c r="N1525" t="inlineStr">
        <is>
          <t>Puches Ana Milena (ART)</t>
        </is>
      </c>
      <c r="O1525" t="inlineStr">
        <is>
          <t>PAREJA: comparten el énfasis y alternan por semana</t>
        </is>
      </c>
      <c r="P1525" t="inlineStr">
        <is>
          <t>ENFASIS-0601</t>
        </is>
      </c>
      <c r="Q1525">
        <f>IF(I1525="ENFASIS","ÉNFASIS "&amp;M1525,IFERROR(VLOOKUP(J1525,Grupos!$A$2:$D$100,4,FALSE),J1525))</f>
        <v/>
      </c>
      <c r="R1525">
        <f>O1525&amp;IF(N1525&lt;&gt;"",IF(O1525&lt;&gt;""," · ","")&amp;"Con: "&amp;N1525,"")</f>
        <v/>
      </c>
      <c r="S1525">
        <f>C1525&amp;"|"&amp;D1525</f>
        <v/>
      </c>
      <c r="T1525">
        <f>COUNTIF($S$2:S1525,S1525)</f>
        <v/>
      </c>
      <c r="U1525">
        <f>S1525&amp;"|"&amp;T1525</f>
        <v/>
      </c>
      <c r="V1525">
        <f>IFERROR(VLOOKUP(IF(I1525="ENFASIS",LEFT(M1525,FIND("+",M1525&amp;"+")-1),J1525),Direccion_Grupo!$A$2:$G$100,7,FALSE),"")</f>
        <v/>
      </c>
    </row>
    <row r="1526">
      <c r="A1526" t="n">
        <v>39</v>
      </c>
      <c r="B1526" t="inlineStr">
        <is>
          <t>Puches Ana Milena</t>
        </is>
      </c>
      <c r="C1526" t="inlineStr">
        <is>
          <t>VIERNES</t>
        </is>
      </c>
      <c r="D1526" t="n">
        <v>7</v>
      </c>
      <c r="E1526" t="n">
        <v>4</v>
      </c>
      <c r="F1526" t="n">
        <v>1</v>
      </c>
      <c r="G1526" t="inlineStr">
        <is>
          <t>12:00</t>
        </is>
      </c>
      <c r="H1526" t="inlineStr">
        <is>
          <t>12:45</t>
        </is>
      </c>
      <c r="I1526" t="inlineStr">
        <is>
          <t>ENFASIS</t>
        </is>
      </c>
      <c r="J1526" t="inlineStr"/>
      <c r="K1526" t="inlineStr">
        <is>
          <t>ART</t>
        </is>
      </c>
      <c r="L1526" t="inlineStr">
        <is>
          <t>0601</t>
        </is>
      </c>
      <c r="M1526" t="inlineStr">
        <is>
          <t>0601</t>
        </is>
      </c>
      <c r="N1526" t="inlineStr">
        <is>
          <t>Castillo Cuero Daira Eneida (CAS)</t>
        </is>
      </c>
      <c r="O1526" t="inlineStr">
        <is>
          <t>PAREJA: comparten el énfasis y alternan por semana</t>
        </is>
      </c>
      <c r="P1526" t="inlineStr">
        <is>
          <t>ENFASIS-0601</t>
        </is>
      </c>
      <c r="Q1526">
        <f>IF(I1526="ENFASIS","ÉNFASIS "&amp;M1526,IFERROR(VLOOKUP(J1526,Grupos!$A$2:$D$100,4,FALSE),J1526))</f>
        <v/>
      </c>
      <c r="R1526">
        <f>O1526&amp;IF(N1526&lt;&gt;"",IF(O1526&lt;&gt;""," · ","")&amp;"Con: "&amp;N1526,"")</f>
        <v/>
      </c>
      <c r="S1526">
        <f>C1526&amp;"|"&amp;D1526</f>
        <v/>
      </c>
      <c r="T1526">
        <f>COUNTIF($S$2:S1526,S1526)</f>
        <v/>
      </c>
      <c r="U1526">
        <f>S1526&amp;"|"&amp;T1526</f>
        <v/>
      </c>
      <c r="V1526">
        <f>IFERROR(VLOOKUP(IF(I1526="ENFASIS",LEFT(M1526,FIND("+",M1526&amp;"+")-1),J1526),Direccion_Grupo!$A$2:$G$100,7,FALSE),"")</f>
        <v/>
      </c>
    </row>
    <row r="1527">
      <c r="A1527" t="n">
        <v>34</v>
      </c>
      <c r="B1527" t="inlineStr">
        <is>
          <t>Ordóñez Tenorio Jaime Marcial</t>
        </is>
      </c>
      <c r="C1527" t="inlineStr">
        <is>
          <t>VIERNES</t>
        </is>
      </c>
      <c r="D1527" t="n">
        <v>7</v>
      </c>
      <c r="E1527" t="n">
        <v>4</v>
      </c>
      <c r="F1527" t="n">
        <v>1</v>
      </c>
      <c r="G1527" t="inlineStr">
        <is>
          <t>12:00</t>
        </is>
      </c>
      <c r="H1527" t="inlineStr">
        <is>
          <t>12:45</t>
        </is>
      </c>
      <c r="I1527" t="inlineStr">
        <is>
          <t>ENFASIS</t>
        </is>
      </c>
      <c r="J1527" t="inlineStr"/>
      <c r="K1527" t="inlineStr">
        <is>
          <t>CNA</t>
        </is>
      </c>
      <c r="L1527" t="inlineStr">
        <is>
          <t>0602</t>
        </is>
      </c>
      <c r="M1527" t="inlineStr">
        <is>
          <t>0602</t>
        </is>
      </c>
      <c r="N1527" t="inlineStr">
        <is>
          <t>Armero Dájome Jesús (ERD)</t>
        </is>
      </c>
      <c r="O1527" t="inlineStr">
        <is>
          <t>PAREJA: comparten el énfasis y alternan por semana</t>
        </is>
      </c>
      <c r="P1527" t="inlineStr">
        <is>
          <t>ENFASIS-0602</t>
        </is>
      </c>
      <c r="Q1527">
        <f>IF(I1527="ENFASIS","ÉNFASIS "&amp;M1527,IFERROR(VLOOKUP(J1527,Grupos!$A$2:$D$100,4,FALSE),J1527))</f>
        <v/>
      </c>
      <c r="R1527">
        <f>O1527&amp;IF(N1527&lt;&gt;"",IF(O1527&lt;&gt;""," · ","")&amp;"Con: "&amp;N1527,"")</f>
        <v/>
      </c>
      <c r="S1527">
        <f>C1527&amp;"|"&amp;D1527</f>
        <v/>
      </c>
      <c r="T1527">
        <f>COUNTIF($S$2:S1527,S1527)</f>
        <v/>
      </c>
      <c r="U1527">
        <f>S1527&amp;"|"&amp;T1527</f>
        <v/>
      </c>
      <c r="V1527">
        <f>IFERROR(VLOOKUP(IF(I1527="ENFASIS",LEFT(M1527,FIND("+",M1527&amp;"+")-1),J1527),Direccion_Grupo!$A$2:$G$100,7,FALSE),"")</f>
        <v/>
      </c>
    </row>
    <row r="1528">
      <c r="A1528" t="n">
        <v>4</v>
      </c>
      <c r="B1528" t="inlineStr">
        <is>
          <t>Arizala Castro Roberto Carlos</t>
        </is>
      </c>
      <c r="C1528" t="inlineStr">
        <is>
          <t>VIERNES</t>
        </is>
      </c>
      <c r="D1528" t="n">
        <v>7</v>
      </c>
      <c r="E1528" t="n">
        <v>4</v>
      </c>
      <c r="F1528" t="n">
        <v>1</v>
      </c>
      <c r="G1528" t="inlineStr">
        <is>
          <t>12:00</t>
        </is>
      </c>
      <c r="H1528" t="inlineStr">
        <is>
          <t>12:45</t>
        </is>
      </c>
      <c r="I1528" t="inlineStr">
        <is>
          <t>ENFASIS</t>
        </is>
      </c>
      <c r="J1528" t="inlineStr"/>
      <c r="K1528" t="inlineStr">
        <is>
          <t>ERD</t>
        </is>
      </c>
      <c r="L1528" t="inlineStr">
        <is>
          <t>0602</t>
        </is>
      </c>
      <c r="M1528" t="inlineStr">
        <is>
          <t>0602</t>
        </is>
      </c>
      <c r="N1528" t="inlineStr">
        <is>
          <t>Ordóñez Tenorio Jaime Marcial (CNA)</t>
        </is>
      </c>
      <c r="O1528" t="inlineStr">
        <is>
          <t>PAREJA: comparten el énfasis y alternan por semana</t>
        </is>
      </c>
      <c r="P1528" t="inlineStr">
        <is>
          <t>ENFASIS-0602</t>
        </is>
      </c>
      <c r="Q1528">
        <f>IF(I1528="ENFASIS","ÉNFASIS "&amp;M1528,IFERROR(VLOOKUP(J1528,Grupos!$A$2:$D$100,4,FALSE),J1528))</f>
        <v/>
      </c>
      <c r="R1528">
        <f>O1528&amp;IF(N1528&lt;&gt;"",IF(O1528&lt;&gt;""," · ","")&amp;"Con: "&amp;N1528,"")</f>
        <v/>
      </c>
      <c r="S1528">
        <f>C1528&amp;"|"&amp;D1528</f>
        <v/>
      </c>
      <c r="T1528">
        <f>COUNTIF($S$2:S1528,S1528)</f>
        <v/>
      </c>
      <c r="U1528">
        <f>S1528&amp;"|"&amp;T1528</f>
        <v/>
      </c>
      <c r="V1528">
        <f>IFERROR(VLOOKUP(IF(I1528="ENFASIS",LEFT(M1528,FIND("+",M1528&amp;"+")-1),J1528),Direccion_Grupo!$A$2:$G$100,7,FALSE),"")</f>
        <v/>
      </c>
    </row>
    <row r="1529">
      <c r="A1529" t="n">
        <v>1</v>
      </c>
      <c r="B1529" t="inlineStr">
        <is>
          <t>Aguirre Riascos Jorge Andrés</t>
        </is>
      </c>
      <c r="C1529" t="inlineStr">
        <is>
          <t>VIERNES</t>
        </is>
      </c>
      <c r="D1529" t="n">
        <v>8</v>
      </c>
      <c r="E1529" t="n">
        <v>4</v>
      </c>
      <c r="F1529" t="n">
        <v>2</v>
      </c>
      <c r="G1529" t="inlineStr">
        <is>
          <t>12:45</t>
        </is>
      </c>
      <c r="H1529" t="inlineStr">
        <is>
          <t>13:30</t>
        </is>
      </c>
      <c r="I1529" t="inlineStr">
        <is>
          <t>CLASE</t>
        </is>
      </c>
      <c r="J1529" t="inlineStr">
        <is>
          <t>0701</t>
        </is>
      </c>
      <c r="K1529" t="inlineStr">
        <is>
          <t>TEI</t>
        </is>
      </c>
      <c r="L1529" t="inlineStr"/>
      <c r="M1529" t="inlineStr"/>
      <c r="N1529" t="inlineStr"/>
      <c r="O1529" t="inlineStr"/>
      <c r="P1529" t="inlineStr">
        <is>
          <t>0701-TEI</t>
        </is>
      </c>
      <c r="Q1529">
        <f>IF(I1529="ENFASIS","ÉNFASIS "&amp;M1529,IFERROR(VLOOKUP(J1529,Grupos!$A$2:$D$100,4,FALSE),J1529))</f>
        <v/>
      </c>
      <c r="R1529">
        <f>O1529&amp;IF(N1529&lt;&gt;"",IF(O1529&lt;&gt;""," · ","")&amp;"Con: "&amp;N1529,"")</f>
        <v/>
      </c>
      <c r="S1529">
        <f>C1529&amp;"|"&amp;D1529</f>
        <v/>
      </c>
      <c r="T1529">
        <f>COUNTIF($S$2:S1529,S1529)</f>
        <v/>
      </c>
      <c r="U1529">
        <f>S1529&amp;"|"&amp;T1529</f>
        <v/>
      </c>
      <c r="V1529">
        <f>IFERROR(VLOOKUP(IF(I1529="ENFASIS",LEFT(M1529,FIND("+",M1529&amp;"+")-1),J1529),Direccion_Grupo!$A$2:$G$100,7,FALSE),"")</f>
        <v/>
      </c>
    </row>
    <row r="1530">
      <c r="A1530" t="n">
        <v>8</v>
      </c>
      <c r="B1530" t="inlineStr">
        <is>
          <t>Casanova Quiñones Yoli del Carmen</t>
        </is>
      </c>
      <c r="C1530" t="inlineStr">
        <is>
          <t>VIERNES</t>
        </is>
      </c>
      <c r="D1530" t="n">
        <v>8</v>
      </c>
      <c r="E1530" t="n">
        <v>4</v>
      </c>
      <c r="F1530" t="n">
        <v>2</v>
      </c>
      <c r="G1530" t="inlineStr">
        <is>
          <t>12:45</t>
        </is>
      </c>
      <c r="H1530" t="inlineStr">
        <is>
          <t>13:30</t>
        </is>
      </c>
      <c r="I1530" t="inlineStr">
        <is>
          <t>CLASE</t>
        </is>
      </c>
      <c r="J1530" t="inlineStr">
        <is>
          <t>0702</t>
        </is>
      </c>
      <c r="K1530" t="inlineStr">
        <is>
          <t>ETR</t>
        </is>
      </c>
      <c r="L1530" t="inlineStr"/>
      <c r="M1530" t="inlineStr"/>
      <c r="N1530" t="inlineStr"/>
      <c r="O1530" t="inlineStr">
        <is>
          <t>Ética / Religión (alternan cada semana)</t>
        </is>
      </c>
      <c r="P1530" t="inlineStr">
        <is>
          <t>0702-REL</t>
        </is>
      </c>
      <c r="Q1530">
        <f>IF(I1530="ENFASIS","ÉNFASIS "&amp;M1530,IFERROR(VLOOKUP(J1530,Grupos!$A$2:$D$100,4,FALSE),J1530))</f>
        <v/>
      </c>
      <c r="R1530">
        <f>O1530&amp;IF(N1530&lt;&gt;"",IF(O1530&lt;&gt;""," · ","")&amp;"Con: "&amp;N1530,"")</f>
        <v/>
      </c>
      <c r="S1530">
        <f>C1530&amp;"|"&amp;D1530</f>
        <v/>
      </c>
      <c r="T1530">
        <f>COUNTIF($S$2:S1530,S1530)</f>
        <v/>
      </c>
      <c r="U1530">
        <f>S1530&amp;"|"&amp;T1530</f>
        <v/>
      </c>
      <c r="V1530">
        <f>IFERROR(VLOOKUP(IF(I1530="ENFASIS",LEFT(M1530,FIND("+",M1530&amp;"+")-1),J1530),Direccion_Grupo!$A$2:$G$100,7,FALSE),"")</f>
        <v/>
      </c>
    </row>
    <row r="1531">
      <c r="A1531" t="n">
        <v>52</v>
      </c>
      <c r="B1531" t="inlineStr">
        <is>
          <t>Vásquez Valencia Segundo Leoncio</t>
        </is>
      </c>
      <c r="C1531" t="inlineStr">
        <is>
          <t>VIERNES</t>
        </is>
      </c>
      <c r="D1531" t="n">
        <v>8</v>
      </c>
      <c r="E1531" t="n">
        <v>4</v>
      </c>
      <c r="F1531" t="n">
        <v>2</v>
      </c>
      <c r="G1531" t="inlineStr">
        <is>
          <t>12:45</t>
        </is>
      </c>
      <c r="H1531" t="inlineStr">
        <is>
          <t>13:30</t>
        </is>
      </c>
      <c r="I1531" t="inlineStr">
        <is>
          <t>CLASE</t>
        </is>
      </c>
      <c r="J1531" t="inlineStr">
        <is>
          <t>0703</t>
        </is>
      </c>
      <c r="K1531" t="inlineStr">
        <is>
          <t>MAT</t>
        </is>
      </c>
      <c r="L1531" t="inlineStr"/>
      <c r="M1531" t="inlineStr"/>
      <c r="N1531" t="inlineStr"/>
      <c r="O1531" t="inlineStr"/>
      <c r="P1531" t="inlineStr">
        <is>
          <t>0703-MAT</t>
        </is>
      </c>
      <c r="Q1531">
        <f>IF(I1531="ENFASIS","ÉNFASIS "&amp;M1531,IFERROR(VLOOKUP(J1531,Grupos!$A$2:$D$100,4,FALSE),J1531))</f>
        <v/>
      </c>
      <c r="R1531">
        <f>O1531&amp;IF(N1531&lt;&gt;"",IF(O1531&lt;&gt;""," · ","")&amp;"Con: "&amp;N1531,"")</f>
        <v/>
      </c>
      <c r="S1531">
        <f>C1531&amp;"|"&amp;D1531</f>
        <v/>
      </c>
      <c r="T1531">
        <f>COUNTIF($S$2:S1531,S1531)</f>
        <v/>
      </c>
      <c r="U1531">
        <f>S1531&amp;"|"&amp;T1531</f>
        <v/>
      </c>
      <c r="V1531">
        <f>IFERROR(VLOOKUP(IF(I1531="ENFASIS",LEFT(M1531,FIND("+",M1531&amp;"+")-1),J1531),Direccion_Grupo!$A$2:$G$100,7,FALSE),"")</f>
        <v/>
      </c>
    </row>
    <row r="1532">
      <c r="A1532" t="n">
        <v>41</v>
      </c>
      <c r="B1532" t="inlineStr">
        <is>
          <t>Quintero Ramírez María del Carmen</t>
        </is>
      </c>
      <c r="C1532" t="inlineStr">
        <is>
          <t>VIERNES</t>
        </is>
      </c>
      <c r="D1532" t="n">
        <v>8</v>
      </c>
      <c r="E1532" t="n">
        <v>4</v>
      </c>
      <c r="F1532" t="n">
        <v>2</v>
      </c>
      <c r="G1532" t="inlineStr">
        <is>
          <t>12:45</t>
        </is>
      </c>
      <c r="H1532" t="inlineStr">
        <is>
          <t>13:30</t>
        </is>
      </c>
      <c r="I1532" t="inlineStr">
        <is>
          <t>CLASE</t>
        </is>
      </c>
      <c r="J1532" t="inlineStr">
        <is>
          <t>0704</t>
        </is>
      </c>
      <c r="K1532" t="inlineStr">
        <is>
          <t>CSI</t>
        </is>
      </c>
      <c r="L1532" t="inlineStr"/>
      <c r="M1532" t="inlineStr"/>
      <c r="N1532" t="inlineStr"/>
      <c r="O1532" t="inlineStr">
        <is>
          <t>Sociales / Inglés (alternan cada semana)</t>
        </is>
      </c>
      <c r="P1532" t="inlineStr">
        <is>
          <t>0704-CSI</t>
        </is>
      </c>
      <c r="Q1532">
        <f>IF(I1532="ENFASIS","ÉNFASIS "&amp;M1532,IFERROR(VLOOKUP(J1532,Grupos!$A$2:$D$100,4,FALSE),J1532))</f>
        <v/>
      </c>
      <c r="R1532">
        <f>O1532&amp;IF(N1532&lt;&gt;"",IF(O1532&lt;&gt;""," · ","")&amp;"Con: "&amp;N1532,"")</f>
        <v/>
      </c>
      <c r="S1532">
        <f>C1532&amp;"|"&amp;D1532</f>
        <v/>
      </c>
      <c r="T1532">
        <f>COUNTIF($S$2:S1532,S1532)</f>
        <v/>
      </c>
      <c r="U1532">
        <f>S1532&amp;"|"&amp;T1532</f>
        <v/>
      </c>
      <c r="V1532">
        <f>IFERROR(VLOOKUP(IF(I1532="ENFASIS",LEFT(M1532,FIND("+",M1532&amp;"+")-1),J1532),Direccion_Grupo!$A$2:$G$100,7,FALSE),"")</f>
        <v/>
      </c>
    </row>
    <row r="1533">
      <c r="A1533" t="n">
        <v>38</v>
      </c>
      <c r="B1533" t="inlineStr">
        <is>
          <t>Preciado Torres Oleisa</t>
        </is>
      </c>
      <c r="C1533" t="inlineStr">
        <is>
          <t>VIERNES</t>
        </is>
      </c>
      <c r="D1533" t="n">
        <v>8</v>
      </c>
      <c r="E1533" t="n">
        <v>4</v>
      </c>
      <c r="F1533" t="n">
        <v>2</v>
      </c>
      <c r="G1533" t="inlineStr">
        <is>
          <t>12:45</t>
        </is>
      </c>
      <c r="H1533" t="inlineStr">
        <is>
          <t>13:30</t>
        </is>
      </c>
      <c r="I1533" t="inlineStr">
        <is>
          <t>CLASE</t>
        </is>
      </c>
      <c r="J1533" t="inlineStr">
        <is>
          <t>0801</t>
        </is>
      </c>
      <c r="K1533" t="inlineStr">
        <is>
          <t>MAT</t>
        </is>
      </c>
      <c r="L1533" t="inlineStr"/>
      <c r="M1533" t="inlineStr"/>
      <c r="N1533" t="inlineStr"/>
      <c r="O1533" t="inlineStr"/>
      <c r="P1533" t="inlineStr">
        <is>
          <t>0801-MAT</t>
        </is>
      </c>
      <c r="Q1533">
        <f>IF(I1533="ENFASIS","ÉNFASIS "&amp;M1533,IFERROR(VLOOKUP(J1533,Grupos!$A$2:$D$100,4,FALSE),J1533))</f>
        <v/>
      </c>
      <c r="R1533">
        <f>O1533&amp;IF(N1533&lt;&gt;"",IF(O1533&lt;&gt;""," · ","")&amp;"Con: "&amp;N1533,"")</f>
        <v/>
      </c>
      <c r="S1533">
        <f>C1533&amp;"|"&amp;D1533</f>
        <v/>
      </c>
      <c r="T1533">
        <f>COUNTIF($S$2:S1533,S1533)</f>
        <v/>
      </c>
      <c r="U1533">
        <f>S1533&amp;"|"&amp;T1533</f>
        <v/>
      </c>
      <c r="V1533">
        <f>IFERROR(VLOOKUP(IF(I1533="ENFASIS",LEFT(M1533,FIND("+",M1533&amp;"+")-1),J1533),Direccion_Grupo!$A$2:$G$100,7,FALSE),"")</f>
        <v/>
      </c>
    </row>
    <row r="1534">
      <c r="A1534" t="n">
        <v>12</v>
      </c>
      <c r="B1534" t="inlineStr">
        <is>
          <t>Chillambo Quiñones María Rocío</t>
        </is>
      </c>
      <c r="C1534" t="inlineStr">
        <is>
          <t>VIERNES</t>
        </is>
      </c>
      <c r="D1534" t="n">
        <v>8</v>
      </c>
      <c r="E1534" t="n">
        <v>4</v>
      </c>
      <c r="F1534" t="n">
        <v>2</v>
      </c>
      <c r="G1534" t="inlineStr">
        <is>
          <t>12:45</t>
        </is>
      </c>
      <c r="H1534" t="inlineStr">
        <is>
          <t>13:30</t>
        </is>
      </c>
      <c r="I1534" t="inlineStr">
        <is>
          <t>CLASE</t>
        </is>
      </c>
      <c r="J1534" t="inlineStr">
        <is>
          <t>0802</t>
        </is>
      </c>
      <c r="K1534" t="inlineStr">
        <is>
          <t>CNA</t>
        </is>
      </c>
      <c r="L1534" t="inlineStr"/>
      <c r="M1534" t="inlineStr"/>
      <c r="N1534" t="inlineStr"/>
      <c r="O1534" t="inlineStr"/>
      <c r="P1534" t="inlineStr">
        <is>
          <t>0802-CNA</t>
        </is>
      </c>
      <c r="Q1534">
        <f>IF(I1534="ENFASIS","ÉNFASIS "&amp;M1534,IFERROR(VLOOKUP(J1534,Grupos!$A$2:$D$100,4,FALSE),J1534))</f>
        <v/>
      </c>
      <c r="R1534">
        <f>O1534&amp;IF(N1534&lt;&gt;"",IF(O1534&lt;&gt;""," · ","")&amp;"Con: "&amp;N1534,"")</f>
        <v/>
      </c>
      <c r="S1534">
        <f>C1534&amp;"|"&amp;D1534</f>
        <v/>
      </c>
      <c r="T1534">
        <f>COUNTIF($S$2:S1534,S1534)</f>
        <v/>
      </c>
      <c r="U1534">
        <f>S1534&amp;"|"&amp;T1534</f>
        <v/>
      </c>
      <c r="V1534">
        <f>IFERROR(VLOOKUP(IF(I1534="ENFASIS",LEFT(M1534,FIND("+",M1534&amp;"+")-1),J1534),Direccion_Grupo!$A$2:$G$100,7,FALSE),"")</f>
        <v/>
      </c>
    </row>
    <row r="1535">
      <c r="A1535" t="n">
        <v>6</v>
      </c>
      <c r="B1535" t="inlineStr">
        <is>
          <t>Betancourth Ocampo Yohana Patricia</t>
        </is>
      </c>
      <c r="C1535" t="inlineStr">
        <is>
          <t>VIERNES</t>
        </is>
      </c>
      <c r="D1535" t="n">
        <v>8</v>
      </c>
      <c r="E1535" t="n">
        <v>4</v>
      </c>
      <c r="F1535" t="n">
        <v>2</v>
      </c>
      <c r="G1535" t="inlineStr">
        <is>
          <t>12:45</t>
        </is>
      </c>
      <c r="H1535" t="inlineStr">
        <is>
          <t>13:30</t>
        </is>
      </c>
      <c r="I1535" t="inlineStr">
        <is>
          <t>CLASE</t>
        </is>
      </c>
      <c r="J1535" t="inlineStr">
        <is>
          <t>0901</t>
        </is>
      </c>
      <c r="K1535" t="inlineStr">
        <is>
          <t>CSI</t>
        </is>
      </c>
      <c r="L1535" t="inlineStr"/>
      <c r="M1535" t="inlineStr"/>
      <c r="N1535" t="inlineStr"/>
      <c r="O1535" t="inlineStr">
        <is>
          <t>Sociales / Inglés (alternan cada semana)</t>
        </is>
      </c>
      <c r="P1535" t="inlineStr">
        <is>
          <t>0901-CSI</t>
        </is>
      </c>
      <c r="Q1535">
        <f>IF(I1535="ENFASIS","ÉNFASIS "&amp;M1535,IFERROR(VLOOKUP(J1535,Grupos!$A$2:$D$100,4,FALSE),J1535))</f>
        <v/>
      </c>
      <c r="R1535">
        <f>O1535&amp;IF(N1535&lt;&gt;"",IF(O1535&lt;&gt;""," · ","")&amp;"Con: "&amp;N1535,"")</f>
        <v/>
      </c>
      <c r="S1535">
        <f>C1535&amp;"|"&amp;D1535</f>
        <v/>
      </c>
      <c r="T1535">
        <f>COUNTIF($S$2:S1535,S1535)</f>
        <v/>
      </c>
      <c r="U1535">
        <f>S1535&amp;"|"&amp;T1535</f>
        <v/>
      </c>
      <c r="V1535">
        <f>IFERROR(VLOOKUP(IF(I1535="ENFASIS",LEFT(M1535,FIND("+",M1535&amp;"+")-1),J1535),Direccion_Grupo!$A$2:$G$100,7,FALSE),"")</f>
        <v/>
      </c>
    </row>
    <row r="1536">
      <c r="A1536" t="n">
        <v>29</v>
      </c>
      <c r="B1536" t="inlineStr">
        <is>
          <t>Mindineros Satizábal John Jáver</t>
        </is>
      </c>
      <c r="C1536" t="inlineStr">
        <is>
          <t>VIERNES</t>
        </is>
      </c>
      <c r="D1536" t="n">
        <v>8</v>
      </c>
      <c r="E1536" t="n">
        <v>4</v>
      </c>
      <c r="F1536" t="n">
        <v>2</v>
      </c>
      <c r="G1536" t="inlineStr">
        <is>
          <t>12:45</t>
        </is>
      </c>
      <c r="H1536" t="inlineStr">
        <is>
          <t>13:30</t>
        </is>
      </c>
      <c r="I1536" t="inlineStr">
        <is>
          <t>CLASE</t>
        </is>
      </c>
      <c r="J1536" t="inlineStr">
        <is>
          <t>0902</t>
        </is>
      </c>
      <c r="K1536" t="inlineStr">
        <is>
          <t>TEI</t>
        </is>
      </c>
      <c r="L1536" t="inlineStr"/>
      <c r="M1536" t="inlineStr"/>
      <c r="N1536" t="inlineStr"/>
      <c r="O1536" t="inlineStr"/>
      <c r="P1536" t="inlineStr">
        <is>
          <t>0902-TEI</t>
        </is>
      </c>
      <c r="Q1536">
        <f>IF(I1536="ENFASIS","ÉNFASIS "&amp;M1536,IFERROR(VLOOKUP(J1536,Grupos!$A$2:$D$100,4,FALSE),J1536))</f>
        <v/>
      </c>
      <c r="R1536">
        <f>O1536&amp;IF(N1536&lt;&gt;"",IF(O1536&lt;&gt;""," · ","")&amp;"Con: "&amp;N1536,"")</f>
        <v/>
      </c>
      <c r="S1536">
        <f>C1536&amp;"|"&amp;D1536</f>
        <v/>
      </c>
      <c r="T1536">
        <f>COUNTIF($S$2:S1536,S1536)</f>
        <v/>
      </c>
      <c r="U1536">
        <f>S1536&amp;"|"&amp;T1536</f>
        <v/>
      </c>
      <c r="V1536">
        <f>IFERROR(VLOOKUP(IF(I1536="ENFASIS",LEFT(M1536,FIND("+",M1536&amp;"+")-1),J1536),Direccion_Grupo!$A$2:$G$100,7,FALSE),"")</f>
        <v/>
      </c>
    </row>
    <row r="1537">
      <c r="A1537" t="n">
        <v>25</v>
      </c>
      <c r="B1537" t="inlineStr">
        <is>
          <t>Lemos Guancha Miriam</t>
        </is>
      </c>
      <c r="C1537" t="inlineStr">
        <is>
          <t>VIERNES</t>
        </is>
      </c>
      <c r="D1537" t="n">
        <v>8</v>
      </c>
      <c r="E1537" t="n">
        <v>4</v>
      </c>
      <c r="F1537" t="n">
        <v>2</v>
      </c>
      <c r="G1537" t="inlineStr">
        <is>
          <t>12:45</t>
        </is>
      </c>
      <c r="H1537" t="inlineStr">
        <is>
          <t>13:30</t>
        </is>
      </c>
      <c r="I1537" t="inlineStr">
        <is>
          <t>CLASE</t>
        </is>
      </c>
      <c r="J1537" t="inlineStr">
        <is>
          <t>1001</t>
        </is>
      </c>
      <c r="K1537" t="inlineStr">
        <is>
          <t>CNA</t>
        </is>
      </c>
      <c r="L1537" t="inlineStr"/>
      <c r="M1537" t="inlineStr"/>
      <c r="N1537" t="inlineStr"/>
      <c r="O1537" t="inlineStr"/>
      <c r="P1537" t="inlineStr">
        <is>
          <t>1001-CNA</t>
        </is>
      </c>
      <c r="Q1537">
        <f>IF(I1537="ENFASIS","ÉNFASIS "&amp;M1537,IFERROR(VLOOKUP(J1537,Grupos!$A$2:$D$100,4,FALSE),J1537))</f>
        <v/>
      </c>
      <c r="R1537">
        <f>O1537&amp;IF(N1537&lt;&gt;"",IF(O1537&lt;&gt;""," · ","")&amp;"Con: "&amp;N1537,"")</f>
        <v/>
      </c>
      <c r="S1537">
        <f>C1537&amp;"|"&amp;D1537</f>
        <v/>
      </c>
      <c r="T1537">
        <f>COUNTIF($S$2:S1537,S1537)</f>
        <v/>
      </c>
      <c r="U1537">
        <f>S1537&amp;"|"&amp;T1537</f>
        <v/>
      </c>
      <c r="V1537">
        <f>IFERROR(VLOOKUP(IF(I1537="ENFASIS",LEFT(M1537,FIND("+",M1537&amp;"+")-1),J1537),Direccion_Grupo!$A$2:$G$100,7,FALSE),"")</f>
        <v/>
      </c>
    </row>
    <row r="1538">
      <c r="A1538" t="n">
        <v>43</v>
      </c>
      <c r="B1538" t="inlineStr">
        <is>
          <t>Ramírez Guerra Jimmy Eduardo</t>
        </is>
      </c>
      <c r="C1538" t="inlineStr">
        <is>
          <t>VIERNES</t>
        </is>
      </c>
      <c r="D1538" t="n">
        <v>8</v>
      </c>
      <c r="E1538" t="n">
        <v>4</v>
      </c>
      <c r="F1538" t="n">
        <v>2</v>
      </c>
      <c r="G1538" t="inlineStr">
        <is>
          <t>12:45</t>
        </is>
      </c>
      <c r="H1538" t="inlineStr">
        <is>
          <t>13:30</t>
        </is>
      </c>
      <c r="I1538" t="inlineStr">
        <is>
          <t>CLASE</t>
        </is>
      </c>
      <c r="J1538" t="inlineStr">
        <is>
          <t>1002</t>
        </is>
      </c>
      <c r="K1538" t="inlineStr">
        <is>
          <t>ERD</t>
        </is>
      </c>
      <c r="L1538" t="inlineStr"/>
      <c r="M1538" t="inlineStr"/>
      <c r="N1538" t="inlineStr"/>
      <c r="O1538" t="inlineStr"/>
      <c r="P1538" t="inlineStr">
        <is>
          <t>1002-ERD</t>
        </is>
      </c>
      <c r="Q1538">
        <f>IF(I1538="ENFASIS","ÉNFASIS "&amp;M1538,IFERROR(VLOOKUP(J1538,Grupos!$A$2:$D$100,4,FALSE),J1538))</f>
        <v/>
      </c>
      <c r="R1538">
        <f>O1538&amp;IF(N1538&lt;&gt;"",IF(O1538&lt;&gt;""," · ","")&amp;"Con: "&amp;N1538,"")</f>
        <v/>
      </c>
      <c r="S1538">
        <f>C1538&amp;"|"&amp;D1538</f>
        <v/>
      </c>
      <c r="T1538">
        <f>COUNTIF($S$2:S1538,S1538)</f>
        <v/>
      </c>
      <c r="U1538">
        <f>S1538&amp;"|"&amp;T1538</f>
        <v/>
      </c>
      <c r="V1538">
        <f>IFERROR(VLOOKUP(IF(I1538="ENFASIS",LEFT(M1538,FIND("+",M1538&amp;"+")-1),J1538),Direccion_Grupo!$A$2:$G$100,7,FALSE),"")</f>
        <v/>
      </c>
    </row>
    <row r="1539">
      <c r="A1539" t="n">
        <v>31</v>
      </c>
      <c r="B1539" t="inlineStr">
        <is>
          <t>Montaño Arizala Leidis Claudina</t>
        </is>
      </c>
      <c r="C1539" t="inlineStr">
        <is>
          <t>VIERNES</t>
        </is>
      </c>
      <c r="D1539" t="n">
        <v>8</v>
      </c>
      <c r="E1539" t="n">
        <v>4</v>
      </c>
      <c r="F1539" t="n">
        <v>2</v>
      </c>
      <c r="G1539" t="inlineStr">
        <is>
          <t>12:45</t>
        </is>
      </c>
      <c r="H1539" t="inlineStr">
        <is>
          <t>13:30</t>
        </is>
      </c>
      <c r="I1539" t="inlineStr">
        <is>
          <t>CLASE</t>
        </is>
      </c>
      <c r="J1539" t="inlineStr">
        <is>
          <t>1101</t>
        </is>
      </c>
      <c r="K1539" t="inlineStr">
        <is>
          <t>ETR</t>
        </is>
      </c>
      <c r="L1539" t="inlineStr"/>
      <c r="M1539" t="inlineStr"/>
      <c r="N1539" t="inlineStr"/>
      <c r="O1539" t="inlineStr">
        <is>
          <t>Ética / Religión (alternan cada semana)</t>
        </is>
      </c>
      <c r="P1539" t="inlineStr">
        <is>
          <t>1101-ETR</t>
        </is>
      </c>
      <c r="Q1539">
        <f>IF(I1539="ENFASIS","ÉNFASIS "&amp;M1539,IFERROR(VLOOKUP(J1539,Grupos!$A$2:$D$100,4,FALSE),J1539))</f>
        <v/>
      </c>
      <c r="R1539">
        <f>O1539&amp;IF(N1539&lt;&gt;"",IF(O1539&lt;&gt;""," · ","")&amp;"Con: "&amp;N1539,"")</f>
        <v/>
      </c>
      <c r="S1539">
        <f>C1539&amp;"|"&amp;D1539</f>
        <v/>
      </c>
      <c r="T1539">
        <f>COUNTIF($S$2:S1539,S1539)</f>
        <v/>
      </c>
      <c r="U1539">
        <f>S1539&amp;"|"&amp;T1539</f>
        <v/>
      </c>
      <c r="V1539">
        <f>IFERROR(VLOOKUP(IF(I1539="ENFASIS",LEFT(M1539,FIND("+",M1539&amp;"+")-1),J1539),Direccion_Grupo!$A$2:$G$100,7,FALSE),"")</f>
        <v/>
      </c>
    </row>
    <row r="1540">
      <c r="A1540" t="n">
        <v>30</v>
      </c>
      <c r="B1540" t="inlineStr">
        <is>
          <t>Montaño Anchico Favio Héctor</t>
        </is>
      </c>
      <c r="C1540" t="inlineStr">
        <is>
          <t>VIERNES</t>
        </is>
      </c>
      <c r="D1540" t="n">
        <v>8</v>
      </c>
      <c r="E1540" t="n">
        <v>4</v>
      </c>
      <c r="F1540" t="n">
        <v>2</v>
      </c>
      <c r="G1540" t="inlineStr">
        <is>
          <t>12:45</t>
        </is>
      </c>
      <c r="H1540" t="inlineStr">
        <is>
          <t>13:30</t>
        </is>
      </c>
      <c r="I1540" t="inlineStr">
        <is>
          <t>CLASE</t>
        </is>
      </c>
      <c r="J1540" t="inlineStr">
        <is>
          <t>1102</t>
        </is>
      </c>
      <c r="K1540" t="inlineStr">
        <is>
          <t>CAS</t>
        </is>
      </c>
      <c r="L1540" t="inlineStr"/>
      <c r="M1540" t="inlineStr"/>
      <c r="N1540" t="inlineStr"/>
      <c r="O1540" t="inlineStr"/>
      <c r="P1540" t="inlineStr">
        <is>
          <t>1102-CAS</t>
        </is>
      </c>
      <c r="Q1540">
        <f>IF(I1540="ENFASIS","ÉNFASIS "&amp;M1540,IFERROR(VLOOKUP(J1540,Grupos!$A$2:$D$100,4,FALSE),J1540))</f>
        <v/>
      </c>
      <c r="R1540">
        <f>O1540&amp;IF(N1540&lt;&gt;"",IF(O1540&lt;&gt;""," · ","")&amp;"Con: "&amp;N1540,"")</f>
        <v/>
      </c>
      <c r="S1540">
        <f>C1540&amp;"|"&amp;D1540</f>
        <v/>
      </c>
      <c r="T1540">
        <f>COUNTIF($S$2:S1540,S1540)</f>
        <v/>
      </c>
      <c r="U1540">
        <f>S1540&amp;"|"&amp;T1540</f>
        <v/>
      </c>
      <c r="V1540">
        <f>IFERROR(VLOOKUP(IF(I1540="ENFASIS",LEFT(M1540,FIND("+",M1540&amp;"+")-1),J1540),Direccion_Grupo!$A$2:$G$100,7,FALSE),"")</f>
        <v/>
      </c>
    </row>
    <row r="1541">
      <c r="A1541" t="n">
        <v>57</v>
      </c>
      <c r="B1541" t="inlineStr">
        <is>
          <t>Armero Dájome Jesús</t>
        </is>
      </c>
      <c r="C1541" t="inlineStr">
        <is>
          <t>VIERNES</t>
        </is>
      </c>
      <c r="D1541" t="n">
        <v>8</v>
      </c>
      <c r="E1541" t="n">
        <v>4</v>
      </c>
      <c r="F1541" t="n">
        <v>2</v>
      </c>
      <c r="G1541" t="inlineStr">
        <is>
          <t>12:45</t>
        </is>
      </c>
      <c r="H1541" t="inlineStr">
        <is>
          <t>13:30</t>
        </is>
      </c>
      <c r="I1541" t="inlineStr">
        <is>
          <t>CLASE</t>
        </is>
      </c>
      <c r="J1541" t="inlineStr">
        <is>
          <t>CS101</t>
        </is>
      </c>
      <c r="K1541" t="inlineStr">
        <is>
          <t>CNA</t>
        </is>
      </c>
      <c r="L1541" t="inlineStr"/>
      <c r="M1541" t="inlineStr"/>
      <c r="N1541" t="inlineStr"/>
      <c r="O1541" t="inlineStr"/>
      <c r="P1541" t="inlineStr">
        <is>
          <t>CS101-CNA</t>
        </is>
      </c>
      <c r="Q1541">
        <f>IF(I1541="ENFASIS","ÉNFASIS "&amp;M1541,IFERROR(VLOOKUP(J1541,Grupos!$A$2:$D$100,4,FALSE),J1541))</f>
        <v/>
      </c>
      <c r="R1541">
        <f>O1541&amp;IF(N1541&lt;&gt;"",IF(O1541&lt;&gt;""," · ","")&amp;"Con: "&amp;N1541,"")</f>
        <v/>
      </c>
      <c r="S1541">
        <f>C1541&amp;"|"&amp;D1541</f>
        <v/>
      </c>
      <c r="T1541">
        <f>COUNTIF($S$2:S1541,S1541)</f>
        <v/>
      </c>
      <c r="U1541">
        <f>S1541&amp;"|"&amp;T1541</f>
        <v/>
      </c>
      <c r="V1541">
        <f>IFERROR(VLOOKUP(IF(I1541="ENFASIS",LEFT(M1541,FIND("+",M1541&amp;"+")-1),J1541),Direccion_Grupo!$A$2:$G$100,7,FALSE),"")</f>
        <v/>
      </c>
    </row>
    <row r="1542">
      <c r="A1542" t="n">
        <v>42</v>
      </c>
      <c r="B1542" t="inlineStr">
        <is>
          <t>Quiñones Cabezas Marcos Vidal</t>
        </is>
      </c>
      <c r="C1542" t="inlineStr">
        <is>
          <t>VIERNES</t>
        </is>
      </c>
      <c r="D1542" t="n">
        <v>8</v>
      </c>
      <c r="E1542" t="n">
        <v>4</v>
      </c>
      <c r="F1542" t="n">
        <v>2</v>
      </c>
      <c r="G1542" t="inlineStr">
        <is>
          <t>12:45</t>
        </is>
      </c>
      <c r="H1542" t="inlineStr">
        <is>
          <t>13:30</t>
        </is>
      </c>
      <c r="I1542" t="inlineStr">
        <is>
          <t>CLASE</t>
        </is>
      </c>
      <c r="J1542" t="inlineStr">
        <is>
          <t>CS102</t>
        </is>
      </c>
      <c r="K1542" t="inlineStr">
        <is>
          <t>MAT</t>
        </is>
      </c>
      <c r="L1542" t="inlineStr"/>
      <c r="M1542" t="inlineStr"/>
      <c r="N1542" t="inlineStr"/>
      <c r="O1542" t="inlineStr"/>
      <c r="P1542" t="inlineStr">
        <is>
          <t>CS102-MAT</t>
        </is>
      </c>
      <c r="Q1542">
        <f>IF(I1542="ENFASIS","ÉNFASIS "&amp;M1542,IFERROR(VLOOKUP(J1542,Grupos!$A$2:$D$100,4,FALSE),J1542))</f>
        <v/>
      </c>
      <c r="R1542">
        <f>O1542&amp;IF(N1542&lt;&gt;"",IF(O1542&lt;&gt;""," · ","")&amp;"Con: "&amp;N1542,"")</f>
        <v/>
      </c>
      <c r="S1542">
        <f>C1542&amp;"|"&amp;D1542</f>
        <v/>
      </c>
      <c r="T1542">
        <f>COUNTIF($S$2:S1542,S1542)</f>
        <v/>
      </c>
      <c r="U1542">
        <f>S1542&amp;"|"&amp;T1542</f>
        <v/>
      </c>
      <c r="V1542">
        <f>IFERROR(VLOOKUP(IF(I1542="ENFASIS",LEFT(M1542,FIND("+",M1542&amp;"+")-1),J1542),Direccion_Grupo!$A$2:$G$100,7,FALSE),"")</f>
        <v/>
      </c>
    </row>
    <row r="1543">
      <c r="A1543" t="n">
        <v>15</v>
      </c>
      <c r="B1543" t="inlineStr">
        <is>
          <t>Cuero Bamba Berte Levi</t>
        </is>
      </c>
      <c r="C1543" t="inlineStr">
        <is>
          <t>VIERNES</t>
        </is>
      </c>
      <c r="D1543" t="n">
        <v>8</v>
      </c>
      <c r="E1543" t="n">
        <v>4</v>
      </c>
      <c r="F1543" t="n">
        <v>2</v>
      </c>
      <c r="G1543" t="inlineStr">
        <is>
          <t>12:45</t>
        </is>
      </c>
      <c r="H1543" t="inlineStr">
        <is>
          <t>13:30</t>
        </is>
      </c>
      <c r="I1543" t="inlineStr">
        <is>
          <t>CLASE</t>
        </is>
      </c>
      <c r="J1543" t="inlineStr">
        <is>
          <t>CS201</t>
        </is>
      </c>
      <c r="K1543" t="inlineStr">
        <is>
          <t>ERD</t>
        </is>
      </c>
      <c r="L1543" t="inlineStr"/>
      <c r="M1543" t="inlineStr"/>
      <c r="N1543" t="inlineStr"/>
      <c r="O1543" t="inlineStr"/>
      <c r="P1543" t="inlineStr">
        <is>
          <t>CS201-ERD</t>
        </is>
      </c>
      <c r="Q1543">
        <f>IF(I1543="ENFASIS","ÉNFASIS "&amp;M1543,IFERROR(VLOOKUP(J1543,Grupos!$A$2:$D$100,4,FALSE),J1543))</f>
        <v/>
      </c>
      <c r="R1543">
        <f>O1543&amp;IF(N1543&lt;&gt;"",IF(O1543&lt;&gt;""," · ","")&amp;"Con: "&amp;N1543,"")</f>
        <v/>
      </c>
      <c r="S1543">
        <f>C1543&amp;"|"&amp;D1543</f>
        <v/>
      </c>
      <c r="T1543">
        <f>COUNTIF($S$2:S1543,S1543)</f>
        <v/>
      </c>
      <c r="U1543">
        <f>S1543&amp;"|"&amp;T1543</f>
        <v/>
      </c>
      <c r="V1543">
        <f>IFERROR(VLOOKUP(IF(I1543="ENFASIS",LEFT(M1543,FIND("+",M1543&amp;"+")-1),J1543),Direccion_Grupo!$A$2:$G$100,7,FALSE),"")</f>
        <v/>
      </c>
    </row>
    <row r="1544">
      <c r="A1544" t="n">
        <v>19</v>
      </c>
      <c r="B1544" t="inlineStr">
        <is>
          <t>Fernández Vélez Alfredo Enrique</t>
        </is>
      </c>
      <c r="C1544" t="inlineStr">
        <is>
          <t>VIERNES</t>
        </is>
      </c>
      <c r="D1544" t="n">
        <v>8</v>
      </c>
      <c r="E1544" t="n">
        <v>4</v>
      </c>
      <c r="F1544" t="n">
        <v>2</v>
      </c>
      <c r="G1544" t="inlineStr">
        <is>
          <t>12:45</t>
        </is>
      </c>
      <c r="H1544" t="inlineStr">
        <is>
          <t>13:30</t>
        </is>
      </c>
      <c r="I1544" t="inlineStr">
        <is>
          <t>CLASE</t>
        </is>
      </c>
      <c r="J1544" t="inlineStr">
        <is>
          <t>CS202</t>
        </is>
      </c>
      <c r="K1544" t="inlineStr">
        <is>
          <t>TEI</t>
        </is>
      </c>
      <c r="L1544" t="inlineStr"/>
      <c r="M1544" t="inlineStr"/>
      <c r="N1544" t="inlineStr"/>
      <c r="O1544" t="inlineStr"/>
      <c r="P1544" t="inlineStr">
        <is>
          <t>CS202-TEI</t>
        </is>
      </c>
      <c r="Q1544">
        <f>IF(I1544="ENFASIS","ÉNFASIS "&amp;M1544,IFERROR(VLOOKUP(J1544,Grupos!$A$2:$D$100,4,FALSE),J1544))</f>
        <v/>
      </c>
      <c r="R1544">
        <f>O1544&amp;IF(N1544&lt;&gt;"",IF(O1544&lt;&gt;""," · ","")&amp;"Con: "&amp;N1544,"")</f>
        <v/>
      </c>
      <c r="S1544">
        <f>C1544&amp;"|"&amp;D1544</f>
        <v/>
      </c>
      <c r="T1544">
        <f>COUNTIF($S$2:S1544,S1544)</f>
        <v/>
      </c>
      <c r="U1544">
        <f>S1544&amp;"|"&amp;T1544</f>
        <v/>
      </c>
      <c r="V1544">
        <f>IFERROR(VLOOKUP(IF(I1544="ENFASIS",LEFT(M1544,FIND("+",M1544&amp;"+")-1),J1544),Direccion_Grupo!$A$2:$G$100,7,FALSE),"")</f>
        <v/>
      </c>
    </row>
    <row r="1545">
      <c r="A1545" t="n">
        <v>7</v>
      </c>
      <c r="B1545" t="inlineStr">
        <is>
          <t>Casanova Casanova Johana Andrea</t>
        </is>
      </c>
      <c r="C1545" t="inlineStr">
        <is>
          <t>VIERNES</t>
        </is>
      </c>
      <c r="D1545" t="n">
        <v>8</v>
      </c>
      <c r="E1545" t="n">
        <v>4</v>
      </c>
      <c r="F1545" t="n">
        <v>2</v>
      </c>
      <c r="G1545" t="inlineStr">
        <is>
          <t>12:45</t>
        </is>
      </c>
      <c r="H1545" t="inlineStr">
        <is>
          <t>13:30</t>
        </is>
      </c>
      <c r="I1545" t="inlineStr">
        <is>
          <t>ORIENTACION</t>
        </is>
      </c>
      <c r="J1545" t="inlineStr">
        <is>
          <t>ORIENT</t>
        </is>
      </c>
      <c r="K1545" t="inlineStr">
        <is>
          <t>ORIENTACIÓN ESCOLAR</t>
        </is>
      </c>
      <c r="L1545" t="inlineStr"/>
      <c r="M1545" t="inlineStr"/>
      <c r="N1545" t="inlineStr"/>
      <c r="O1545" t="inlineStr">
        <is>
          <t>Jornada 07:30 a 14:30</t>
        </is>
      </c>
      <c r="P1545" t="inlineStr"/>
      <c r="Q1545">
        <f>IF(I1545="ENFASIS","ÉNFASIS "&amp;M1545,IFERROR(VLOOKUP(J1545,Grupos!$A$2:$D$100,4,FALSE),J1545))</f>
        <v/>
      </c>
      <c r="R1545">
        <f>O1545&amp;IF(N1545&lt;&gt;"",IF(O1545&lt;&gt;""," · ","")&amp;"Con: "&amp;N1545,"")</f>
        <v/>
      </c>
      <c r="S1545">
        <f>C1545&amp;"|"&amp;D1545</f>
        <v/>
      </c>
      <c r="T1545">
        <f>COUNTIF($S$2:S1545,S1545)</f>
        <v/>
      </c>
      <c r="U1545">
        <f>S1545&amp;"|"&amp;T1545</f>
        <v/>
      </c>
      <c r="V1545">
        <f>IFERROR(VLOOKUP(IF(I1545="ENFASIS",LEFT(M1545,FIND("+",M1545&amp;"+")-1),J1545),Direccion_Grupo!$A$2:$G$100,7,FALSE),"")</f>
        <v/>
      </c>
    </row>
    <row r="1546">
      <c r="A1546" t="n">
        <v>36</v>
      </c>
      <c r="B1546" t="inlineStr">
        <is>
          <t>Ponce Moncayo Ángela Paola</t>
        </is>
      </c>
      <c r="C1546" t="inlineStr">
        <is>
          <t>VIERNES</t>
        </is>
      </c>
      <c r="D1546" t="n">
        <v>8</v>
      </c>
      <c r="E1546" t="n">
        <v>4</v>
      </c>
      <c r="F1546" t="n">
        <v>2</v>
      </c>
      <c r="G1546" t="inlineStr">
        <is>
          <t>12:45</t>
        </is>
      </c>
      <c r="H1546" t="inlineStr">
        <is>
          <t>13:30</t>
        </is>
      </c>
      <c r="I1546" t="inlineStr">
        <is>
          <t>ORIENTACION</t>
        </is>
      </c>
      <c r="J1546" t="inlineStr">
        <is>
          <t>ORIENT</t>
        </is>
      </c>
      <c r="K1546" t="inlineStr">
        <is>
          <t>ORIENTACIÓN ESCOLAR</t>
        </is>
      </c>
      <c r="L1546" t="inlineStr"/>
      <c r="M1546" t="inlineStr"/>
      <c r="N1546" t="inlineStr"/>
      <c r="O1546" t="inlineStr">
        <is>
          <t>Jornada 08:30 a 13:30</t>
        </is>
      </c>
      <c r="P1546" t="inlineStr"/>
      <c r="Q1546">
        <f>IF(I1546="ENFASIS","ÉNFASIS "&amp;M1546,IFERROR(VLOOKUP(J1546,Grupos!$A$2:$D$100,4,FALSE),J1546))</f>
        <v/>
      </c>
      <c r="R1546">
        <f>O1546&amp;IF(N1546&lt;&gt;"",IF(O1546&lt;&gt;""," · ","")&amp;"Con: "&amp;N1546,"")</f>
        <v/>
      </c>
      <c r="S1546">
        <f>C1546&amp;"|"&amp;D1546</f>
        <v/>
      </c>
      <c r="T1546">
        <f>COUNTIF($S$2:S1546,S1546)</f>
        <v/>
      </c>
      <c r="U1546">
        <f>S1546&amp;"|"&amp;T1546</f>
        <v/>
      </c>
      <c r="V1546">
        <f>IFERROR(VLOOKUP(IF(I1546="ENFASIS",LEFT(M1546,FIND("+",M1546&amp;"+")-1),J1546),Direccion_Grupo!$A$2:$G$100,7,FALSE),"")</f>
        <v/>
      </c>
    </row>
    <row r="1547">
      <c r="A1547" t="n">
        <v>10</v>
      </c>
      <c r="B1547" t="inlineStr">
        <is>
          <t>Castillo Cuero Daira Eneida</t>
        </is>
      </c>
      <c r="C1547" t="inlineStr">
        <is>
          <t>VIERNES</t>
        </is>
      </c>
      <c r="D1547" t="n">
        <v>8</v>
      </c>
      <c r="E1547" t="n">
        <v>4</v>
      </c>
      <c r="F1547" t="n">
        <v>2</v>
      </c>
      <c r="G1547" t="inlineStr">
        <is>
          <t>12:45</t>
        </is>
      </c>
      <c r="H1547" t="inlineStr">
        <is>
          <t>13:30</t>
        </is>
      </c>
      <c r="I1547" t="inlineStr">
        <is>
          <t>ENFASIS</t>
        </is>
      </c>
      <c r="J1547" t="inlineStr"/>
      <c r="K1547" t="inlineStr">
        <is>
          <t>CAS</t>
        </is>
      </c>
      <c r="L1547" t="inlineStr">
        <is>
          <t>0601</t>
        </is>
      </c>
      <c r="M1547" t="inlineStr">
        <is>
          <t>0601</t>
        </is>
      </c>
      <c r="N1547" t="inlineStr">
        <is>
          <t>Puches Ana Milena (ART)</t>
        </is>
      </c>
      <c r="O1547" t="inlineStr">
        <is>
          <t>PAREJA: comparten el énfasis y alternan por semana</t>
        </is>
      </c>
      <c r="P1547" t="inlineStr">
        <is>
          <t>ENFASIS-0601</t>
        </is>
      </c>
      <c r="Q1547">
        <f>IF(I1547="ENFASIS","ÉNFASIS "&amp;M1547,IFERROR(VLOOKUP(J1547,Grupos!$A$2:$D$100,4,FALSE),J1547))</f>
        <v/>
      </c>
      <c r="R1547">
        <f>O1547&amp;IF(N1547&lt;&gt;"",IF(O1547&lt;&gt;""," · ","")&amp;"Con: "&amp;N1547,"")</f>
        <v/>
      </c>
      <c r="S1547">
        <f>C1547&amp;"|"&amp;D1547</f>
        <v/>
      </c>
      <c r="T1547">
        <f>COUNTIF($S$2:S1547,S1547)</f>
        <v/>
      </c>
      <c r="U1547">
        <f>S1547&amp;"|"&amp;T1547</f>
        <v/>
      </c>
      <c r="V1547">
        <f>IFERROR(VLOOKUP(IF(I1547="ENFASIS",LEFT(M1547,FIND("+",M1547&amp;"+")-1),J1547),Direccion_Grupo!$A$2:$G$100,7,FALSE),"")</f>
        <v/>
      </c>
    </row>
    <row r="1548">
      <c r="A1548" t="n">
        <v>39</v>
      </c>
      <c r="B1548" t="inlineStr">
        <is>
          <t>Puches Ana Milena</t>
        </is>
      </c>
      <c r="C1548" t="inlineStr">
        <is>
          <t>VIERNES</t>
        </is>
      </c>
      <c r="D1548" t="n">
        <v>8</v>
      </c>
      <c r="E1548" t="n">
        <v>4</v>
      </c>
      <c r="F1548" t="n">
        <v>2</v>
      </c>
      <c r="G1548" t="inlineStr">
        <is>
          <t>12:45</t>
        </is>
      </c>
      <c r="H1548" t="inlineStr">
        <is>
          <t>13:30</t>
        </is>
      </c>
      <c r="I1548" t="inlineStr">
        <is>
          <t>ENFASIS</t>
        </is>
      </c>
      <c r="J1548" t="inlineStr"/>
      <c r="K1548" t="inlineStr">
        <is>
          <t>ART</t>
        </is>
      </c>
      <c r="L1548" t="inlineStr">
        <is>
          <t>0601</t>
        </is>
      </c>
      <c r="M1548" t="inlineStr">
        <is>
          <t>0601</t>
        </is>
      </c>
      <c r="N1548" t="inlineStr">
        <is>
          <t>Castillo Cuero Daira Eneida (CAS)</t>
        </is>
      </c>
      <c r="O1548" t="inlineStr">
        <is>
          <t>PAREJA: comparten el énfasis y alternan por semana</t>
        </is>
      </c>
      <c r="P1548" t="inlineStr">
        <is>
          <t>ENFASIS-0601</t>
        </is>
      </c>
      <c r="Q1548">
        <f>IF(I1548="ENFASIS","ÉNFASIS "&amp;M1548,IFERROR(VLOOKUP(J1548,Grupos!$A$2:$D$100,4,FALSE),J1548))</f>
        <v/>
      </c>
      <c r="R1548">
        <f>O1548&amp;IF(N1548&lt;&gt;"",IF(O1548&lt;&gt;""," · ","")&amp;"Con: "&amp;N1548,"")</f>
        <v/>
      </c>
      <c r="S1548">
        <f>C1548&amp;"|"&amp;D1548</f>
        <v/>
      </c>
      <c r="T1548">
        <f>COUNTIF($S$2:S1548,S1548)</f>
        <v/>
      </c>
      <c r="U1548">
        <f>S1548&amp;"|"&amp;T1548</f>
        <v/>
      </c>
      <c r="V1548">
        <f>IFERROR(VLOOKUP(IF(I1548="ENFASIS",LEFT(M1548,FIND("+",M1548&amp;"+")-1),J1548),Direccion_Grupo!$A$2:$G$100,7,FALSE),"")</f>
        <v/>
      </c>
    </row>
    <row r="1549">
      <c r="A1549" t="n">
        <v>34</v>
      </c>
      <c r="B1549" t="inlineStr">
        <is>
          <t>Ordóñez Tenorio Jaime Marcial</t>
        </is>
      </c>
      <c r="C1549" t="inlineStr">
        <is>
          <t>VIERNES</t>
        </is>
      </c>
      <c r="D1549" t="n">
        <v>8</v>
      </c>
      <c r="E1549" t="n">
        <v>4</v>
      </c>
      <c r="F1549" t="n">
        <v>2</v>
      </c>
      <c r="G1549" t="inlineStr">
        <is>
          <t>12:45</t>
        </is>
      </c>
      <c r="H1549" t="inlineStr">
        <is>
          <t>13:30</t>
        </is>
      </c>
      <c r="I1549" t="inlineStr">
        <is>
          <t>ENFASIS</t>
        </is>
      </c>
      <c r="J1549" t="inlineStr"/>
      <c r="K1549" t="inlineStr">
        <is>
          <t>CNA</t>
        </is>
      </c>
      <c r="L1549" t="inlineStr">
        <is>
          <t>0602</t>
        </is>
      </c>
      <c r="M1549" t="inlineStr">
        <is>
          <t>0602</t>
        </is>
      </c>
      <c r="N1549" t="inlineStr">
        <is>
          <t>Armero Dájome Jesús (ERD)</t>
        </is>
      </c>
      <c r="O1549" t="inlineStr">
        <is>
          <t>PAREJA: comparten el énfasis y alternan por semana</t>
        </is>
      </c>
      <c r="P1549" t="inlineStr">
        <is>
          <t>ENFASIS-0602</t>
        </is>
      </c>
      <c r="Q1549">
        <f>IF(I1549="ENFASIS","ÉNFASIS "&amp;M1549,IFERROR(VLOOKUP(J1549,Grupos!$A$2:$D$100,4,FALSE),J1549))</f>
        <v/>
      </c>
      <c r="R1549">
        <f>O1549&amp;IF(N1549&lt;&gt;"",IF(O1549&lt;&gt;""," · ","")&amp;"Con: "&amp;N1549,"")</f>
        <v/>
      </c>
      <c r="S1549">
        <f>C1549&amp;"|"&amp;D1549</f>
        <v/>
      </c>
      <c r="T1549">
        <f>COUNTIF($S$2:S1549,S1549)</f>
        <v/>
      </c>
      <c r="U1549">
        <f>S1549&amp;"|"&amp;T1549</f>
        <v/>
      </c>
      <c r="V1549">
        <f>IFERROR(VLOOKUP(IF(I1549="ENFASIS",LEFT(M1549,FIND("+",M1549&amp;"+")-1),J1549),Direccion_Grupo!$A$2:$G$100,7,FALSE),"")</f>
        <v/>
      </c>
    </row>
    <row r="1550">
      <c r="A1550" t="n">
        <v>4</v>
      </c>
      <c r="B1550" t="inlineStr">
        <is>
          <t>Arizala Castro Roberto Carlos</t>
        </is>
      </c>
      <c r="C1550" t="inlineStr">
        <is>
          <t>VIERNES</t>
        </is>
      </c>
      <c r="D1550" t="n">
        <v>8</v>
      </c>
      <c r="E1550" t="n">
        <v>4</v>
      </c>
      <c r="F1550" t="n">
        <v>2</v>
      </c>
      <c r="G1550" t="inlineStr">
        <is>
          <t>12:45</t>
        </is>
      </c>
      <c r="H1550" t="inlineStr">
        <is>
          <t>13:30</t>
        </is>
      </c>
      <c r="I1550" t="inlineStr">
        <is>
          <t>ENFASIS</t>
        </is>
      </c>
      <c r="J1550" t="inlineStr"/>
      <c r="K1550" t="inlineStr">
        <is>
          <t>ERD</t>
        </is>
      </c>
      <c r="L1550" t="inlineStr">
        <is>
          <t>0602</t>
        </is>
      </c>
      <c r="M1550" t="inlineStr">
        <is>
          <t>0602</t>
        </is>
      </c>
      <c r="N1550" t="inlineStr">
        <is>
          <t>Ordóñez Tenorio Jaime Marcial (CNA)</t>
        </is>
      </c>
      <c r="O1550" t="inlineStr">
        <is>
          <t>PAREJA: comparten el énfasis y alternan por semana</t>
        </is>
      </c>
      <c r="P1550" t="inlineStr">
        <is>
          <t>ENFASIS-0602</t>
        </is>
      </c>
      <c r="Q1550">
        <f>IF(I1550="ENFASIS","ÉNFASIS "&amp;M1550,IFERROR(VLOOKUP(J1550,Grupos!$A$2:$D$100,4,FALSE),J1550))</f>
        <v/>
      </c>
      <c r="R1550">
        <f>O1550&amp;IF(N1550&lt;&gt;"",IF(O1550&lt;&gt;""," · ","")&amp;"Con: "&amp;N1550,"")</f>
        <v/>
      </c>
      <c r="S1550">
        <f>C1550&amp;"|"&amp;D1550</f>
        <v/>
      </c>
      <c r="T1550">
        <f>COUNTIF($S$2:S1550,S1550)</f>
        <v/>
      </c>
      <c r="U1550">
        <f>S1550&amp;"|"&amp;T1550</f>
        <v/>
      </c>
      <c r="V1550">
        <f>IFERROR(VLOOKUP(IF(I1550="ENFASIS",LEFT(M1550,FIND("+",M1550&amp;"+")-1),J1550),Direccion_Grupo!$A$2:$G$100,7,FALSE),"")</f>
        <v/>
      </c>
    </row>
  </sheetData>
  <autoFilter ref="A1:V15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</cols>
  <sheetData>
    <row r="1">
      <c r="A1" s="6" t="inlineStr">
        <is>
          <t>día</t>
        </is>
      </c>
      <c r="B1" s="6" t="inlineStr">
        <is>
          <t>sesión</t>
        </is>
      </c>
      <c r="C1" s="6" t="inlineStr">
        <is>
          <t>franja</t>
        </is>
      </c>
      <c r="D1" s="6" t="inlineStr">
        <is>
          <t>0°-1</t>
        </is>
      </c>
      <c r="E1" s="6" t="inlineStr">
        <is>
          <t>0°-2</t>
        </is>
      </c>
      <c r="F1" s="6" t="inlineStr">
        <is>
          <t>1°-1</t>
        </is>
      </c>
      <c r="G1" s="6" t="inlineStr">
        <is>
          <t>1°-2</t>
        </is>
      </c>
      <c r="H1" s="6" t="inlineStr">
        <is>
          <t>2°-1</t>
        </is>
      </c>
      <c r="I1" s="6" t="inlineStr">
        <is>
          <t>2°-2</t>
        </is>
      </c>
      <c r="J1" s="6" t="inlineStr">
        <is>
          <t>2°-3</t>
        </is>
      </c>
      <c r="K1" s="6" t="inlineStr">
        <is>
          <t>3°-1</t>
        </is>
      </c>
      <c r="L1" s="6" t="inlineStr">
        <is>
          <t>3°-2</t>
        </is>
      </c>
      <c r="M1" s="6" t="inlineStr">
        <is>
          <t>4°-1</t>
        </is>
      </c>
      <c r="N1" s="6" t="inlineStr">
        <is>
          <t>4°-2</t>
        </is>
      </c>
      <c r="O1" s="6" t="inlineStr">
        <is>
          <t>5°-1</t>
        </is>
      </c>
      <c r="P1" s="6" t="inlineStr">
        <is>
          <t>5°-2</t>
        </is>
      </c>
      <c r="Q1" s="6" t="inlineStr">
        <is>
          <t>5°-3</t>
        </is>
      </c>
      <c r="R1" s="6" t="inlineStr">
        <is>
          <t>5°-4</t>
        </is>
      </c>
      <c r="S1" s="6" t="inlineStr">
        <is>
          <t>6°-1</t>
        </is>
      </c>
      <c r="T1" s="6" t="inlineStr">
        <is>
          <t>6°-2</t>
        </is>
      </c>
      <c r="U1" s="6" t="inlineStr">
        <is>
          <t>CS 1-1</t>
        </is>
      </c>
      <c r="V1" s="6" t="inlineStr">
        <is>
          <t>CS 1-2</t>
        </is>
      </c>
      <c r="W1" s="6" t="inlineStr">
        <is>
          <t>7°-1</t>
        </is>
      </c>
      <c r="X1" s="6" t="inlineStr">
        <is>
          <t>7°-2</t>
        </is>
      </c>
      <c r="Y1" s="6" t="inlineStr">
        <is>
          <t>7°-3</t>
        </is>
      </c>
      <c r="Z1" s="6" t="inlineStr">
        <is>
          <t>7°-4</t>
        </is>
      </c>
      <c r="AA1" s="6" t="inlineStr">
        <is>
          <t>8°-1</t>
        </is>
      </c>
      <c r="AB1" s="6" t="inlineStr">
        <is>
          <t>8°-2</t>
        </is>
      </c>
      <c r="AC1" s="6" t="inlineStr">
        <is>
          <t>9°-1</t>
        </is>
      </c>
      <c r="AD1" s="6" t="inlineStr">
        <is>
          <t>9°-2</t>
        </is>
      </c>
      <c r="AE1" s="6" t="inlineStr">
        <is>
          <t>CS 2-1</t>
        </is>
      </c>
      <c r="AF1" s="6" t="inlineStr">
        <is>
          <t>CS 2-2</t>
        </is>
      </c>
      <c r="AG1" s="6" t="inlineStr">
        <is>
          <t>10°-1</t>
        </is>
      </c>
      <c r="AH1" s="6" t="inlineStr">
        <is>
          <t>10°-2</t>
        </is>
      </c>
      <c r="AI1" s="6" t="inlineStr">
        <is>
          <t>11°-1</t>
        </is>
      </c>
      <c r="AJ1" s="6" t="inlineStr">
        <is>
          <t>11°-2</t>
        </is>
      </c>
      <c r="AK1" s="6" t="inlineStr">
        <is>
          <t>Orientación escolar (todos los niveles)</t>
        </is>
      </c>
      <c r="AL1" s="6" t="inlineStr">
        <is>
          <t>Tutora PTAFI (preescolar y primaria)</t>
        </is>
      </c>
    </row>
    <row r="2">
      <c r="A2" s="7" t="inlineStr">
        <is>
          <t>LUNES</t>
        </is>
      </c>
      <c r="B2" s="7" t="n">
        <v>1</v>
      </c>
      <c r="C2" s="7" t="inlineStr">
        <is>
          <t>06:30-07:15</t>
        </is>
      </c>
      <c r="D2" s="7" t="inlineStr"/>
      <c r="E2" s="7" t="inlineStr"/>
      <c r="F2" s="7" t="inlineStr">
        <is>
          <t>Landázuri M. (ÁREAS MÚLTIPLES)</t>
        </is>
      </c>
      <c r="G2" s="7" t="inlineStr">
        <is>
          <t>Sinisterra A. (ÁREAS MÚLTIPLES)</t>
        </is>
      </c>
      <c r="H2" s="7" t="inlineStr">
        <is>
          <t>Cortés M. (ÁREAS MÚLTIPLES)</t>
        </is>
      </c>
      <c r="I2" s="7" t="inlineStr">
        <is>
          <t>Garzón S. (ÁREAS MÚLTIPLES)</t>
        </is>
      </c>
      <c r="J2" s="7" t="inlineStr">
        <is>
          <t>Tenorio L. (ÁREAS MÚLTIPLES)</t>
        </is>
      </c>
      <c r="K2" s="7" t="inlineStr">
        <is>
          <t>Torres E. (ÁREAS MÚLTIPLES)</t>
        </is>
      </c>
      <c r="L2" s="7" t="inlineStr">
        <is>
          <t>Landázuri T. (ÁREAS MÚLTIPLES)</t>
        </is>
      </c>
      <c r="M2" s="7" t="inlineStr">
        <is>
          <t>Zamora C. (ÁREAS MÚLTIPLES)</t>
        </is>
      </c>
      <c r="N2" s="7" t="inlineStr">
        <is>
          <t>Núñez E. (ÁREAS MÚLTIPLES)</t>
        </is>
      </c>
      <c r="O2" s="7" t="inlineStr">
        <is>
          <t>Cuéllar N. (ÁREAS MÚLTIPLES)</t>
        </is>
      </c>
      <c r="P2" s="7" t="inlineStr">
        <is>
          <t>Centeno C. (ÁREAS MÚLTIPLES)</t>
        </is>
      </c>
      <c r="Q2" s="7" t="inlineStr">
        <is>
          <t>Narváez D. (ÁREAS MÚLTIPLES)</t>
        </is>
      </c>
      <c r="R2" s="7" t="inlineStr">
        <is>
          <t>Escobar L. (ÁREAS MÚLTIPLES)</t>
        </is>
      </c>
      <c r="S2" s="7" t="inlineStr">
        <is>
          <t>Prado G. (ART)</t>
        </is>
      </c>
      <c r="T2" s="7" t="inlineStr">
        <is>
          <t>Lozano A. (ETR)</t>
        </is>
      </c>
      <c r="U2" s="7" t="inlineStr">
        <is>
          <t>Cuero H. (CAS)</t>
        </is>
      </c>
      <c r="V2" s="7" t="inlineStr">
        <is>
          <t>Quiñones M. (TEI)</t>
        </is>
      </c>
      <c r="W2" s="7" t="inlineStr">
        <is>
          <t>ÉNFASIS: Samaniego F. (ART) / Valverde M. (CAS)</t>
        </is>
      </c>
      <c r="X2" s="7" t="inlineStr">
        <is>
          <t>ÉNFASIS: Ordóñez J. (CNA) / Arizala R. (ERD)</t>
        </is>
      </c>
      <c r="Y2" s="7" t="inlineStr">
        <is>
          <t>ÉNFASIS: Casanova Y. (ETR) / Quintero M. (CSI)</t>
        </is>
      </c>
      <c r="Z2" s="7" t="inlineStr">
        <is>
          <t>Puches A. (ART)</t>
        </is>
      </c>
      <c r="AA2" s="7" t="inlineStr">
        <is>
          <t>Ortiz A. (CSI)</t>
        </is>
      </c>
      <c r="AB2" s="7" t="inlineStr">
        <is>
          <t>Cuero B. (ERD)</t>
        </is>
      </c>
      <c r="AC2" s="7" t="inlineStr">
        <is>
          <t>Betancourth Y. (CSI)</t>
        </is>
      </c>
      <c r="AD2" s="7" t="inlineStr">
        <is>
          <t>Valencia S. (ART)</t>
        </is>
      </c>
      <c r="AE2" s="7" t="inlineStr">
        <is>
          <t>Fernández A. (TEI)</t>
        </is>
      </c>
      <c r="AF2" s="7" t="inlineStr">
        <is>
          <t>Chillambo M. (CNA)</t>
        </is>
      </c>
      <c r="AG2" s="7" t="inlineStr">
        <is>
          <t>ÉNFASIS: Arboleda L. (ART) / Montaño F. (CAS) / Ramírez J. (ERD) / Villota H. (CNA)</t>
        </is>
      </c>
      <c r="AH2" s="7" t="inlineStr">
        <is>
          <t>Montaño L. (ETR)</t>
        </is>
      </c>
      <c r="AI2" s="7" t="inlineStr">
        <is>
          <t>Angulo A. (TEI)</t>
        </is>
      </c>
      <c r="AJ2" s="7" t="inlineStr">
        <is>
          <t>Pulgarín C. (CSI)</t>
        </is>
      </c>
      <c r="AK2" s="7" t="inlineStr"/>
      <c r="AL2" s="7" t="inlineStr">
        <is>
          <t>Ortiz M. (TUTORÍA PTAFI)</t>
        </is>
      </c>
    </row>
    <row r="3">
      <c r="A3" s="7" t="inlineStr">
        <is>
          <t>LUNES</t>
        </is>
      </c>
      <c r="B3" s="7" t="n">
        <v>2</v>
      </c>
      <c r="C3" s="7" t="inlineStr">
        <is>
          <t>07:15-08:00</t>
        </is>
      </c>
      <c r="D3" s="7" t="inlineStr"/>
      <c r="E3" s="7" t="inlineStr"/>
      <c r="F3" s="7" t="inlineStr">
        <is>
          <t>Landázuri M. (ÁREAS MÚLTIPLES)</t>
        </is>
      </c>
      <c r="G3" s="7" t="inlineStr">
        <is>
          <t>Sinisterra A. (ÁREAS MÚLTIPLES)</t>
        </is>
      </c>
      <c r="H3" s="7" t="inlineStr">
        <is>
          <t>Cortés M. (ÁREAS MÚLTIPLES)</t>
        </is>
      </c>
      <c r="I3" s="7" t="inlineStr">
        <is>
          <t>Garzón S. (ÁREAS MÚLTIPLES)</t>
        </is>
      </c>
      <c r="J3" s="7" t="inlineStr">
        <is>
          <t>Tenorio L. (ÁREAS MÚLTIPLES)</t>
        </is>
      </c>
      <c r="K3" s="7" t="inlineStr">
        <is>
          <t>Torres E. (ÁREAS MÚLTIPLES)</t>
        </is>
      </c>
      <c r="L3" s="7" t="inlineStr">
        <is>
          <t>Landázuri T. (ÁREAS MÚLTIPLES)</t>
        </is>
      </c>
      <c r="M3" s="7" t="inlineStr">
        <is>
          <t>Zamora C. (ÁREAS MÚLTIPLES)</t>
        </is>
      </c>
      <c r="N3" s="7" t="inlineStr">
        <is>
          <t>Núñez E. (ÁREAS MÚLTIPLES)</t>
        </is>
      </c>
      <c r="O3" s="7" t="inlineStr">
        <is>
          <t>Cuéllar N. (ÁREAS MÚLTIPLES)</t>
        </is>
      </c>
      <c r="P3" s="7" t="inlineStr">
        <is>
          <t>Centeno C. (ÁREAS MÚLTIPLES)</t>
        </is>
      </c>
      <c r="Q3" s="7" t="inlineStr">
        <is>
          <t>Narváez D. (ÁREAS MÚLTIPLES)</t>
        </is>
      </c>
      <c r="R3" s="7" t="inlineStr">
        <is>
          <t>Escobar L. (ÁREAS MÚLTIPLES)</t>
        </is>
      </c>
      <c r="S3" s="7" t="inlineStr">
        <is>
          <t>Prado G. (ART)</t>
        </is>
      </c>
      <c r="T3" s="7" t="inlineStr">
        <is>
          <t>Lozano A. (ETR)</t>
        </is>
      </c>
      <c r="U3" s="7" t="inlineStr">
        <is>
          <t>Cuero H. (CAS)</t>
        </is>
      </c>
      <c r="V3" s="7" t="inlineStr">
        <is>
          <t>Quiñones M. (TEI)</t>
        </is>
      </c>
      <c r="W3" s="7" t="inlineStr">
        <is>
          <t>ÉNFASIS: Samaniego F. (ART) / Valverde M. (CAS)</t>
        </is>
      </c>
      <c r="X3" s="7" t="inlineStr">
        <is>
          <t>ÉNFASIS: Ordóñez J. (CNA) / Arizala R. (ERD)</t>
        </is>
      </c>
      <c r="Y3" s="7" t="inlineStr">
        <is>
          <t>ÉNFASIS: Casanova Y. (ETR) / Quintero M. (CSI)</t>
        </is>
      </c>
      <c r="Z3" s="7" t="inlineStr">
        <is>
          <t>Puches A. (ART)</t>
        </is>
      </c>
      <c r="AA3" s="7" t="inlineStr">
        <is>
          <t>Ortiz A. (CSI)</t>
        </is>
      </c>
      <c r="AB3" s="7" t="inlineStr">
        <is>
          <t>Cuero B. (ERD)</t>
        </is>
      </c>
      <c r="AC3" s="7" t="inlineStr">
        <is>
          <t>Betancourth Y. (CSI)</t>
        </is>
      </c>
      <c r="AD3" s="7" t="inlineStr">
        <is>
          <t>Valencia S. (ART)</t>
        </is>
      </c>
      <c r="AE3" s="7" t="inlineStr">
        <is>
          <t>Fernández A. (TEI)</t>
        </is>
      </c>
      <c r="AF3" s="7" t="inlineStr">
        <is>
          <t>Chillambo M. (CNA)</t>
        </is>
      </c>
      <c r="AG3" s="7" t="inlineStr">
        <is>
          <t>ÉNFASIS: Arboleda L. (ART) / Montaño F. (CAS) / Ramírez J. (ERD) / Villota H. (CNA)</t>
        </is>
      </c>
      <c r="AH3" s="7" t="inlineStr">
        <is>
          <t>Montaño L. (ETR)</t>
        </is>
      </c>
      <c r="AI3" s="7" t="inlineStr">
        <is>
          <t>Angulo A. (TEI)</t>
        </is>
      </c>
      <c r="AJ3" s="7" t="inlineStr">
        <is>
          <t>Pulgarín C. (CSI)</t>
        </is>
      </c>
      <c r="AK3" s="7" t="inlineStr">
        <is>
          <t>Casanova J. (ORIENTACIÓN ESCOLAR)</t>
        </is>
      </c>
      <c r="AL3" s="7" t="inlineStr">
        <is>
          <t>Ortiz M. (TUTORÍA PTAFI)</t>
        </is>
      </c>
    </row>
    <row r="4">
      <c r="A4" s="7" t="inlineStr">
        <is>
          <t>LUNES</t>
        </is>
      </c>
      <c r="B4" s="7" t="n">
        <v>3</v>
      </c>
      <c r="C4" s="7" t="inlineStr">
        <is>
          <t>08:20-09:05</t>
        </is>
      </c>
      <c r="D4" s="7" t="inlineStr">
        <is>
          <t>Valencia G. (ÁREAS MÚLTIPLES)</t>
        </is>
      </c>
      <c r="E4" s="7" t="inlineStr">
        <is>
          <t>Martínez A. (ÁREAS MÚLTIPLES)</t>
        </is>
      </c>
      <c r="F4" s="7" t="inlineStr">
        <is>
          <t>Landázuri M. (ÁREAS MÚLTIPLES)</t>
        </is>
      </c>
      <c r="G4" s="7" t="inlineStr">
        <is>
          <t>Sinisterra A. (ÁREAS MÚLTIPLES)</t>
        </is>
      </c>
      <c r="H4" s="7" t="inlineStr">
        <is>
          <t>Cortés M. (ÁREAS MÚLTIPLES)</t>
        </is>
      </c>
      <c r="I4" s="7" t="inlineStr">
        <is>
          <t>Garzón S. (ÁREAS MÚLTIPLES)</t>
        </is>
      </c>
      <c r="J4" s="7" t="inlineStr">
        <is>
          <t>Tenorio L. (ÁREAS MÚLTIPLES)</t>
        </is>
      </c>
      <c r="K4" s="7" t="inlineStr">
        <is>
          <t>Torres E. (ÁREAS MÚLTIPLES)</t>
        </is>
      </c>
      <c r="L4" s="7" t="inlineStr">
        <is>
          <t>Landázuri T. (ÁREAS MÚLTIPLES)</t>
        </is>
      </c>
      <c r="M4" s="7" t="inlineStr">
        <is>
          <t>Zamora C. (ÁREAS MÚLTIPLES)</t>
        </is>
      </c>
      <c r="N4" s="7" t="inlineStr">
        <is>
          <t>Núñez E. (ÁREAS MÚLTIPLES)</t>
        </is>
      </c>
      <c r="O4" s="7" t="inlineStr">
        <is>
          <t>Cuéllar N. (ÁREAS MÚLTIPLES)</t>
        </is>
      </c>
      <c r="P4" s="7" t="inlineStr">
        <is>
          <t>Centeno C. (ÁREAS MÚLTIPLES)</t>
        </is>
      </c>
      <c r="Q4" s="7" t="inlineStr">
        <is>
          <t>Narváez D. (ÁREAS MÚLTIPLES)</t>
        </is>
      </c>
      <c r="R4" s="7" t="inlineStr">
        <is>
          <t>Escobar L. (ÁREAS MÚLTIPLES)</t>
        </is>
      </c>
      <c r="S4" s="7" t="inlineStr">
        <is>
          <t>Cuero H. (CAS)</t>
        </is>
      </c>
      <c r="T4" s="7" t="inlineStr">
        <is>
          <t>Prado G. (ART)</t>
        </is>
      </c>
      <c r="U4" s="7" t="inlineStr">
        <is>
          <t>Lozano A. (ETR)</t>
        </is>
      </c>
      <c r="V4" s="7" t="inlineStr">
        <is>
          <t>Armero J. (ERD)</t>
        </is>
      </c>
      <c r="W4" s="7" t="inlineStr">
        <is>
          <t>Vásquez S. (MAT)</t>
        </is>
      </c>
      <c r="X4" s="7" t="inlineStr">
        <is>
          <t>Arizala R. (ERD)</t>
        </is>
      </c>
      <c r="Y4" s="7" t="inlineStr">
        <is>
          <t>Ordóñez J. (CNA)</t>
        </is>
      </c>
      <c r="Z4" s="7" t="inlineStr">
        <is>
          <t>Casanova Y. (ETR)</t>
        </is>
      </c>
      <c r="AA4" s="7" t="inlineStr">
        <is>
          <t>Fernández A. (TEI)</t>
        </is>
      </c>
      <c r="AB4" s="7" t="inlineStr">
        <is>
          <t>Valverde M. (CAS)</t>
        </is>
      </c>
      <c r="AC4" s="7" t="inlineStr">
        <is>
          <t>ÉNFASIS: González J. (ERD) / Lemos M. (CNA) / Meza G. (CAS) / Valencia S. (ART)</t>
        </is>
      </c>
      <c r="AD4" s="7" t="inlineStr">
        <is>
          <t>Mindineros J. (TEI)</t>
        </is>
      </c>
      <c r="AE4" s="7" t="inlineStr">
        <is>
          <t>Samaniego F. (ART)</t>
        </is>
      </c>
      <c r="AF4" s="7" t="inlineStr">
        <is>
          <t>Preciado O. (MAT)</t>
        </is>
      </c>
      <c r="AG4" s="7" t="inlineStr">
        <is>
          <t>Betancourth Y. (CSI)</t>
        </is>
      </c>
      <c r="AH4" s="7" t="inlineStr">
        <is>
          <t>Arboleda L. (ART)</t>
        </is>
      </c>
      <c r="AI4" s="7" t="inlineStr">
        <is>
          <t>Villota H. (CNA)</t>
        </is>
      </c>
      <c r="AJ4" s="7" t="inlineStr">
        <is>
          <t>ÉNFASIS: Angulo A. (TEI) / Montaño L. (ETR) / Pulgarín C. (CSI) / Villota J. (MAT)</t>
        </is>
      </c>
      <c r="AK4" s="7" t="inlineStr">
        <is>
          <t>Casanova J. (ORIENTACIÓN ESCOLAR) / Ponce Á. (ORIENTACIÓN ESCOLAR)</t>
        </is>
      </c>
      <c r="AL4" s="7" t="inlineStr">
        <is>
          <t>Ortiz M. (TUTORÍA PTAFI)</t>
        </is>
      </c>
    </row>
    <row r="5">
      <c r="A5" s="7" t="inlineStr">
        <is>
          <t>LUNES</t>
        </is>
      </c>
      <c r="B5" s="7" t="n">
        <v>4</v>
      </c>
      <c r="C5" s="7" t="inlineStr">
        <is>
          <t>09:05-09:50</t>
        </is>
      </c>
      <c r="D5" s="7" t="inlineStr">
        <is>
          <t>Valencia G. (ÁREAS MÚLTIPLES)</t>
        </is>
      </c>
      <c r="E5" s="7" t="inlineStr">
        <is>
          <t>Martínez A. (ÁREAS MÚLTIPLES)</t>
        </is>
      </c>
      <c r="F5" s="7" t="inlineStr">
        <is>
          <t>Landázuri M. (ÁREAS MÚLTIPLES)</t>
        </is>
      </c>
      <c r="G5" s="7" t="inlineStr">
        <is>
          <t>Sinisterra A. (ÁREAS MÚLTIPLES)</t>
        </is>
      </c>
      <c r="H5" s="7" t="inlineStr">
        <is>
          <t>Cortés M. (ÁREAS MÚLTIPLES)</t>
        </is>
      </c>
      <c r="I5" s="7" t="inlineStr">
        <is>
          <t>Garzón S. (ÁREAS MÚLTIPLES)</t>
        </is>
      </c>
      <c r="J5" s="7" t="inlineStr">
        <is>
          <t>Tenorio L. (ÁREAS MÚLTIPLES)</t>
        </is>
      </c>
      <c r="K5" s="7" t="inlineStr">
        <is>
          <t>Torres E. (ÁREAS MÚLTIPLES)</t>
        </is>
      </c>
      <c r="L5" s="7" t="inlineStr">
        <is>
          <t>Landázuri T. (ÁREAS MÚLTIPLES)</t>
        </is>
      </c>
      <c r="M5" s="7" t="inlineStr">
        <is>
          <t>Zamora C. (ÁREAS MÚLTIPLES)</t>
        </is>
      </c>
      <c r="N5" s="7" t="inlineStr">
        <is>
          <t>Núñez E. (ÁREAS MÚLTIPLES)</t>
        </is>
      </c>
      <c r="O5" s="7" t="inlineStr">
        <is>
          <t>Cuéllar N. (ÁREAS MÚLTIPLES)</t>
        </is>
      </c>
      <c r="P5" s="7" t="inlineStr">
        <is>
          <t>Centeno C. (ÁREAS MÚLTIPLES)</t>
        </is>
      </c>
      <c r="Q5" s="7" t="inlineStr">
        <is>
          <t>Narváez D. (ÁREAS MÚLTIPLES)</t>
        </is>
      </c>
      <c r="R5" s="7" t="inlineStr">
        <is>
          <t>Escobar L. (ÁREAS MÚLTIPLES)</t>
        </is>
      </c>
      <c r="S5" s="7" t="inlineStr">
        <is>
          <t>Cuero H. (CAS)</t>
        </is>
      </c>
      <c r="T5" s="7" t="inlineStr">
        <is>
          <t>Prado G. (ART)</t>
        </is>
      </c>
      <c r="U5" s="7" t="inlineStr">
        <is>
          <t>Lozano A. (ETR)</t>
        </is>
      </c>
      <c r="V5" s="7" t="inlineStr">
        <is>
          <t>Armero J. (ERD)</t>
        </is>
      </c>
      <c r="W5" s="7" t="inlineStr">
        <is>
          <t>Vásquez S. (MAT)</t>
        </is>
      </c>
      <c r="X5" s="7" t="inlineStr">
        <is>
          <t>Arizala R. (ERD)</t>
        </is>
      </c>
      <c r="Y5" s="7" t="inlineStr">
        <is>
          <t>Ordóñez J. (CNA)</t>
        </is>
      </c>
      <c r="Z5" s="7" t="inlineStr">
        <is>
          <t>Casanova Y. (ETR)</t>
        </is>
      </c>
      <c r="AA5" s="7" t="inlineStr">
        <is>
          <t>Fernández A. (TEI)</t>
        </is>
      </c>
      <c r="AB5" s="7" t="inlineStr">
        <is>
          <t>Valverde M. (CAS)</t>
        </is>
      </c>
      <c r="AC5" s="7" t="inlineStr">
        <is>
          <t>ÉNFASIS: González J. (ERD) / Lemos M. (CNA) / Meza G. (CAS) / Valencia S. (ART)</t>
        </is>
      </c>
      <c r="AD5" s="7" t="inlineStr">
        <is>
          <t>Mindineros J. (TEI)</t>
        </is>
      </c>
      <c r="AE5" s="7" t="inlineStr">
        <is>
          <t>Samaniego F. (ART)</t>
        </is>
      </c>
      <c r="AF5" s="7" t="inlineStr">
        <is>
          <t>Preciado O. (MAT)</t>
        </is>
      </c>
      <c r="AG5" s="7" t="inlineStr">
        <is>
          <t>Betancourth Y. (CSI)</t>
        </is>
      </c>
      <c r="AH5" s="7" t="inlineStr">
        <is>
          <t>Arboleda L. (ART)</t>
        </is>
      </c>
      <c r="AI5" s="7" t="inlineStr">
        <is>
          <t>Villota H. (CNA)</t>
        </is>
      </c>
      <c r="AJ5" s="7" t="inlineStr">
        <is>
          <t>ÉNFASIS: Angulo A. (TEI) / Montaño L. (ETR) / Pulgarín C. (CSI) / Villota J. (MAT)</t>
        </is>
      </c>
      <c r="AK5" s="7" t="inlineStr">
        <is>
          <t>Casanova J. (ORIENTACIÓN ESCOLAR) / Ponce Á. (ORIENTACIÓN ESCOLAR)</t>
        </is>
      </c>
      <c r="AL5" s="7" t="inlineStr">
        <is>
          <t>Ortiz M. (TUTORÍA PTAFI)</t>
        </is>
      </c>
    </row>
    <row r="6">
      <c r="A6" s="7" t="inlineStr">
        <is>
          <t>LUNES</t>
        </is>
      </c>
      <c r="B6" s="7" t="n">
        <v>5</v>
      </c>
      <c r="C6" s="7" t="inlineStr">
        <is>
          <t>10:10-10:55</t>
        </is>
      </c>
      <c r="D6" s="7" t="inlineStr">
        <is>
          <t>Valencia G. (ÁREAS MÚLTIPLES)</t>
        </is>
      </c>
      <c r="E6" s="7" t="inlineStr">
        <is>
          <t>Martínez A. (ÁREAS MÚLTIPLES)</t>
        </is>
      </c>
      <c r="F6" s="7" t="inlineStr">
        <is>
          <t>Landázuri M. (ÁREAS MÚLTIPLES)</t>
        </is>
      </c>
      <c r="G6" s="7" t="inlineStr">
        <is>
          <t>Sinisterra A. (ÁREAS MÚLTIPLES)</t>
        </is>
      </c>
      <c r="H6" s="7" t="inlineStr">
        <is>
          <t>Cortés M. (ÁREAS MÚLTIPLES)</t>
        </is>
      </c>
      <c r="I6" s="7" t="inlineStr">
        <is>
          <t>Garzón S. (ÁREAS MÚLTIPLES)</t>
        </is>
      </c>
      <c r="J6" s="7" t="inlineStr">
        <is>
          <t>Tenorio L. (ÁREAS MÚLTIPLES)</t>
        </is>
      </c>
      <c r="K6" s="7" t="inlineStr">
        <is>
          <t>Torres E. (ÁREAS MÚLTIPLES)</t>
        </is>
      </c>
      <c r="L6" s="7" t="inlineStr">
        <is>
          <t>Landázuri T. (ÁREAS MÚLTIPLES)</t>
        </is>
      </c>
      <c r="M6" s="7" t="inlineStr">
        <is>
          <t>Zamora C. (ÁREAS MÚLTIPLES)</t>
        </is>
      </c>
      <c r="N6" s="7" t="inlineStr">
        <is>
          <t>Núñez E. (ÁREAS MÚLTIPLES)</t>
        </is>
      </c>
      <c r="O6" s="7" t="inlineStr">
        <is>
          <t>Cuéllar N. (ÁREAS MÚLTIPLES)</t>
        </is>
      </c>
      <c r="P6" s="7" t="inlineStr">
        <is>
          <t>Centeno C. (ÁREAS MÚLTIPLES)</t>
        </is>
      </c>
      <c r="Q6" s="7" t="inlineStr">
        <is>
          <t>Narváez D. (ÁREAS MÚLTIPLES)</t>
        </is>
      </c>
      <c r="R6" s="7" t="inlineStr">
        <is>
          <t>Escobar L. (ÁREAS MÚLTIPLES)</t>
        </is>
      </c>
      <c r="S6" s="7" t="inlineStr">
        <is>
          <t>Armero J. (ERD)</t>
        </is>
      </c>
      <c r="T6" s="7" t="inlineStr">
        <is>
          <t>García S. (CSI)</t>
        </is>
      </c>
      <c r="U6" s="7" t="inlineStr">
        <is>
          <t>Quiñones M. (TEI)</t>
        </is>
      </c>
      <c r="V6" s="7" t="inlineStr">
        <is>
          <t>Cuero H. (CAS)</t>
        </is>
      </c>
      <c r="W6" s="7" t="inlineStr">
        <is>
          <t>Puches A. (ART)</t>
        </is>
      </c>
      <c r="X6" s="7" t="inlineStr">
        <is>
          <t>Ordóñez J. (CNA)</t>
        </is>
      </c>
      <c r="Y6" s="7" t="inlineStr">
        <is>
          <t>Arizala R. (ERD)</t>
        </is>
      </c>
      <c r="Z6" s="7" t="inlineStr">
        <is>
          <t>ÉNFASIS: Aguirre J. (TEI) / Vásquez S. (MAT)</t>
        </is>
      </c>
      <c r="AA6" s="7" t="inlineStr">
        <is>
          <t>Cuero B. (ERD)</t>
        </is>
      </c>
      <c r="AB6" s="7" t="inlineStr">
        <is>
          <t>ÉNFASIS: Castillo M. (ETR) / Fernández A. (TEI) / Ortiz A. (CSI) / Preciado O. (MAT)</t>
        </is>
      </c>
      <c r="AC6" s="7" t="inlineStr">
        <is>
          <t>ÉNFASIS: González J. (ERD) / Lemos M. (CNA) / Meza G. (CAS) / Valencia S. (ART)</t>
        </is>
      </c>
      <c r="AD6" s="7" t="inlineStr">
        <is>
          <t>Betancourth Y. (CSI)</t>
        </is>
      </c>
      <c r="AE6" s="7" t="inlineStr">
        <is>
          <t>Chillambo M. (CNA)</t>
        </is>
      </c>
      <c r="AF6" s="7" t="inlineStr">
        <is>
          <t>Samaniego F. (ART)</t>
        </is>
      </c>
      <c r="AG6" s="7" t="inlineStr">
        <is>
          <t>Estacio R. (ETR)</t>
        </is>
      </c>
      <c r="AH6" s="7" t="inlineStr">
        <is>
          <t>ÉNFASIS: Angulo A. (TEI) / Montaño L. (ETR) / Pulgarín C. (CSI) / Villota J. (MAT)</t>
        </is>
      </c>
      <c r="AI6" s="7" t="inlineStr">
        <is>
          <t>Montaño F. (CAS)</t>
        </is>
      </c>
      <c r="AJ6" s="7" t="inlineStr">
        <is>
          <t>Ramírez J. (ERD)</t>
        </is>
      </c>
      <c r="AK6" s="7" t="inlineStr">
        <is>
          <t>Casanova J. (ORIENTACIÓN ESCOLAR) / Ponce Á. (ORIENTACIÓN ESCOLAR)</t>
        </is>
      </c>
      <c r="AL6" s="7" t="inlineStr">
        <is>
          <t>Ortiz M. (TUTORÍA PTAFI)</t>
        </is>
      </c>
    </row>
    <row r="7">
      <c r="A7" s="7" t="inlineStr">
        <is>
          <t>LUNES</t>
        </is>
      </c>
      <c r="B7" s="7" t="n">
        <v>6</v>
      </c>
      <c r="C7" s="7" t="inlineStr">
        <is>
          <t>10:55-11:40</t>
        </is>
      </c>
      <c r="D7" s="7" t="inlineStr">
        <is>
          <t>Valencia G. (ÁREAS MÚLTIPLES)</t>
        </is>
      </c>
      <c r="E7" s="7" t="inlineStr">
        <is>
          <t>Martínez A. (ÁREAS MÚLTIPLES)</t>
        </is>
      </c>
      <c r="F7" s="7" t="inlineStr">
        <is>
          <t>Landázuri M. (ÁREAS MÚLTIPLES)</t>
        </is>
      </c>
      <c r="G7" s="7" t="inlineStr">
        <is>
          <t>Sinisterra A. (ÁREAS MÚLTIPLES)</t>
        </is>
      </c>
      <c r="H7" s="7" t="inlineStr">
        <is>
          <t>Cortés M. (ÁREAS MÚLTIPLES)</t>
        </is>
      </c>
      <c r="I7" s="7" t="inlineStr">
        <is>
          <t>Garzón S. (ÁREAS MÚLTIPLES)</t>
        </is>
      </c>
      <c r="J7" s="7" t="inlineStr">
        <is>
          <t>Tenorio L. (ÁREAS MÚLTIPLES)</t>
        </is>
      </c>
      <c r="K7" s="7" t="inlineStr">
        <is>
          <t>Torres E. (ÁREAS MÚLTIPLES)</t>
        </is>
      </c>
      <c r="L7" s="7" t="inlineStr">
        <is>
          <t>Landázuri T. (ÁREAS MÚLTIPLES)</t>
        </is>
      </c>
      <c r="M7" s="7" t="inlineStr">
        <is>
          <t>Zamora C. (ÁREAS MÚLTIPLES)</t>
        </is>
      </c>
      <c r="N7" s="7" t="inlineStr">
        <is>
          <t>Núñez E. (ÁREAS MÚLTIPLES)</t>
        </is>
      </c>
      <c r="O7" s="7" t="inlineStr">
        <is>
          <t>Cuéllar N. (ÁREAS MÚLTIPLES)</t>
        </is>
      </c>
      <c r="P7" s="7" t="inlineStr">
        <is>
          <t>Centeno C. (ÁREAS MÚLTIPLES)</t>
        </is>
      </c>
      <c r="Q7" s="7" t="inlineStr">
        <is>
          <t>Narváez D. (ÁREAS MÚLTIPLES)</t>
        </is>
      </c>
      <c r="R7" s="7" t="inlineStr">
        <is>
          <t>Escobar L. (ÁREAS MÚLTIPLES)</t>
        </is>
      </c>
      <c r="S7" s="7" t="inlineStr">
        <is>
          <t>Armero J. (ERD)</t>
        </is>
      </c>
      <c r="T7" s="7" t="inlineStr">
        <is>
          <t>García S. (CSI)</t>
        </is>
      </c>
      <c r="U7" s="7" t="inlineStr">
        <is>
          <t>Quiñones M. (TEI)</t>
        </is>
      </c>
      <c r="V7" s="7" t="inlineStr">
        <is>
          <t>Cuero H. (CAS)</t>
        </is>
      </c>
      <c r="W7" s="7" t="inlineStr">
        <is>
          <t>Puches A. (ART)</t>
        </is>
      </c>
      <c r="X7" s="7" t="inlineStr">
        <is>
          <t>Ordóñez J. (CNA)</t>
        </is>
      </c>
      <c r="Y7" s="7" t="inlineStr">
        <is>
          <t>Arizala R. (ERD)</t>
        </is>
      </c>
      <c r="Z7" s="7" t="inlineStr">
        <is>
          <t>ÉNFASIS: Aguirre J. (TEI) / Vásquez S. (MAT)</t>
        </is>
      </c>
      <c r="AA7" s="7" t="inlineStr">
        <is>
          <t>Cuero B. (ERD)</t>
        </is>
      </c>
      <c r="AB7" s="7" t="inlineStr">
        <is>
          <t>ÉNFASIS: Castillo M. (ETR) / Fernández A. (TEI) / Ortiz A. (CSI) / Preciado O. (MAT)</t>
        </is>
      </c>
      <c r="AC7" s="7" t="inlineStr">
        <is>
          <t>ÉNFASIS: González J. (ERD) / Lemos M. (CNA) / Meza G. (CAS) / Valencia S. (ART)</t>
        </is>
      </c>
      <c r="AD7" s="7" t="inlineStr">
        <is>
          <t>Betancourth Y. (CSI)</t>
        </is>
      </c>
      <c r="AE7" s="7" t="inlineStr">
        <is>
          <t>Chillambo M. (CNA)</t>
        </is>
      </c>
      <c r="AF7" s="7" t="inlineStr">
        <is>
          <t>Samaniego F. (ART)</t>
        </is>
      </c>
      <c r="AG7" s="7" t="inlineStr">
        <is>
          <t>Estacio R. (ETR)</t>
        </is>
      </c>
      <c r="AH7" s="7" t="inlineStr">
        <is>
          <t>ÉNFASIS: Angulo A. (TEI) / Montaño L. (ETR) / Pulgarín C. (CSI) / Villota J. (MAT)</t>
        </is>
      </c>
      <c r="AI7" s="7" t="inlineStr">
        <is>
          <t>Montaño F. (CAS)</t>
        </is>
      </c>
      <c r="AJ7" s="7" t="inlineStr">
        <is>
          <t>Ramírez J. (ERD)</t>
        </is>
      </c>
      <c r="AK7" s="7" t="inlineStr">
        <is>
          <t>Casanova J. (ORIENTACIÓN ESCOLAR) / Ponce Á. (ORIENTACIÓN ESCOLAR)</t>
        </is>
      </c>
      <c r="AL7" s="7" t="inlineStr">
        <is>
          <t>Ortiz M. (TUTORÍA PTAFI)</t>
        </is>
      </c>
    </row>
    <row r="8">
      <c r="A8" s="7" t="inlineStr">
        <is>
          <t>LUNES</t>
        </is>
      </c>
      <c r="B8" s="7" t="n">
        <v>7</v>
      </c>
      <c r="C8" s="7" t="inlineStr">
        <is>
          <t>12:00-12:45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>
        <is>
          <t>García S. (CSI)</t>
        </is>
      </c>
      <c r="T8" s="7" t="inlineStr">
        <is>
          <t>Cuero H. (CAS)</t>
        </is>
      </c>
      <c r="U8" s="7" t="inlineStr">
        <is>
          <t>Armero J. (ERD)</t>
        </is>
      </c>
      <c r="V8" s="7" t="inlineStr">
        <is>
          <t>Quiñones M. (MAT)</t>
        </is>
      </c>
      <c r="W8" s="7" t="inlineStr">
        <is>
          <t>Ordóñez J. (CNA)</t>
        </is>
      </c>
      <c r="X8" s="7" t="inlineStr">
        <is>
          <t>Aguirre J. (TEI)</t>
        </is>
      </c>
      <c r="Y8" s="7" t="inlineStr">
        <is>
          <t>Casanova Y. (ETR)</t>
        </is>
      </c>
      <c r="Z8" s="7" t="inlineStr">
        <is>
          <t>Castillo D. (CAS)</t>
        </is>
      </c>
      <c r="AA8" s="7" t="inlineStr">
        <is>
          <t>Preciado O. (MAT)</t>
        </is>
      </c>
      <c r="AB8" s="7" t="inlineStr">
        <is>
          <t>Chillambo M. (CNA)</t>
        </is>
      </c>
      <c r="AC8" s="7" t="inlineStr">
        <is>
          <t>Estacio R. (ETR)</t>
        </is>
      </c>
      <c r="AD8" s="7" t="inlineStr">
        <is>
          <t>Bastidas Z. (MAT)</t>
        </is>
      </c>
      <c r="AE8" s="7" t="inlineStr">
        <is>
          <t>ÉNFASIS: González J. (ERD) / Lemos M. (CNA) / Meza G. (CAS) / Valencia S. (ART)</t>
        </is>
      </c>
      <c r="AF8" s="7" t="inlineStr">
        <is>
          <t>Valverde M. (CAS)</t>
        </is>
      </c>
      <c r="AG8" s="7" t="inlineStr">
        <is>
          <t>Mindineros J. (TEI)</t>
        </is>
      </c>
      <c r="AH8" s="7" t="inlineStr">
        <is>
          <t>Angulo A. (TEI)</t>
        </is>
      </c>
      <c r="AI8" s="7" t="inlineStr">
        <is>
          <t>ÉNFASIS: Arboleda L. (ART) / Montaño F. (CAS) / Ramírez J. (ERD) / Villota H. (CNA)</t>
        </is>
      </c>
      <c r="AJ8" s="7" t="inlineStr">
        <is>
          <t>Montaño L. (ETR)</t>
        </is>
      </c>
      <c r="AK8" s="7" t="inlineStr">
        <is>
          <t>Casanova J. (ORIENTACIÓN ESCOLAR) / Ponce Á. (ORIENTACIÓN ESCOLAR)</t>
        </is>
      </c>
      <c r="AL8" s="7" t="inlineStr"/>
    </row>
    <row r="9">
      <c r="A9" s="7" t="inlineStr">
        <is>
          <t>LUNES</t>
        </is>
      </c>
      <c r="B9" s="7" t="n">
        <v>8</v>
      </c>
      <c r="C9" s="7" t="inlineStr">
        <is>
          <t>12:45-13:30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>
        <is>
          <t>García S. (CSI)</t>
        </is>
      </c>
      <c r="T9" s="7" t="inlineStr">
        <is>
          <t>Cuero H. (CAS)</t>
        </is>
      </c>
      <c r="U9" s="7" t="inlineStr">
        <is>
          <t>Armero J. (ERD)</t>
        </is>
      </c>
      <c r="V9" s="7" t="inlineStr">
        <is>
          <t>Quiñones M. (MAT)</t>
        </is>
      </c>
      <c r="W9" s="7" t="inlineStr">
        <is>
          <t>Ordóñez J. (CNA)</t>
        </is>
      </c>
      <c r="X9" s="7" t="inlineStr">
        <is>
          <t>Aguirre J. (TEI)</t>
        </is>
      </c>
      <c r="Y9" s="7" t="inlineStr">
        <is>
          <t>Casanova Y. (ETR)</t>
        </is>
      </c>
      <c r="Z9" s="7" t="inlineStr">
        <is>
          <t>Castillo D. (CAS)</t>
        </is>
      </c>
      <c r="AA9" s="7" t="inlineStr">
        <is>
          <t>Preciado O. (MAT)</t>
        </is>
      </c>
      <c r="AB9" s="7" t="inlineStr">
        <is>
          <t>Chillambo M. (CNA)</t>
        </is>
      </c>
      <c r="AC9" s="7" t="inlineStr">
        <is>
          <t>Estacio R. (ETR)</t>
        </is>
      </c>
      <c r="AD9" s="7" t="inlineStr">
        <is>
          <t>Bastidas Z. (MAT)</t>
        </is>
      </c>
      <c r="AE9" s="7" t="inlineStr">
        <is>
          <t>ÉNFASIS: González J. (ERD) / Lemos M. (CNA) / Meza G. (CAS) / Valencia S. (ART)</t>
        </is>
      </c>
      <c r="AF9" s="7" t="inlineStr">
        <is>
          <t>Valverde M. (CAS)</t>
        </is>
      </c>
      <c r="AG9" s="7" t="inlineStr">
        <is>
          <t>Mindineros J. (TEI)</t>
        </is>
      </c>
      <c r="AH9" s="7" t="inlineStr">
        <is>
          <t>Angulo A. (TEI)</t>
        </is>
      </c>
      <c r="AI9" s="7" t="inlineStr">
        <is>
          <t>ÉNFASIS: Arboleda L. (ART) / Montaño F. (CAS) / Ramírez J. (ERD) / Villota H. (CNA)</t>
        </is>
      </c>
      <c r="AJ9" s="7" t="inlineStr">
        <is>
          <t>Montaño L. (ETR)</t>
        </is>
      </c>
      <c r="AK9" s="7" t="inlineStr">
        <is>
          <t>Casanova J. (ORIENTACIÓN ESCOLAR) / Ponce Á. (ORIENTACIÓN ESCOLAR)</t>
        </is>
      </c>
      <c r="AL9" s="7" t="inlineStr"/>
    </row>
    <row r="10">
      <c r="A10" s="7" t="inlineStr">
        <is>
          <t>MARTES</t>
        </is>
      </c>
      <c r="B10" s="7" t="n">
        <v>1</v>
      </c>
      <c r="C10" s="7" t="inlineStr">
        <is>
          <t>06:30-07:15</t>
        </is>
      </c>
      <c r="D10" s="7" t="inlineStr"/>
      <c r="E10" s="7" t="inlineStr"/>
      <c r="F10" s="7" t="inlineStr">
        <is>
          <t>Landázuri M. (ÁREAS MÚLTIPLES)</t>
        </is>
      </c>
      <c r="G10" s="7" t="inlineStr">
        <is>
          <t>Sinisterra A. (ÁREAS MÚLTIPLES)</t>
        </is>
      </c>
      <c r="H10" s="7" t="inlineStr">
        <is>
          <t>Cortés M. (ÁREAS MÚLTIPLES)</t>
        </is>
      </c>
      <c r="I10" s="7" t="inlineStr">
        <is>
          <t>Garzón S. (ÁREAS MÚLTIPLES)</t>
        </is>
      </c>
      <c r="J10" s="7" t="inlineStr">
        <is>
          <t>Tenorio L. (ÁREAS MÚLTIPLES)</t>
        </is>
      </c>
      <c r="K10" s="7" t="inlineStr">
        <is>
          <t>Torres E. (ÁREAS MÚLTIPLES)</t>
        </is>
      </c>
      <c r="L10" s="7" t="inlineStr">
        <is>
          <t>Landázuri T. (ÁREAS MÚLTIPLES)</t>
        </is>
      </c>
      <c r="M10" s="7" t="inlineStr">
        <is>
          <t>Zamora C. (ÁREAS MÚLTIPLES)</t>
        </is>
      </c>
      <c r="N10" s="7" t="inlineStr">
        <is>
          <t>Núñez E. (ÁREAS MÚLTIPLES)</t>
        </is>
      </c>
      <c r="O10" s="7" t="inlineStr">
        <is>
          <t>Cuéllar N. (ÁREAS MÚLTIPLES)</t>
        </is>
      </c>
      <c r="P10" s="7" t="inlineStr">
        <is>
          <t>Centeno C. (ÁREAS MÚLTIPLES)</t>
        </is>
      </c>
      <c r="Q10" s="7" t="inlineStr">
        <is>
          <t>Narváez D. (ÁREAS MÚLTIPLES)</t>
        </is>
      </c>
      <c r="R10" s="7" t="inlineStr">
        <is>
          <t>Escobar L. (ÁREAS MÚLTIPLES)</t>
        </is>
      </c>
      <c r="S10" s="7" t="inlineStr">
        <is>
          <t>Quiñones M. (MAT)</t>
        </is>
      </c>
      <c r="T10" s="7" t="inlineStr">
        <is>
          <t>Cuero H. (TEI)</t>
        </is>
      </c>
      <c r="U10" s="7" t="inlineStr">
        <is>
          <t>ÉNFASIS: García S. (CSI) / Lozano A. (ETR)</t>
        </is>
      </c>
      <c r="V10" s="7" t="inlineStr">
        <is>
          <t>ÉNFASIS: Aguirre J. (TEI) / Vásquez S. (MAT)</t>
        </is>
      </c>
      <c r="W10" s="7" t="inlineStr">
        <is>
          <t>ÉNFASIS: Castillo D. (CAS) / Puches A. (ART)</t>
        </is>
      </c>
      <c r="X10" s="7" t="inlineStr">
        <is>
          <t>ÉNFASIS: Chillambo M. (CNA) / Cuero B. (ERD)</t>
        </is>
      </c>
      <c r="Y10" s="7" t="inlineStr">
        <is>
          <t>ÉNFASIS: Casanova Y. (ETR) / Quintero M. (CSI)</t>
        </is>
      </c>
      <c r="Z10" s="7" t="inlineStr">
        <is>
          <t>Arizala R. (ERD)</t>
        </is>
      </c>
      <c r="AA10" s="7" t="inlineStr">
        <is>
          <t>Valverde M. (CAS)</t>
        </is>
      </c>
      <c r="AB10" s="7" t="inlineStr">
        <is>
          <t>Preciado O. (MAT)</t>
        </is>
      </c>
      <c r="AC10" s="7" t="inlineStr">
        <is>
          <t>Valencia S. (ART)</t>
        </is>
      </c>
      <c r="AD10" s="7" t="inlineStr">
        <is>
          <t>ÉNFASIS: Bastidas Z. (MAT) / Betancourth Y. (CSI) / Estacio R. (ETR) / Mindineros J. (TEI)</t>
        </is>
      </c>
      <c r="AE10" s="7" t="inlineStr">
        <is>
          <t>Ortiz A. (CSI)</t>
        </is>
      </c>
      <c r="AF10" s="7" t="inlineStr">
        <is>
          <t>Fernández A. (TEI)</t>
        </is>
      </c>
      <c r="AG10" s="7" t="inlineStr">
        <is>
          <t>Lemos M. (CNA)</t>
        </is>
      </c>
      <c r="AH10" s="7" t="inlineStr">
        <is>
          <t>Montaño F. (CAS)</t>
        </is>
      </c>
      <c r="AI10" s="7" t="inlineStr">
        <is>
          <t>Ramírez J. (ERD)</t>
        </is>
      </c>
      <c r="AJ10" s="7" t="inlineStr">
        <is>
          <t>ÉNFASIS: Angulo A. (TEI) / Montaño L. (ETR) / Pulgarín C. (CSI) / Villota J. (MAT)</t>
        </is>
      </c>
      <c r="AK10" s="7" t="inlineStr"/>
      <c r="AL10" s="7" t="inlineStr">
        <is>
          <t>Ortiz M. (TUTORÍA PTAFI)</t>
        </is>
      </c>
    </row>
    <row r="11">
      <c r="A11" s="7" t="inlineStr">
        <is>
          <t>MARTES</t>
        </is>
      </c>
      <c r="B11" s="7" t="n">
        <v>2</v>
      </c>
      <c r="C11" s="7" t="inlineStr">
        <is>
          <t>07:15-08:00</t>
        </is>
      </c>
      <c r="D11" s="7" t="inlineStr"/>
      <c r="E11" s="7" t="inlineStr"/>
      <c r="F11" s="7" t="inlineStr">
        <is>
          <t>Landázuri M. (ÁREAS MÚLTIPLES)</t>
        </is>
      </c>
      <c r="G11" s="7" t="inlineStr">
        <is>
          <t>Sinisterra A. (ÁREAS MÚLTIPLES)</t>
        </is>
      </c>
      <c r="H11" s="7" t="inlineStr">
        <is>
          <t>Cortés M. (ÁREAS MÚLTIPLES)</t>
        </is>
      </c>
      <c r="I11" s="7" t="inlineStr">
        <is>
          <t>Garzón S. (ÁREAS MÚLTIPLES)</t>
        </is>
      </c>
      <c r="J11" s="7" t="inlineStr">
        <is>
          <t>Tenorio L. (ÁREAS MÚLTIPLES)</t>
        </is>
      </c>
      <c r="K11" s="7" t="inlineStr">
        <is>
          <t>Torres E. (ÁREAS MÚLTIPLES)</t>
        </is>
      </c>
      <c r="L11" s="7" t="inlineStr">
        <is>
          <t>Landázuri T. (ÁREAS MÚLTIPLES)</t>
        </is>
      </c>
      <c r="M11" s="7" t="inlineStr">
        <is>
          <t>Zamora C. (ÁREAS MÚLTIPLES)</t>
        </is>
      </c>
      <c r="N11" s="7" t="inlineStr">
        <is>
          <t>Núñez E. (ÁREAS MÚLTIPLES)</t>
        </is>
      </c>
      <c r="O11" s="7" t="inlineStr">
        <is>
          <t>Cuéllar N. (ÁREAS MÚLTIPLES)</t>
        </is>
      </c>
      <c r="P11" s="7" t="inlineStr">
        <is>
          <t>Centeno C. (ÁREAS MÚLTIPLES)</t>
        </is>
      </c>
      <c r="Q11" s="7" t="inlineStr">
        <is>
          <t>Narváez D. (ÁREAS MÚLTIPLES)</t>
        </is>
      </c>
      <c r="R11" s="7" t="inlineStr">
        <is>
          <t>Escobar L. (ÁREAS MÚLTIPLES)</t>
        </is>
      </c>
      <c r="S11" s="7" t="inlineStr">
        <is>
          <t>Quiñones M. (MAT)</t>
        </is>
      </c>
      <c r="T11" s="7" t="inlineStr">
        <is>
          <t>Cuero H. (TEI)</t>
        </is>
      </c>
      <c r="U11" s="7" t="inlineStr">
        <is>
          <t>ÉNFASIS: García S. (CSI) / Lozano A. (ETR)</t>
        </is>
      </c>
      <c r="V11" s="7" t="inlineStr">
        <is>
          <t>ÉNFASIS: Aguirre J. (TEI) / Vásquez S. (MAT)</t>
        </is>
      </c>
      <c r="W11" s="7" t="inlineStr">
        <is>
          <t>ÉNFASIS: Castillo D. (CAS) / Puches A. (ART)</t>
        </is>
      </c>
      <c r="X11" s="7" t="inlineStr">
        <is>
          <t>ÉNFASIS: Chillambo M. (CNA) / Cuero B. (ERD)</t>
        </is>
      </c>
      <c r="Y11" s="7" t="inlineStr">
        <is>
          <t>ÉNFASIS: Casanova Y. (ETR) / Quintero M. (CSI)</t>
        </is>
      </c>
      <c r="Z11" s="7" t="inlineStr">
        <is>
          <t>Arizala R. (ERD)</t>
        </is>
      </c>
      <c r="AA11" s="7" t="inlineStr">
        <is>
          <t>Valverde M. (CAS)</t>
        </is>
      </c>
      <c r="AB11" s="7" t="inlineStr">
        <is>
          <t>Preciado O. (MAT)</t>
        </is>
      </c>
      <c r="AC11" s="7" t="inlineStr">
        <is>
          <t>Valencia S. (ART)</t>
        </is>
      </c>
      <c r="AD11" s="7" t="inlineStr">
        <is>
          <t>ÉNFASIS: Bastidas Z. (MAT) / Betancourth Y. (CSI) / Estacio R. (ETR) / Mindineros J. (TEI)</t>
        </is>
      </c>
      <c r="AE11" s="7" t="inlineStr">
        <is>
          <t>Ortiz A. (CSI)</t>
        </is>
      </c>
      <c r="AF11" s="7" t="inlineStr">
        <is>
          <t>Fernández A. (TEI)</t>
        </is>
      </c>
      <c r="AG11" s="7" t="inlineStr">
        <is>
          <t>Lemos M. (CNA)</t>
        </is>
      </c>
      <c r="AH11" s="7" t="inlineStr">
        <is>
          <t>Montaño F. (CAS)</t>
        </is>
      </c>
      <c r="AI11" s="7" t="inlineStr">
        <is>
          <t>Ramírez J. (ERD)</t>
        </is>
      </c>
      <c r="AJ11" s="7" t="inlineStr">
        <is>
          <t>ÉNFASIS: Angulo A. (TEI) / Montaño L. (ETR) / Pulgarín C. (CSI) / Villota J. (MAT)</t>
        </is>
      </c>
      <c r="AK11" s="7" t="inlineStr">
        <is>
          <t>Casanova J. (ORIENTACIÓN ESCOLAR)</t>
        </is>
      </c>
      <c r="AL11" s="7" t="inlineStr">
        <is>
          <t>Ortiz M. (TUTORÍA PTAFI)</t>
        </is>
      </c>
    </row>
    <row r="12">
      <c r="A12" s="7" t="inlineStr">
        <is>
          <t>MARTES</t>
        </is>
      </c>
      <c r="B12" s="7" t="n">
        <v>3</v>
      </c>
      <c r="C12" s="7" t="inlineStr">
        <is>
          <t>08:20-09:05</t>
        </is>
      </c>
      <c r="D12" s="7" t="inlineStr">
        <is>
          <t>Valencia G. (ÁREAS MÚLTIPLES)</t>
        </is>
      </c>
      <c r="E12" s="7" t="inlineStr">
        <is>
          <t>Martínez A. (ÁREAS MÚLTIPLES)</t>
        </is>
      </c>
      <c r="F12" s="7" t="inlineStr">
        <is>
          <t>Landázuri M. (ÁREAS MÚLTIPLES)</t>
        </is>
      </c>
      <c r="G12" s="7" t="inlineStr">
        <is>
          <t>Sinisterra A. (ÁREAS MÚLTIPLES)</t>
        </is>
      </c>
      <c r="H12" s="7" t="inlineStr">
        <is>
          <t>Cortés M. (ÁREAS MÚLTIPLES)</t>
        </is>
      </c>
      <c r="I12" s="7" t="inlineStr">
        <is>
          <t>Garzón S. (ÁREAS MÚLTIPLES)</t>
        </is>
      </c>
      <c r="J12" s="7" t="inlineStr">
        <is>
          <t>Tenorio L. (ÁREAS MÚLTIPLES)</t>
        </is>
      </c>
      <c r="K12" s="7" t="inlineStr">
        <is>
          <t>Torres E. (ÁREAS MÚLTIPLES)</t>
        </is>
      </c>
      <c r="L12" s="7" t="inlineStr">
        <is>
          <t>Landázuri T. (ÁREAS MÚLTIPLES)</t>
        </is>
      </c>
      <c r="M12" s="7" t="inlineStr">
        <is>
          <t>Zamora C. (ÁREAS MÚLTIPLES)</t>
        </is>
      </c>
      <c r="N12" s="7" t="inlineStr">
        <is>
          <t>Núñez E. (ÁREAS MÚLTIPLES)</t>
        </is>
      </c>
      <c r="O12" s="7" t="inlineStr">
        <is>
          <t>Cuéllar N. (ÁREAS MÚLTIPLES)</t>
        </is>
      </c>
      <c r="P12" s="7" t="inlineStr">
        <is>
          <t>Centeno C. (ÁREAS MÚLTIPLES)</t>
        </is>
      </c>
      <c r="Q12" s="7" t="inlineStr">
        <is>
          <t>Narváez D. (ÁREAS MÚLTIPLES)</t>
        </is>
      </c>
      <c r="R12" s="7" t="inlineStr">
        <is>
          <t>Escobar L. (ÁREAS MÚLTIPLES)</t>
        </is>
      </c>
      <c r="S12" s="7" t="inlineStr">
        <is>
          <t>Prado G. (CNA)</t>
        </is>
      </c>
      <c r="T12" s="7" t="inlineStr">
        <is>
          <t>Cuero H. (CAS)</t>
        </is>
      </c>
      <c r="U12" s="7" t="inlineStr">
        <is>
          <t>Quiñones M. (MAT)</t>
        </is>
      </c>
      <c r="V12" s="7" t="inlineStr">
        <is>
          <t>Lozano A. (ETR)</t>
        </is>
      </c>
      <c r="W12" s="7" t="inlineStr">
        <is>
          <t>Vásquez S. (MAT)</t>
        </is>
      </c>
      <c r="X12" s="7" t="inlineStr">
        <is>
          <t>Aguirre J. (TEI)</t>
        </is>
      </c>
      <c r="Y12" s="7" t="inlineStr">
        <is>
          <t>Puches A. (ART)</t>
        </is>
      </c>
      <c r="Z12" s="7" t="inlineStr">
        <is>
          <t>Quintero M. (CSI)</t>
        </is>
      </c>
      <c r="AA12" s="7" t="inlineStr">
        <is>
          <t>ÉNFASIS: Chillambo M. (CNA) / Cuero B. (ERD) / Samaniego F. (ART) / Valverde M. (CAS)</t>
        </is>
      </c>
      <c r="AB12" s="7" t="inlineStr">
        <is>
          <t>Castillo M. (ETR)</t>
        </is>
      </c>
      <c r="AC12" s="7" t="inlineStr">
        <is>
          <t>Estacio R. (ETR)</t>
        </is>
      </c>
      <c r="AD12" s="7" t="inlineStr">
        <is>
          <t>Bastidas Z. (MAT)</t>
        </is>
      </c>
      <c r="AE12" s="7" t="inlineStr">
        <is>
          <t>ÉNFASIS: González J. (ERD) / Lemos M. (CNA) / Meza G. (CAS) / Valencia S. (ART)</t>
        </is>
      </c>
      <c r="AF12" s="7" t="inlineStr">
        <is>
          <t>Ortiz A. (CSI)</t>
        </is>
      </c>
      <c r="AG12" s="7" t="inlineStr">
        <is>
          <t>Mindineros J. (TEI)</t>
        </is>
      </c>
      <c r="AH12" s="7" t="inlineStr">
        <is>
          <t>Angulo A. (TEI)</t>
        </is>
      </c>
      <c r="AI12" s="7" t="inlineStr">
        <is>
          <t>ÉNFASIS: Arboleda L. (ART) / Montaño F. (CAS) / Ramírez J. (ERD) / Villota H. (CNA)</t>
        </is>
      </c>
      <c r="AJ12" s="7" t="inlineStr">
        <is>
          <t>Pulgarín C. (CSI)</t>
        </is>
      </c>
      <c r="AK12" s="7" t="inlineStr">
        <is>
          <t>Casanova J. (ORIENTACIÓN ESCOLAR) / Ponce Á. (ORIENTACIÓN ESCOLAR)</t>
        </is>
      </c>
      <c r="AL12" s="7" t="inlineStr">
        <is>
          <t>Ortiz M. (TUTORÍA PTAFI)</t>
        </is>
      </c>
    </row>
    <row r="13">
      <c r="A13" s="7" t="inlineStr">
        <is>
          <t>MARTES</t>
        </is>
      </c>
      <c r="B13" s="7" t="n">
        <v>4</v>
      </c>
      <c r="C13" s="7" t="inlineStr">
        <is>
          <t>09:05-09:50</t>
        </is>
      </c>
      <c r="D13" s="7" t="inlineStr">
        <is>
          <t>Valencia G. (ÁREAS MÚLTIPLES)</t>
        </is>
      </c>
      <c r="E13" s="7" t="inlineStr">
        <is>
          <t>Martínez A. (ÁREAS MÚLTIPLES)</t>
        </is>
      </c>
      <c r="F13" s="7" t="inlineStr">
        <is>
          <t>Landázuri M. (ÁREAS MÚLTIPLES)</t>
        </is>
      </c>
      <c r="G13" s="7" t="inlineStr">
        <is>
          <t>Sinisterra A. (ÁREAS MÚLTIPLES)</t>
        </is>
      </c>
      <c r="H13" s="7" t="inlineStr">
        <is>
          <t>Cortés M. (ÁREAS MÚLTIPLES)</t>
        </is>
      </c>
      <c r="I13" s="7" t="inlineStr">
        <is>
          <t>Garzón S. (ÁREAS MÚLTIPLES)</t>
        </is>
      </c>
      <c r="J13" s="7" t="inlineStr">
        <is>
          <t>Tenorio L. (ÁREAS MÚLTIPLES)</t>
        </is>
      </c>
      <c r="K13" s="7" t="inlineStr">
        <is>
          <t>Torres E. (ÁREAS MÚLTIPLES)</t>
        </is>
      </c>
      <c r="L13" s="7" t="inlineStr">
        <is>
          <t>Landázuri T. (ÁREAS MÚLTIPLES)</t>
        </is>
      </c>
      <c r="M13" s="7" t="inlineStr">
        <is>
          <t>Zamora C. (ÁREAS MÚLTIPLES)</t>
        </is>
      </c>
      <c r="N13" s="7" t="inlineStr">
        <is>
          <t>Núñez E. (ÁREAS MÚLTIPLES)</t>
        </is>
      </c>
      <c r="O13" s="7" t="inlineStr">
        <is>
          <t>Cuéllar N. (ÁREAS MÚLTIPLES)</t>
        </is>
      </c>
      <c r="P13" s="7" t="inlineStr">
        <is>
          <t>Centeno C. (ÁREAS MÚLTIPLES)</t>
        </is>
      </c>
      <c r="Q13" s="7" t="inlineStr">
        <is>
          <t>Narváez D. (ÁREAS MÚLTIPLES)</t>
        </is>
      </c>
      <c r="R13" s="7" t="inlineStr">
        <is>
          <t>Escobar L. (ÁREAS MÚLTIPLES)</t>
        </is>
      </c>
      <c r="S13" s="7" t="inlineStr">
        <is>
          <t>Prado G. (CNA)</t>
        </is>
      </c>
      <c r="T13" s="7" t="inlineStr">
        <is>
          <t>Cuero H. (CAS)</t>
        </is>
      </c>
      <c r="U13" s="7" t="inlineStr">
        <is>
          <t>Quiñones M. (MAT)</t>
        </is>
      </c>
      <c r="V13" s="7" t="inlineStr">
        <is>
          <t>Lozano A. (ETR)</t>
        </is>
      </c>
      <c r="W13" s="7" t="inlineStr">
        <is>
          <t>Vásquez S. (MAT)</t>
        </is>
      </c>
      <c r="X13" s="7" t="inlineStr">
        <is>
          <t>Aguirre J. (TEI)</t>
        </is>
      </c>
      <c r="Y13" s="7" t="inlineStr">
        <is>
          <t>Puches A. (ART)</t>
        </is>
      </c>
      <c r="Z13" s="7" t="inlineStr">
        <is>
          <t>Quintero M. (CSI)</t>
        </is>
      </c>
      <c r="AA13" s="7" t="inlineStr">
        <is>
          <t>ÉNFASIS: Chillambo M. (CNA) / Cuero B. (ERD) / Samaniego F. (ART) / Valverde M. (CAS)</t>
        </is>
      </c>
      <c r="AB13" s="7" t="inlineStr">
        <is>
          <t>Castillo M. (ETR)</t>
        </is>
      </c>
      <c r="AC13" s="7" t="inlineStr">
        <is>
          <t>Estacio R. (ETR)</t>
        </is>
      </c>
      <c r="AD13" s="7" t="inlineStr">
        <is>
          <t>Bastidas Z. (MAT)</t>
        </is>
      </c>
      <c r="AE13" s="7" t="inlineStr">
        <is>
          <t>ÉNFASIS: González J. (ERD) / Lemos M. (CNA) / Meza G. (CAS) / Valencia S. (ART)</t>
        </is>
      </c>
      <c r="AF13" s="7" t="inlineStr">
        <is>
          <t>Ortiz A. (CSI)</t>
        </is>
      </c>
      <c r="AG13" s="7" t="inlineStr">
        <is>
          <t>Mindineros J. (TEI)</t>
        </is>
      </c>
      <c r="AH13" s="7" t="inlineStr">
        <is>
          <t>Angulo A. (TEI)</t>
        </is>
      </c>
      <c r="AI13" s="7" t="inlineStr">
        <is>
          <t>ÉNFASIS: Arboleda L. (ART) / Montaño F. (CAS) / Ramírez J. (ERD) / Villota H. (CNA)</t>
        </is>
      </c>
      <c r="AJ13" s="7" t="inlineStr">
        <is>
          <t>Pulgarín C. (CSI)</t>
        </is>
      </c>
      <c r="AK13" s="7" t="inlineStr">
        <is>
          <t>Casanova J. (ORIENTACIÓN ESCOLAR) / Ponce Á. (ORIENTACIÓN ESCOLAR)</t>
        </is>
      </c>
      <c r="AL13" s="7" t="inlineStr">
        <is>
          <t>Ortiz M. (TUTORÍA PTAFI)</t>
        </is>
      </c>
    </row>
    <row r="14">
      <c r="A14" s="7" t="inlineStr">
        <is>
          <t>MARTES</t>
        </is>
      </c>
      <c r="B14" s="7" t="n">
        <v>5</v>
      </c>
      <c r="C14" s="7" t="inlineStr">
        <is>
          <t>10:10-10:55</t>
        </is>
      </c>
      <c r="D14" s="7" t="inlineStr">
        <is>
          <t>Valencia G. (ÁREAS MÚLTIPLES)</t>
        </is>
      </c>
      <c r="E14" s="7" t="inlineStr">
        <is>
          <t>Martínez A. (ÁREAS MÚLTIPLES)</t>
        </is>
      </c>
      <c r="F14" s="7" t="inlineStr">
        <is>
          <t>Landázuri M. (ÁREAS MÚLTIPLES)</t>
        </is>
      </c>
      <c r="G14" s="7" t="inlineStr">
        <is>
          <t>Sinisterra A. (ÁREAS MÚLTIPLES)</t>
        </is>
      </c>
      <c r="H14" s="7" t="inlineStr">
        <is>
          <t>Cortés M. (ÁREAS MÚLTIPLES)</t>
        </is>
      </c>
      <c r="I14" s="7" t="inlineStr">
        <is>
          <t>Garzón S. (ÁREAS MÚLTIPLES)</t>
        </is>
      </c>
      <c r="J14" s="7" t="inlineStr">
        <is>
          <t>Tenorio L. (ÁREAS MÚLTIPLES)</t>
        </is>
      </c>
      <c r="K14" s="7" t="inlineStr">
        <is>
          <t>Torres E. (ÁREAS MÚLTIPLES)</t>
        </is>
      </c>
      <c r="L14" s="7" t="inlineStr">
        <is>
          <t>Landázuri T. (ÁREAS MÚLTIPLES)</t>
        </is>
      </c>
      <c r="M14" s="7" t="inlineStr">
        <is>
          <t>Zamora C. (ÁREAS MÚLTIPLES)</t>
        </is>
      </c>
      <c r="N14" s="7" t="inlineStr">
        <is>
          <t>Núñez E. (ÁREAS MÚLTIPLES)</t>
        </is>
      </c>
      <c r="O14" s="7" t="inlineStr">
        <is>
          <t>Cuéllar N. (ÁREAS MÚLTIPLES)</t>
        </is>
      </c>
      <c r="P14" s="7" t="inlineStr">
        <is>
          <t>Centeno C. (ÁREAS MÚLTIPLES)</t>
        </is>
      </c>
      <c r="Q14" s="7" t="inlineStr">
        <is>
          <t>Narváez D. (ÁREAS MÚLTIPLES)</t>
        </is>
      </c>
      <c r="R14" s="7" t="inlineStr">
        <is>
          <t>Escobar L. (ÁREAS MÚLTIPLES)</t>
        </is>
      </c>
      <c r="S14" s="7" t="inlineStr">
        <is>
          <t>Cuero H. (TEI)</t>
        </is>
      </c>
      <c r="T14" s="7" t="inlineStr">
        <is>
          <t>Prado G. (CNA)</t>
        </is>
      </c>
      <c r="U14" s="7" t="inlineStr">
        <is>
          <t>García S. (CSI)</t>
        </is>
      </c>
      <c r="V14" s="7" t="inlineStr">
        <is>
          <t>Armero J. (ERD)</t>
        </is>
      </c>
      <c r="W14" s="7" t="inlineStr">
        <is>
          <t>Puches A. (ART)</t>
        </is>
      </c>
      <c r="X14" s="7" t="inlineStr">
        <is>
          <t>Castillo D. (CAS)</t>
        </is>
      </c>
      <c r="Y14" s="7" t="inlineStr">
        <is>
          <t>Quintero M. (CSI)</t>
        </is>
      </c>
      <c r="Z14" s="7" t="inlineStr">
        <is>
          <t>ÉNFASIS: Fernández A. (TEI) / Preciado O. (MAT)</t>
        </is>
      </c>
      <c r="AA14" s="7" t="inlineStr">
        <is>
          <t>Castillo M. (ETR)</t>
        </is>
      </c>
      <c r="AB14" s="7" t="inlineStr">
        <is>
          <t>Samaniego F. (ART)</t>
        </is>
      </c>
      <c r="AC14" s="7" t="inlineStr">
        <is>
          <t>Meza G. (CAS)</t>
        </is>
      </c>
      <c r="AD14" s="7" t="inlineStr">
        <is>
          <t>Lemos M. (CNA)</t>
        </is>
      </c>
      <c r="AE14" s="7" t="inlineStr">
        <is>
          <t>Valverde M. (CAS)</t>
        </is>
      </c>
      <c r="AF14" s="7" t="inlineStr">
        <is>
          <t>ÉNFASIS: Bastidas Z. (MAT) / Betancourth Y. (CSI) / Estacio R. (ETR) / Mindineros J. (TEI)</t>
        </is>
      </c>
      <c r="AG14" s="7" t="inlineStr">
        <is>
          <t>González J. (ERD)</t>
        </is>
      </c>
      <c r="AH14" s="7" t="inlineStr">
        <is>
          <t>ÉNFASIS: Angulo A. (TEI) / Montaño L. (ETR) / Pulgarín C. (CSI) / Villota J. (MAT)</t>
        </is>
      </c>
      <c r="AI14" s="7" t="inlineStr">
        <is>
          <t>Arboleda L. (ART)</t>
        </is>
      </c>
      <c r="AJ14" s="7" t="inlineStr">
        <is>
          <t>Villota H. (CNA)</t>
        </is>
      </c>
      <c r="AK14" s="7" t="inlineStr">
        <is>
          <t>Casanova J. (ORIENTACIÓN ESCOLAR) / Ponce Á. (ORIENTACIÓN ESCOLAR)</t>
        </is>
      </c>
      <c r="AL14" s="7" t="inlineStr">
        <is>
          <t>Ortiz M. (TUTORÍA PTAFI)</t>
        </is>
      </c>
    </row>
    <row r="15">
      <c r="A15" s="7" t="inlineStr">
        <is>
          <t>MARTES</t>
        </is>
      </c>
      <c r="B15" s="7" t="n">
        <v>6</v>
      </c>
      <c r="C15" s="7" t="inlineStr">
        <is>
          <t>10:55-11:40</t>
        </is>
      </c>
      <c r="D15" s="7" t="inlineStr">
        <is>
          <t>Valencia G. (ÁREAS MÚLTIPLES)</t>
        </is>
      </c>
      <c r="E15" s="7" t="inlineStr">
        <is>
          <t>Martínez A. (ÁREAS MÚLTIPLES)</t>
        </is>
      </c>
      <c r="F15" s="7" t="inlineStr">
        <is>
          <t>Landázuri M. (ÁREAS MÚLTIPLES)</t>
        </is>
      </c>
      <c r="G15" s="7" t="inlineStr">
        <is>
          <t>Sinisterra A. (ÁREAS MÚLTIPLES)</t>
        </is>
      </c>
      <c r="H15" s="7" t="inlineStr">
        <is>
          <t>Cortés M. (ÁREAS MÚLTIPLES)</t>
        </is>
      </c>
      <c r="I15" s="7" t="inlineStr">
        <is>
          <t>Garzón S. (ÁREAS MÚLTIPLES)</t>
        </is>
      </c>
      <c r="J15" s="7" t="inlineStr">
        <is>
          <t>Tenorio L. (ÁREAS MÚLTIPLES)</t>
        </is>
      </c>
      <c r="K15" s="7" t="inlineStr">
        <is>
          <t>Torres E. (ÁREAS MÚLTIPLES)</t>
        </is>
      </c>
      <c r="L15" s="7" t="inlineStr">
        <is>
          <t>Landázuri T. (ÁREAS MÚLTIPLES)</t>
        </is>
      </c>
      <c r="M15" s="7" t="inlineStr">
        <is>
          <t>Zamora C. (ÁREAS MÚLTIPLES)</t>
        </is>
      </c>
      <c r="N15" s="7" t="inlineStr">
        <is>
          <t>Núñez E. (ÁREAS MÚLTIPLES)</t>
        </is>
      </c>
      <c r="O15" s="7" t="inlineStr">
        <is>
          <t>Cuéllar N. (ÁREAS MÚLTIPLES)</t>
        </is>
      </c>
      <c r="P15" s="7" t="inlineStr">
        <is>
          <t>Centeno C. (ÁREAS MÚLTIPLES)</t>
        </is>
      </c>
      <c r="Q15" s="7" t="inlineStr">
        <is>
          <t>Narváez D. (ÁREAS MÚLTIPLES)</t>
        </is>
      </c>
      <c r="R15" s="7" t="inlineStr">
        <is>
          <t>Escobar L. (ÁREAS MÚLTIPLES)</t>
        </is>
      </c>
      <c r="S15" s="7" t="inlineStr">
        <is>
          <t>Cuero H. (TEI)</t>
        </is>
      </c>
      <c r="T15" s="7" t="inlineStr">
        <is>
          <t>Prado G. (CNA)</t>
        </is>
      </c>
      <c r="U15" s="7" t="inlineStr">
        <is>
          <t>García S. (CSI)</t>
        </is>
      </c>
      <c r="V15" s="7" t="inlineStr">
        <is>
          <t>Armero J. (ERD)</t>
        </is>
      </c>
      <c r="W15" s="7" t="inlineStr">
        <is>
          <t>Puches A. (ART)</t>
        </is>
      </c>
      <c r="X15" s="7" t="inlineStr">
        <is>
          <t>Castillo D. (CAS)</t>
        </is>
      </c>
      <c r="Y15" s="7" t="inlineStr">
        <is>
          <t>Quintero M. (CSI)</t>
        </is>
      </c>
      <c r="Z15" s="7" t="inlineStr">
        <is>
          <t>ÉNFASIS: Fernández A. (TEI) / Preciado O. (MAT)</t>
        </is>
      </c>
      <c r="AA15" s="7" t="inlineStr">
        <is>
          <t>Castillo M. (ETR)</t>
        </is>
      </c>
      <c r="AB15" s="7" t="inlineStr">
        <is>
          <t>Samaniego F. (ART)</t>
        </is>
      </c>
      <c r="AC15" s="7" t="inlineStr">
        <is>
          <t>Meza G. (CAS)</t>
        </is>
      </c>
      <c r="AD15" s="7" t="inlineStr">
        <is>
          <t>Lemos M. (CNA)</t>
        </is>
      </c>
      <c r="AE15" s="7" t="inlineStr">
        <is>
          <t>Valverde M. (CAS)</t>
        </is>
      </c>
      <c r="AF15" s="7" t="inlineStr">
        <is>
          <t>ÉNFASIS: Bastidas Z. (MAT) / Betancourth Y. (CSI) / Estacio R. (ETR) / Mindineros J. (TEI)</t>
        </is>
      </c>
      <c r="AG15" s="7" t="inlineStr">
        <is>
          <t>González J. (ERD)</t>
        </is>
      </c>
      <c r="AH15" s="7" t="inlineStr">
        <is>
          <t>ÉNFASIS: Angulo A. (TEI) / Montaño L. (ETR) / Pulgarín C. (CSI) / Villota J. (MAT)</t>
        </is>
      </c>
      <c r="AI15" s="7" t="inlineStr">
        <is>
          <t>Arboleda L. (ART)</t>
        </is>
      </c>
      <c r="AJ15" s="7" t="inlineStr">
        <is>
          <t>Villota H. (CNA)</t>
        </is>
      </c>
      <c r="AK15" s="7" t="inlineStr">
        <is>
          <t>Casanova J. (ORIENTACIÓN ESCOLAR) / Ponce Á. (ORIENTACIÓN ESCOLAR)</t>
        </is>
      </c>
      <c r="AL15" s="7" t="inlineStr">
        <is>
          <t>Ortiz M. (TUTORÍA PTAFI)</t>
        </is>
      </c>
    </row>
    <row r="16">
      <c r="A16" s="7" t="inlineStr">
        <is>
          <t>MARTES</t>
        </is>
      </c>
      <c r="B16" s="7" t="n">
        <v>7</v>
      </c>
      <c r="C16" s="7" t="inlineStr">
        <is>
          <t>12:00-12:45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>
        <is>
          <t>ÉNFASIS: Castillo D. (CAS) / Puches A. (ART)</t>
        </is>
      </c>
      <c r="T16" s="7" t="inlineStr">
        <is>
          <t>ÉNFASIS: Ordóñez J. (CNA) / Arizala R. (ERD)</t>
        </is>
      </c>
      <c r="U16" s="7" t="inlineStr">
        <is>
          <t>Prado G. (ART)</t>
        </is>
      </c>
      <c r="V16" s="7" t="inlineStr">
        <is>
          <t>Armero J. (CNA)</t>
        </is>
      </c>
      <c r="W16" s="7" t="inlineStr">
        <is>
          <t>Quintero M. (CSI)</t>
        </is>
      </c>
      <c r="X16" s="7" t="inlineStr">
        <is>
          <t>Vásquez S. (MAT)</t>
        </is>
      </c>
      <c r="Y16" s="7" t="inlineStr">
        <is>
          <t>Casanova Y. (ETR)</t>
        </is>
      </c>
      <c r="Z16" s="7" t="inlineStr">
        <is>
          <t>Aguirre J. (TEI)</t>
        </is>
      </c>
      <c r="AA16" s="7" t="inlineStr">
        <is>
          <t>Chillambo M. (CNA)</t>
        </is>
      </c>
      <c r="AB16" s="7" t="inlineStr">
        <is>
          <t>Valverde M. (CAS)</t>
        </is>
      </c>
      <c r="AC16" s="7" t="inlineStr">
        <is>
          <t>ÉNFASIS: González J. (ERD) / Lemos M. (CNA) / Meza G. (CAS) / Valencia S. (ART)</t>
        </is>
      </c>
      <c r="AD16" s="7" t="inlineStr">
        <is>
          <t>Estacio R. (ETR)</t>
        </is>
      </c>
      <c r="AE16" s="7" t="inlineStr">
        <is>
          <t>Preciado O. (MAT)</t>
        </is>
      </c>
      <c r="AF16" s="7" t="inlineStr">
        <is>
          <t>Castillo M. (ETR)</t>
        </is>
      </c>
      <c r="AG16" s="7" t="inlineStr">
        <is>
          <t>ÉNFASIS: Arboleda L. (ART) / Montaño F. (CAS) / Ramírez J. (ERD) / Villota H. (CNA)</t>
        </is>
      </c>
      <c r="AH16" s="7" t="inlineStr">
        <is>
          <t>Pulgarín C. (CSI)</t>
        </is>
      </c>
      <c r="AI16" s="7" t="inlineStr">
        <is>
          <t>Villota J. (MAT)</t>
        </is>
      </c>
      <c r="AJ16" s="7" t="inlineStr">
        <is>
          <t>Angulo A. (TEI)</t>
        </is>
      </c>
      <c r="AK16" s="7" t="inlineStr">
        <is>
          <t>Casanova J. (ORIENTACIÓN ESCOLAR) / Ponce Á. (ORIENTACIÓN ESCOLAR)</t>
        </is>
      </c>
      <c r="AL16" s="7" t="inlineStr"/>
    </row>
    <row r="17">
      <c r="A17" s="7" t="inlineStr">
        <is>
          <t>MARTES</t>
        </is>
      </c>
      <c r="B17" s="7" t="n">
        <v>8</v>
      </c>
      <c r="C17" s="7" t="inlineStr">
        <is>
          <t>12:45-13:30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>
        <is>
          <t>ÉNFASIS: Castillo D. (CAS) / Puches A. (ART)</t>
        </is>
      </c>
      <c r="T17" s="7" t="inlineStr">
        <is>
          <t>ÉNFASIS: Ordóñez J. (CNA) / Arizala R. (ERD)</t>
        </is>
      </c>
      <c r="U17" s="7" t="inlineStr">
        <is>
          <t>Prado G. (ART)</t>
        </is>
      </c>
      <c r="V17" s="7" t="inlineStr">
        <is>
          <t>Armero J. (CNA)</t>
        </is>
      </c>
      <c r="W17" s="7" t="inlineStr">
        <is>
          <t>Quintero M. (CSI)</t>
        </is>
      </c>
      <c r="X17" s="7" t="inlineStr">
        <is>
          <t>Vásquez S. (MAT)</t>
        </is>
      </c>
      <c r="Y17" s="7" t="inlineStr">
        <is>
          <t>Casanova Y. (ETR)</t>
        </is>
      </c>
      <c r="Z17" s="7" t="inlineStr">
        <is>
          <t>Aguirre J. (TEI)</t>
        </is>
      </c>
      <c r="AA17" s="7" t="inlineStr">
        <is>
          <t>Chillambo M. (CNA)</t>
        </is>
      </c>
      <c r="AB17" s="7" t="inlineStr">
        <is>
          <t>Valverde M. (CAS)</t>
        </is>
      </c>
      <c r="AC17" s="7" t="inlineStr">
        <is>
          <t>ÉNFASIS: González J. (ERD) / Lemos M. (CNA) / Meza G. (CAS) / Valencia S. (ART)</t>
        </is>
      </c>
      <c r="AD17" s="7" t="inlineStr">
        <is>
          <t>Estacio R. (ETR)</t>
        </is>
      </c>
      <c r="AE17" s="7" t="inlineStr">
        <is>
          <t>Preciado O. (MAT)</t>
        </is>
      </c>
      <c r="AF17" s="7" t="inlineStr">
        <is>
          <t>Castillo M. (ETR)</t>
        </is>
      </c>
      <c r="AG17" s="7" t="inlineStr">
        <is>
          <t>ÉNFASIS: Arboleda L. (ART) / Montaño F. (CAS) / Ramírez J. (ERD) / Villota H. (CNA)</t>
        </is>
      </c>
      <c r="AH17" s="7" t="inlineStr">
        <is>
          <t>Pulgarín C. (CSI)</t>
        </is>
      </c>
      <c r="AI17" s="7" t="inlineStr">
        <is>
          <t>Villota J. (MAT)</t>
        </is>
      </c>
      <c r="AJ17" s="7" t="inlineStr">
        <is>
          <t>Angulo A. (TEI)</t>
        </is>
      </c>
      <c r="AK17" s="7" t="inlineStr">
        <is>
          <t>Casanova J. (ORIENTACIÓN ESCOLAR) / Ponce Á. (ORIENTACIÓN ESCOLAR)</t>
        </is>
      </c>
      <c r="AL17" s="7" t="inlineStr"/>
    </row>
    <row r="18">
      <c r="A18" s="7" t="inlineStr">
        <is>
          <t>MIERCOLES</t>
        </is>
      </c>
      <c r="B18" s="7" t="n">
        <v>1</v>
      </c>
      <c r="C18" s="7" t="inlineStr">
        <is>
          <t>06:30-07:15</t>
        </is>
      </c>
      <c r="D18" s="7" t="inlineStr"/>
      <c r="E18" s="7" t="inlineStr"/>
      <c r="F18" s="7" t="inlineStr">
        <is>
          <t>Landázuri M. (ÁREAS MÚLTIPLES)</t>
        </is>
      </c>
      <c r="G18" s="7" t="inlineStr">
        <is>
          <t>Sinisterra A. (ÁREAS MÚLTIPLES)</t>
        </is>
      </c>
      <c r="H18" s="7" t="inlineStr">
        <is>
          <t>Cortés M. (ÁREAS MÚLTIPLES)</t>
        </is>
      </c>
      <c r="I18" s="7" t="inlineStr">
        <is>
          <t>Garzón S. (ÁREAS MÚLTIPLES)</t>
        </is>
      </c>
      <c r="J18" s="7" t="inlineStr">
        <is>
          <t>Tenorio L. (ÁREAS MÚLTIPLES)</t>
        </is>
      </c>
      <c r="K18" s="7" t="inlineStr">
        <is>
          <t>Torres E. (ÁREAS MÚLTIPLES)</t>
        </is>
      </c>
      <c r="L18" s="7" t="inlineStr">
        <is>
          <t>Landázuri T. (ÁREAS MÚLTIPLES)</t>
        </is>
      </c>
      <c r="M18" s="7" t="inlineStr">
        <is>
          <t>Zamora C. (ÁREAS MÚLTIPLES)</t>
        </is>
      </c>
      <c r="N18" s="7" t="inlineStr">
        <is>
          <t>Núñez E. (ÁREAS MÚLTIPLES)</t>
        </is>
      </c>
      <c r="O18" s="7" t="inlineStr">
        <is>
          <t>Cuéllar N. (ÁREAS MÚLTIPLES)</t>
        </is>
      </c>
      <c r="P18" s="7" t="inlineStr">
        <is>
          <t>Centeno C. (ÁREAS MÚLTIPLES)</t>
        </is>
      </c>
      <c r="Q18" s="7" t="inlineStr">
        <is>
          <t>Narváez D. (ÁREAS MÚLTIPLES)</t>
        </is>
      </c>
      <c r="R18" s="7" t="inlineStr">
        <is>
          <t>Escobar L. (ÁREAS MÚLTIPLES)</t>
        </is>
      </c>
      <c r="S18" s="7" t="inlineStr">
        <is>
          <t>Prado G. (ART)</t>
        </is>
      </c>
      <c r="T18" s="7" t="inlineStr">
        <is>
          <t>Armero J. (ERD)</t>
        </is>
      </c>
      <c r="U18" s="7" t="inlineStr">
        <is>
          <t>ÉNFASIS: García S. (CSI) / Lozano A. (ETR)</t>
        </is>
      </c>
      <c r="V18" s="7" t="inlineStr">
        <is>
          <t>ÉNFASIS: Aguirre J. (TEI) / Vásquez S. (MAT)</t>
        </is>
      </c>
      <c r="W18" s="7" t="inlineStr">
        <is>
          <t>ÉNFASIS: Castillo D. (CAS) / Puches A. (ART)</t>
        </is>
      </c>
      <c r="X18" s="7" t="inlineStr">
        <is>
          <t>ÉNFASIS: Chillambo M. (CNA) / Cuero B. (ERD)</t>
        </is>
      </c>
      <c r="Y18" s="7" t="inlineStr">
        <is>
          <t>ÉNFASIS: Casanova Y. (ETR) / Quintero M. (CSI)</t>
        </is>
      </c>
      <c r="Z18" s="7" t="inlineStr">
        <is>
          <t>Ordóñez J. (CNA)</t>
        </is>
      </c>
      <c r="AA18" s="7" t="inlineStr">
        <is>
          <t>Valverde M. (CAS)</t>
        </is>
      </c>
      <c r="AB18" s="7" t="inlineStr">
        <is>
          <t>Fernández A. (TEI)</t>
        </is>
      </c>
      <c r="AC18" s="7" t="inlineStr">
        <is>
          <t>Bastidas Z. (MAT)</t>
        </is>
      </c>
      <c r="AD18" s="7" t="inlineStr">
        <is>
          <t>Meza G. (CAS)</t>
        </is>
      </c>
      <c r="AE18" s="7" t="inlineStr">
        <is>
          <t>Samaniego F. (ART)</t>
        </is>
      </c>
      <c r="AF18" s="7" t="inlineStr">
        <is>
          <t>Ortiz A. (CSI)</t>
        </is>
      </c>
      <c r="AG18" s="7" t="inlineStr">
        <is>
          <t>González J. (ERD)</t>
        </is>
      </c>
      <c r="AH18" s="7" t="inlineStr">
        <is>
          <t>Villota H. (CNA)</t>
        </is>
      </c>
      <c r="AI18" s="7" t="inlineStr">
        <is>
          <t>Montaño L. (ETR)</t>
        </is>
      </c>
      <c r="AJ18" s="7" t="inlineStr">
        <is>
          <t>Arboleda L. (ART)</t>
        </is>
      </c>
      <c r="AK18" s="7" t="inlineStr"/>
      <c r="AL18" s="7" t="inlineStr">
        <is>
          <t>Ortiz M. (TUTORÍA PTAFI)</t>
        </is>
      </c>
    </row>
    <row r="19">
      <c r="A19" s="7" t="inlineStr">
        <is>
          <t>MIERCOLES</t>
        </is>
      </c>
      <c r="B19" s="7" t="n">
        <v>2</v>
      </c>
      <c r="C19" s="7" t="inlineStr">
        <is>
          <t>07:15-08:00</t>
        </is>
      </c>
      <c r="D19" s="7" t="inlineStr"/>
      <c r="E19" s="7" t="inlineStr"/>
      <c r="F19" s="7" t="inlineStr">
        <is>
          <t>Landázuri M. (ÁREAS MÚLTIPLES)</t>
        </is>
      </c>
      <c r="G19" s="7" t="inlineStr">
        <is>
          <t>Sinisterra A. (ÁREAS MÚLTIPLES)</t>
        </is>
      </c>
      <c r="H19" s="7" t="inlineStr">
        <is>
          <t>Cortés M. (ÁREAS MÚLTIPLES)</t>
        </is>
      </c>
      <c r="I19" s="7" t="inlineStr">
        <is>
          <t>Garzón S. (ÁREAS MÚLTIPLES)</t>
        </is>
      </c>
      <c r="J19" s="7" t="inlineStr">
        <is>
          <t>Tenorio L. (ÁREAS MÚLTIPLES)</t>
        </is>
      </c>
      <c r="K19" s="7" t="inlineStr">
        <is>
          <t>Torres E. (ÁREAS MÚLTIPLES)</t>
        </is>
      </c>
      <c r="L19" s="7" t="inlineStr">
        <is>
          <t>Landázuri T. (ÁREAS MÚLTIPLES)</t>
        </is>
      </c>
      <c r="M19" s="7" t="inlineStr">
        <is>
          <t>Zamora C. (ÁREAS MÚLTIPLES)</t>
        </is>
      </c>
      <c r="N19" s="7" t="inlineStr">
        <is>
          <t>Núñez E. (ÁREAS MÚLTIPLES)</t>
        </is>
      </c>
      <c r="O19" s="7" t="inlineStr">
        <is>
          <t>Cuéllar N. (ÁREAS MÚLTIPLES)</t>
        </is>
      </c>
      <c r="P19" s="7" t="inlineStr">
        <is>
          <t>Centeno C. (ÁREAS MÚLTIPLES)</t>
        </is>
      </c>
      <c r="Q19" s="7" t="inlineStr">
        <is>
          <t>Narváez D. (ÁREAS MÚLTIPLES)</t>
        </is>
      </c>
      <c r="R19" s="7" t="inlineStr">
        <is>
          <t>Escobar L. (ÁREAS MÚLTIPLES)</t>
        </is>
      </c>
      <c r="S19" s="7" t="inlineStr">
        <is>
          <t>Prado G. (ART)</t>
        </is>
      </c>
      <c r="T19" s="7" t="inlineStr">
        <is>
          <t>Armero J. (ERD)</t>
        </is>
      </c>
      <c r="U19" s="7" t="inlineStr">
        <is>
          <t>ÉNFASIS: García S. (CSI) / Lozano A. (ETR)</t>
        </is>
      </c>
      <c r="V19" s="7" t="inlineStr">
        <is>
          <t>ÉNFASIS: Aguirre J. (TEI) / Vásquez S. (MAT)</t>
        </is>
      </c>
      <c r="W19" s="7" t="inlineStr">
        <is>
          <t>ÉNFASIS: Castillo D. (CAS) / Puches A. (ART)</t>
        </is>
      </c>
      <c r="X19" s="7" t="inlineStr">
        <is>
          <t>ÉNFASIS: Chillambo M. (CNA) / Cuero B. (ERD)</t>
        </is>
      </c>
      <c r="Y19" s="7" t="inlineStr">
        <is>
          <t>ÉNFASIS: Casanova Y. (ETR) / Quintero M. (CSI)</t>
        </is>
      </c>
      <c r="Z19" s="7" t="inlineStr">
        <is>
          <t>Ordóñez J. (CNA)</t>
        </is>
      </c>
      <c r="AA19" s="7" t="inlineStr">
        <is>
          <t>Valverde M. (CAS)</t>
        </is>
      </c>
      <c r="AB19" s="7" t="inlineStr">
        <is>
          <t>Fernández A. (TEI)</t>
        </is>
      </c>
      <c r="AC19" s="7" t="inlineStr">
        <is>
          <t>Bastidas Z. (MAT)</t>
        </is>
      </c>
      <c r="AD19" s="7" t="inlineStr">
        <is>
          <t>Meza G. (CAS)</t>
        </is>
      </c>
      <c r="AE19" s="7" t="inlineStr">
        <is>
          <t>Samaniego F. (ART)</t>
        </is>
      </c>
      <c r="AF19" s="7" t="inlineStr">
        <is>
          <t>Ortiz A. (CSI)</t>
        </is>
      </c>
      <c r="AG19" s="7" t="inlineStr">
        <is>
          <t>González J. (ERD)</t>
        </is>
      </c>
      <c r="AH19" s="7" t="inlineStr">
        <is>
          <t>Villota H. (CNA)</t>
        </is>
      </c>
      <c r="AI19" s="7" t="inlineStr">
        <is>
          <t>Montaño L. (ETR)</t>
        </is>
      </c>
      <c r="AJ19" s="7" t="inlineStr">
        <is>
          <t>Arboleda L. (ART)</t>
        </is>
      </c>
      <c r="AK19" s="7" t="inlineStr">
        <is>
          <t>Casanova J. (ORIENTACIÓN ESCOLAR)</t>
        </is>
      </c>
      <c r="AL19" s="7" t="inlineStr">
        <is>
          <t>Ortiz M. (TUTORÍA PTAFI)</t>
        </is>
      </c>
    </row>
    <row r="20">
      <c r="A20" s="7" t="inlineStr">
        <is>
          <t>MIERCOLES</t>
        </is>
      </c>
      <c r="B20" s="7" t="n">
        <v>3</v>
      </c>
      <c r="C20" s="7" t="inlineStr">
        <is>
          <t>08:20-09:05</t>
        </is>
      </c>
      <c r="D20" s="7" t="inlineStr">
        <is>
          <t>Valencia G. (ÁREAS MÚLTIPLES)</t>
        </is>
      </c>
      <c r="E20" s="7" t="inlineStr">
        <is>
          <t>Martínez A. (ÁREAS MÚLTIPLES)</t>
        </is>
      </c>
      <c r="F20" s="7" t="inlineStr">
        <is>
          <t>Landázuri M. (ÁREAS MÚLTIPLES)</t>
        </is>
      </c>
      <c r="G20" s="7" t="inlineStr">
        <is>
          <t>Sinisterra A. (ÁREAS MÚLTIPLES)</t>
        </is>
      </c>
      <c r="H20" s="7" t="inlineStr">
        <is>
          <t>Cortés M. (ÁREAS MÚLTIPLES)</t>
        </is>
      </c>
      <c r="I20" s="7" t="inlineStr">
        <is>
          <t>Garzón S. (ÁREAS MÚLTIPLES)</t>
        </is>
      </c>
      <c r="J20" s="7" t="inlineStr">
        <is>
          <t>Tenorio L. (ÁREAS MÚLTIPLES)</t>
        </is>
      </c>
      <c r="K20" s="7" t="inlineStr">
        <is>
          <t>Torres E. (ÁREAS MÚLTIPLES)</t>
        </is>
      </c>
      <c r="L20" s="7" t="inlineStr">
        <is>
          <t>Landázuri T. (ÁREAS MÚLTIPLES)</t>
        </is>
      </c>
      <c r="M20" s="7" t="inlineStr">
        <is>
          <t>Zamora C. (ÁREAS MÚLTIPLES)</t>
        </is>
      </c>
      <c r="N20" s="7" t="inlineStr">
        <is>
          <t>Núñez E. (ÁREAS MÚLTIPLES)</t>
        </is>
      </c>
      <c r="O20" s="7" t="inlineStr">
        <is>
          <t>Cuéllar N. (ÁREAS MÚLTIPLES)</t>
        </is>
      </c>
      <c r="P20" s="7" t="inlineStr">
        <is>
          <t>Centeno C. (ÁREAS MÚLTIPLES)</t>
        </is>
      </c>
      <c r="Q20" s="7" t="inlineStr">
        <is>
          <t>Narváez D. (ÁREAS MÚLTIPLES)</t>
        </is>
      </c>
      <c r="R20" s="7" t="inlineStr">
        <is>
          <t>Escobar L. (ÁREAS MÚLTIPLES)</t>
        </is>
      </c>
      <c r="S20" s="7" t="inlineStr">
        <is>
          <t>Cuero H. (CAS)</t>
        </is>
      </c>
      <c r="T20" s="7" t="inlineStr">
        <is>
          <t>Prado G. (ART)</t>
        </is>
      </c>
      <c r="U20" s="7" t="inlineStr">
        <is>
          <t>Armero J. (CNA)</t>
        </is>
      </c>
      <c r="V20" s="7" t="inlineStr">
        <is>
          <t>García S. (CSI)</t>
        </is>
      </c>
      <c r="W20" s="7" t="inlineStr">
        <is>
          <t>Castillo D. (CAS)</t>
        </is>
      </c>
      <c r="X20" s="7" t="inlineStr">
        <is>
          <t>Puches A. (ART)</t>
        </is>
      </c>
      <c r="Y20" s="7" t="inlineStr">
        <is>
          <t>Ordóñez J. (CNA)</t>
        </is>
      </c>
      <c r="Z20" s="7" t="inlineStr">
        <is>
          <t>Arizala R. (ERD)</t>
        </is>
      </c>
      <c r="AA20" s="7" t="inlineStr">
        <is>
          <t>ÉNFASIS: Chillambo M. (CNA) / Cuero B. (ERD) / Samaniego F. (ART) / Valverde M. (CAS)</t>
        </is>
      </c>
      <c r="AB20" s="7" t="inlineStr">
        <is>
          <t>Ortiz A. (CSI)</t>
        </is>
      </c>
      <c r="AC20" s="7" t="inlineStr">
        <is>
          <t>Valencia S. (ART)</t>
        </is>
      </c>
      <c r="AD20" s="7" t="inlineStr">
        <is>
          <t>González J. (ERD)</t>
        </is>
      </c>
      <c r="AE20" s="7" t="inlineStr">
        <is>
          <t>Castillo M. (ETR)</t>
        </is>
      </c>
      <c r="AF20" s="7" t="inlineStr">
        <is>
          <t>ÉNFASIS: Bastidas Z. (MAT) / Betancourth Y. (CSI) / Estacio R. (ETR) / Mindineros J. (TEI)</t>
        </is>
      </c>
      <c r="AG20" s="7" t="inlineStr">
        <is>
          <t>Meza G. (CAS)</t>
        </is>
      </c>
      <c r="AH20" s="7" t="inlineStr">
        <is>
          <t>Montaño F. (CAS)</t>
        </is>
      </c>
      <c r="AI20" s="7" t="inlineStr">
        <is>
          <t>Arboleda L. (ART)</t>
        </is>
      </c>
      <c r="AJ20" s="7" t="inlineStr">
        <is>
          <t>ÉNFASIS: Angulo A. (TEI) / Montaño L. (ETR) / Pulgarín C. (CSI) / Villota J. (MAT)</t>
        </is>
      </c>
      <c r="AK20" s="7" t="inlineStr">
        <is>
          <t>Casanova J. (ORIENTACIÓN ESCOLAR) / Ponce Á. (ORIENTACIÓN ESCOLAR)</t>
        </is>
      </c>
      <c r="AL20" s="7" t="inlineStr">
        <is>
          <t>Ortiz M. (TUTORÍA PTAFI)</t>
        </is>
      </c>
    </row>
    <row r="21">
      <c r="A21" s="7" t="inlineStr">
        <is>
          <t>MIERCOLES</t>
        </is>
      </c>
      <c r="B21" s="7" t="n">
        <v>4</v>
      </c>
      <c r="C21" s="7" t="inlineStr">
        <is>
          <t>09:05-09:50</t>
        </is>
      </c>
      <c r="D21" s="7" t="inlineStr">
        <is>
          <t>Valencia G. (ÁREAS MÚLTIPLES)</t>
        </is>
      </c>
      <c r="E21" s="7" t="inlineStr">
        <is>
          <t>Martínez A. (ÁREAS MÚLTIPLES)</t>
        </is>
      </c>
      <c r="F21" s="7" t="inlineStr">
        <is>
          <t>Landázuri M. (ÁREAS MÚLTIPLES)</t>
        </is>
      </c>
      <c r="G21" s="7" t="inlineStr">
        <is>
          <t>Sinisterra A. (ÁREAS MÚLTIPLES)</t>
        </is>
      </c>
      <c r="H21" s="7" t="inlineStr">
        <is>
          <t>Cortés M. (ÁREAS MÚLTIPLES)</t>
        </is>
      </c>
      <c r="I21" s="7" t="inlineStr">
        <is>
          <t>Garzón S. (ÁREAS MÚLTIPLES)</t>
        </is>
      </c>
      <c r="J21" s="7" t="inlineStr">
        <is>
          <t>Tenorio L. (ÁREAS MÚLTIPLES)</t>
        </is>
      </c>
      <c r="K21" s="7" t="inlineStr">
        <is>
          <t>Torres E. (ÁREAS MÚLTIPLES)</t>
        </is>
      </c>
      <c r="L21" s="7" t="inlineStr">
        <is>
          <t>Landázuri T. (ÁREAS MÚLTIPLES)</t>
        </is>
      </c>
      <c r="M21" s="7" t="inlineStr">
        <is>
          <t>Zamora C. (ÁREAS MÚLTIPLES)</t>
        </is>
      </c>
      <c r="N21" s="7" t="inlineStr">
        <is>
          <t>Núñez E. (ÁREAS MÚLTIPLES)</t>
        </is>
      </c>
      <c r="O21" s="7" t="inlineStr">
        <is>
          <t>Cuéllar N. (ÁREAS MÚLTIPLES)</t>
        </is>
      </c>
      <c r="P21" s="7" t="inlineStr">
        <is>
          <t>Centeno C. (ÁREAS MÚLTIPLES)</t>
        </is>
      </c>
      <c r="Q21" s="7" t="inlineStr">
        <is>
          <t>Narváez D. (ÁREAS MÚLTIPLES)</t>
        </is>
      </c>
      <c r="R21" s="7" t="inlineStr">
        <is>
          <t>Escobar L. (ÁREAS MÚLTIPLES)</t>
        </is>
      </c>
      <c r="S21" s="7" t="inlineStr">
        <is>
          <t>Cuero H. (CAS)</t>
        </is>
      </c>
      <c r="T21" s="7" t="inlineStr">
        <is>
          <t>Prado G. (ART)</t>
        </is>
      </c>
      <c r="U21" s="7" t="inlineStr">
        <is>
          <t>Armero J. (CNA)</t>
        </is>
      </c>
      <c r="V21" s="7" t="inlineStr">
        <is>
          <t>García S. (CSI)</t>
        </is>
      </c>
      <c r="W21" s="7" t="inlineStr">
        <is>
          <t>Castillo D. (CAS)</t>
        </is>
      </c>
      <c r="X21" s="7" t="inlineStr">
        <is>
          <t>Puches A. (ART)</t>
        </is>
      </c>
      <c r="Y21" s="7" t="inlineStr">
        <is>
          <t>Ordóñez J. (CNA)</t>
        </is>
      </c>
      <c r="Z21" s="7" t="inlineStr">
        <is>
          <t>Arizala R. (ERD)</t>
        </is>
      </c>
      <c r="AA21" s="7" t="inlineStr">
        <is>
          <t>ÉNFASIS: Chillambo M. (CNA) / Cuero B. (ERD) / Samaniego F. (ART) / Valverde M. (CAS)</t>
        </is>
      </c>
      <c r="AB21" s="7" t="inlineStr">
        <is>
          <t>Ortiz A. (CSI)</t>
        </is>
      </c>
      <c r="AC21" s="7" t="inlineStr">
        <is>
          <t>Valencia S. (ART)</t>
        </is>
      </c>
      <c r="AD21" s="7" t="inlineStr">
        <is>
          <t>González J. (ERD)</t>
        </is>
      </c>
      <c r="AE21" s="7" t="inlineStr">
        <is>
          <t>Castillo M. (ETR)</t>
        </is>
      </c>
      <c r="AF21" s="7" t="inlineStr">
        <is>
          <t>ÉNFASIS: Bastidas Z. (MAT) / Betancourth Y. (CSI) / Estacio R. (ETR) / Mindineros J. (TEI)</t>
        </is>
      </c>
      <c r="AG21" s="7" t="inlineStr">
        <is>
          <t>Meza G. (CAS)</t>
        </is>
      </c>
      <c r="AH21" s="7" t="inlineStr">
        <is>
          <t>Montaño F. (CAS)</t>
        </is>
      </c>
      <c r="AI21" s="7" t="inlineStr">
        <is>
          <t>Arboleda L. (ART)</t>
        </is>
      </c>
      <c r="AJ21" s="7" t="inlineStr">
        <is>
          <t>ÉNFASIS: Angulo A. (TEI) / Montaño L. (ETR) / Pulgarín C. (CSI) / Villota J. (MAT)</t>
        </is>
      </c>
      <c r="AK21" s="7" t="inlineStr">
        <is>
          <t>Casanova J. (ORIENTACIÓN ESCOLAR) / Ponce Á. (ORIENTACIÓN ESCOLAR)</t>
        </is>
      </c>
      <c r="AL21" s="7" t="inlineStr">
        <is>
          <t>Ortiz M. (TUTORÍA PTAFI)</t>
        </is>
      </c>
    </row>
    <row r="22">
      <c r="A22" s="7" t="inlineStr">
        <is>
          <t>MIERCOLES</t>
        </is>
      </c>
      <c r="B22" s="7" t="n">
        <v>5</v>
      </c>
      <c r="C22" s="7" t="inlineStr">
        <is>
          <t>10:10-10:55</t>
        </is>
      </c>
      <c r="D22" s="7" t="inlineStr">
        <is>
          <t>Valencia G. (ÁREAS MÚLTIPLES)</t>
        </is>
      </c>
      <c r="E22" s="7" t="inlineStr">
        <is>
          <t>Martínez A. (ÁREAS MÚLTIPLES)</t>
        </is>
      </c>
      <c r="F22" s="7" t="inlineStr">
        <is>
          <t>Landázuri M. (ÁREAS MÚLTIPLES)</t>
        </is>
      </c>
      <c r="G22" s="7" t="inlineStr">
        <is>
          <t>Sinisterra A. (ÁREAS MÚLTIPLES)</t>
        </is>
      </c>
      <c r="H22" s="7" t="inlineStr">
        <is>
          <t>Cortés M. (ÁREAS MÚLTIPLES)</t>
        </is>
      </c>
      <c r="I22" s="7" t="inlineStr">
        <is>
          <t>Garzón S. (ÁREAS MÚLTIPLES)</t>
        </is>
      </c>
      <c r="J22" s="7" t="inlineStr">
        <is>
          <t>Tenorio L. (ÁREAS MÚLTIPLES)</t>
        </is>
      </c>
      <c r="K22" s="7" t="inlineStr">
        <is>
          <t>Torres E. (ÁREAS MÚLTIPLES)</t>
        </is>
      </c>
      <c r="L22" s="7" t="inlineStr">
        <is>
          <t>Landázuri T. (ÁREAS MÚLTIPLES)</t>
        </is>
      </c>
      <c r="M22" s="7" t="inlineStr">
        <is>
          <t>Zamora C. (ÁREAS MÚLTIPLES)</t>
        </is>
      </c>
      <c r="N22" s="7" t="inlineStr">
        <is>
          <t>Núñez E. (ÁREAS MÚLTIPLES)</t>
        </is>
      </c>
      <c r="O22" s="7" t="inlineStr">
        <is>
          <t>Cuéllar N. (ÁREAS MÚLTIPLES)</t>
        </is>
      </c>
      <c r="P22" s="7" t="inlineStr">
        <is>
          <t>Centeno C. (ÁREAS MÚLTIPLES)</t>
        </is>
      </c>
      <c r="Q22" s="7" t="inlineStr">
        <is>
          <t>Narváez D. (ÁREAS MÚLTIPLES)</t>
        </is>
      </c>
      <c r="R22" s="7" t="inlineStr">
        <is>
          <t>Escobar L. (ÁREAS MÚLTIPLES)</t>
        </is>
      </c>
      <c r="S22" s="7" t="inlineStr">
        <is>
          <t>Lozano A. (ETR)</t>
        </is>
      </c>
      <c r="T22" s="7" t="inlineStr">
        <is>
          <t>García S. (CSI)</t>
        </is>
      </c>
      <c r="U22" s="7" t="inlineStr">
        <is>
          <t>Armero J. (ERD)</t>
        </is>
      </c>
      <c r="V22" s="7" t="inlineStr">
        <is>
          <t>Prado G. (ART)</t>
        </is>
      </c>
      <c r="W22" s="7" t="inlineStr">
        <is>
          <t>Casanova Y. (ETR)</t>
        </is>
      </c>
      <c r="X22" s="7" t="inlineStr">
        <is>
          <t>Castillo D. (CAS)</t>
        </is>
      </c>
      <c r="Y22" s="7" t="inlineStr">
        <is>
          <t>Arizala R. (ERD)</t>
        </is>
      </c>
      <c r="Z22" s="7" t="inlineStr">
        <is>
          <t>ÉNFASIS: Aguirre J. (TEI) / Vásquez S. (MAT)</t>
        </is>
      </c>
      <c r="AA22" s="7" t="inlineStr">
        <is>
          <t>Samaniego F. (ART)</t>
        </is>
      </c>
      <c r="AB22" s="7" t="inlineStr">
        <is>
          <t>ÉNFASIS: Castillo M. (ETR) / Fernández A. (TEI) / Ortiz A. (CSI) / Preciado O. (MAT)</t>
        </is>
      </c>
      <c r="AC22" s="7" t="inlineStr">
        <is>
          <t>Lemos M. (CNA)</t>
        </is>
      </c>
      <c r="AD22" s="7" t="inlineStr">
        <is>
          <t>Valencia S. (ART)</t>
        </is>
      </c>
      <c r="AE22" s="7" t="inlineStr">
        <is>
          <t>Valverde M. (CAS)</t>
        </is>
      </c>
      <c r="AF22" s="7" t="inlineStr">
        <is>
          <t>Chillambo M. (CNA)</t>
        </is>
      </c>
      <c r="AG22" s="7" t="inlineStr">
        <is>
          <t>Bastidas Z. (MAT)</t>
        </is>
      </c>
      <c r="AH22" s="7" t="inlineStr">
        <is>
          <t>Villota J. (MAT)</t>
        </is>
      </c>
      <c r="AI22" s="7" t="inlineStr">
        <is>
          <t>ÉNFASIS: Arboleda L. (ART) / Montaño F. (CAS) / Ramírez J. (ERD) / Villota H. (CNA)</t>
        </is>
      </c>
      <c r="AJ22" s="7" t="inlineStr">
        <is>
          <t>Angulo A. (TEI)</t>
        </is>
      </c>
      <c r="AK22" s="7" t="inlineStr">
        <is>
          <t>Casanova J. (ORIENTACIÓN ESCOLAR) / Ponce Á. (ORIENTACIÓN ESCOLAR)</t>
        </is>
      </c>
      <c r="AL22" s="7" t="inlineStr">
        <is>
          <t>Ortiz M. (TUTORÍA PTAFI)</t>
        </is>
      </c>
    </row>
    <row r="23">
      <c r="A23" s="7" t="inlineStr">
        <is>
          <t>MIERCOLES</t>
        </is>
      </c>
      <c r="B23" s="7" t="n">
        <v>6</v>
      </c>
      <c r="C23" s="7" t="inlineStr">
        <is>
          <t>10:55-11:40</t>
        </is>
      </c>
      <c r="D23" s="7" t="inlineStr">
        <is>
          <t>Valencia G. (ÁREAS MÚLTIPLES)</t>
        </is>
      </c>
      <c r="E23" s="7" t="inlineStr">
        <is>
          <t>Martínez A. (ÁREAS MÚLTIPLES)</t>
        </is>
      </c>
      <c r="F23" s="7" t="inlineStr">
        <is>
          <t>Landázuri M. (ÁREAS MÚLTIPLES)</t>
        </is>
      </c>
      <c r="G23" s="7" t="inlineStr">
        <is>
          <t>Sinisterra A. (ÁREAS MÚLTIPLES)</t>
        </is>
      </c>
      <c r="H23" s="7" t="inlineStr">
        <is>
          <t>Cortés M. (ÁREAS MÚLTIPLES)</t>
        </is>
      </c>
      <c r="I23" s="7" t="inlineStr">
        <is>
          <t>Garzón S. (ÁREAS MÚLTIPLES)</t>
        </is>
      </c>
      <c r="J23" s="7" t="inlineStr">
        <is>
          <t>Tenorio L. (ÁREAS MÚLTIPLES)</t>
        </is>
      </c>
      <c r="K23" s="7" t="inlineStr">
        <is>
          <t>Torres E. (ÁREAS MÚLTIPLES)</t>
        </is>
      </c>
      <c r="L23" s="7" t="inlineStr">
        <is>
          <t>Landázuri T. (ÁREAS MÚLTIPLES)</t>
        </is>
      </c>
      <c r="M23" s="7" t="inlineStr">
        <is>
          <t>Zamora C. (ÁREAS MÚLTIPLES)</t>
        </is>
      </c>
      <c r="N23" s="7" t="inlineStr">
        <is>
          <t>Núñez E. (ÁREAS MÚLTIPLES)</t>
        </is>
      </c>
      <c r="O23" s="7" t="inlineStr">
        <is>
          <t>Cuéllar N. (ÁREAS MÚLTIPLES)</t>
        </is>
      </c>
      <c r="P23" s="7" t="inlineStr">
        <is>
          <t>Centeno C. (ÁREAS MÚLTIPLES)</t>
        </is>
      </c>
      <c r="Q23" s="7" t="inlineStr">
        <is>
          <t>Narváez D. (ÁREAS MÚLTIPLES)</t>
        </is>
      </c>
      <c r="R23" s="7" t="inlineStr">
        <is>
          <t>Escobar L. (ÁREAS MÚLTIPLES)</t>
        </is>
      </c>
      <c r="S23" s="7" t="inlineStr">
        <is>
          <t>Lozano A. (ETR)</t>
        </is>
      </c>
      <c r="T23" s="7" t="inlineStr">
        <is>
          <t>García S. (CSI)</t>
        </is>
      </c>
      <c r="U23" s="7" t="inlineStr">
        <is>
          <t>Armero J. (ERD)</t>
        </is>
      </c>
      <c r="V23" s="7" t="inlineStr">
        <is>
          <t>Prado G. (ART)</t>
        </is>
      </c>
      <c r="W23" s="7" t="inlineStr">
        <is>
          <t>Casanova Y. (ETR)</t>
        </is>
      </c>
      <c r="X23" s="7" t="inlineStr">
        <is>
          <t>Castillo D. (CAS)</t>
        </is>
      </c>
      <c r="Y23" s="7" t="inlineStr">
        <is>
          <t>Arizala R. (ERD)</t>
        </is>
      </c>
      <c r="Z23" s="7" t="inlineStr">
        <is>
          <t>ÉNFASIS: Aguirre J. (TEI) / Vásquez S. (MAT)</t>
        </is>
      </c>
      <c r="AA23" s="7" t="inlineStr">
        <is>
          <t>Samaniego F. (ART)</t>
        </is>
      </c>
      <c r="AB23" s="7" t="inlineStr">
        <is>
          <t>ÉNFASIS: Castillo M. (ETR) / Fernández A. (TEI) / Ortiz A. (CSI) / Preciado O. (MAT)</t>
        </is>
      </c>
      <c r="AC23" s="7" t="inlineStr">
        <is>
          <t>Lemos M. (CNA)</t>
        </is>
      </c>
      <c r="AD23" s="7" t="inlineStr">
        <is>
          <t>Valencia S. (ART)</t>
        </is>
      </c>
      <c r="AE23" s="7" t="inlineStr">
        <is>
          <t>Valverde M. (CAS)</t>
        </is>
      </c>
      <c r="AF23" s="7" t="inlineStr">
        <is>
          <t>Chillambo M. (CNA)</t>
        </is>
      </c>
      <c r="AG23" s="7" t="inlineStr">
        <is>
          <t>Bastidas Z. (MAT)</t>
        </is>
      </c>
      <c r="AH23" s="7" t="inlineStr">
        <is>
          <t>Villota J. (MAT)</t>
        </is>
      </c>
      <c r="AI23" s="7" t="inlineStr">
        <is>
          <t>ÉNFASIS: Arboleda L. (ART) / Montaño F. (CAS) / Ramírez J. (ERD) / Villota H. (CNA)</t>
        </is>
      </c>
      <c r="AJ23" s="7" t="inlineStr">
        <is>
          <t>Angulo A. (TEI)</t>
        </is>
      </c>
      <c r="AK23" s="7" t="inlineStr">
        <is>
          <t>Casanova J. (ORIENTACIÓN ESCOLAR) / Ponce Á. (ORIENTACIÓN ESCOLAR)</t>
        </is>
      </c>
      <c r="AL23" s="7" t="inlineStr">
        <is>
          <t>Ortiz M. (TUTORÍA PTAFI)</t>
        </is>
      </c>
    </row>
    <row r="24">
      <c r="A24" s="7" t="inlineStr">
        <is>
          <t>MIERCOLES</t>
        </is>
      </c>
      <c r="B24" s="7" t="n">
        <v>7</v>
      </c>
      <c r="C24" s="7" t="inlineStr">
        <is>
          <t>12:00-12:45</t>
        </is>
      </c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>
        <is>
          <t>ÉNFASIS: Castillo D. (CAS) / Puches A. (ART)</t>
        </is>
      </c>
      <c r="T24" s="7" t="inlineStr">
        <is>
          <t>ÉNFASIS: Ordóñez J. (CNA) / Arizala R. (ERD)</t>
        </is>
      </c>
      <c r="U24" s="7" t="inlineStr">
        <is>
          <t>Quiñones M. (TEI)</t>
        </is>
      </c>
      <c r="V24" s="7" t="inlineStr">
        <is>
          <t>Lozano A. (ETR)</t>
        </is>
      </c>
      <c r="W24" s="7" t="inlineStr">
        <is>
          <t>Quintero M. (CSI)</t>
        </is>
      </c>
      <c r="X24" s="7" t="inlineStr">
        <is>
          <t>Casanova Y. (ETR)</t>
        </is>
      </c>
      <c r="Y24" s="7" t="inlineStr">
        <is>
          <t>Vásquez S. (MAT)</t>
        </is>
      </c>
      <c r="Z24" s="7" t="inlineStr">
        <is>
          <t>Aguirre J. (TEI)</t>
        </is>
      </c>
      <c r="AA24" s="7" t="inlineStr">
        <is>
          <t>Castillo M. (ETR)</t>
        </is>
      </c>
      <c r="AB24" s="7" t="inlineStr">
        <is>
          <t>Samaniego F. (ART)</t>
        </is>
      </c>
      <c r="AC24" s="7" t="inlineStr">
        <is>
          <t>ÉNFASIS: González J. (ERD) / Lemos M. (CNA) / Meza G. (CAS) / Valencia S. (ART)</t>
        </is>
      </c>
      <c r="AD24" s="7" t="inlineStr">
        <is>
          <t>ÉNFASIS: Bastidas Z. (MAT) / Betancourth Y. (CSI) / Estacio R. (ETR) / Mindineros J. (TEI)</t>
        </is>
      </c>
      <c r="AE24" s="7" t="inlineStr">
        <is>
          <t>Cuero B. (ERD)</t>
        </is>
      </c>
      <c r="AF24" s="7" t="inlineStr">
        <is>
          <t>Preciado O. (MAT)</t>
        </is>
      </c>
      <c r="AG24" s="7" t="inlineStr">
        <is>
          <t>ÉNFASIS: Arboleda L. (ART) / Montaño F. (CAS) / Ramírez J. (ERD) / Villota H. (CNA)</t>
        </is>
      </c>
      <c r="AH24" s="7" t="inlineStr">
        <is>
          <t>Montaño L. (ETR)</t>
        </is>
      </c>
      <c r="AI24" s="7" t="inlineStr">
        <is>
          <t>Pulgarín C. (CSI)</t>
        </is>
      </c>
      <c r="AJ24" s="7" t="inlineStr">
        <is>
          <t>Villota J. (MAT)</t>
        </is>
      </c>
      <c r="AK24" s="7" t="inlineStr">
        <is>
          <t>Casanova J. (ORIENTACIÓN ESCOLAR) / Ponce Á. (ORIENTACIÓN ESCOLAR)</t>
        </is>
      </c>
      <c r="AL24" s="7" t="inlineStr"/>
    </row>
    <row r="25">
      <c r="A25" s="7" t="inlineStr">
        <is>
          <t>MIERCOLES</t>
        </is>
      </c>
      <c r="B25" s="7" t="n">
        <v>8</v>
      </c>
      <c r="C25" s="7" t="inlineStr">
        <is>
          <t>12:45-13:30</t>
        </is>
      </c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>
        <is>
          <t>ÉNFASIS: Castillo D. (CAS) / Puches A. (ART)</t>
        </is>
      </c>
      <c r="T25" s="7" t="inlineStr">
        <is>
          <t>ÉNFASIS: Ordóñez J. (CNA) / Arizala R. (ERD)</t>
        </is>
      </c>
      <c r="U25" s="7" t="inlineStr">
        <is>
          <t>Quiñones M. (TEI)</t>
        </is>
      </c>
      <c r="V25" s="7" t="inlineStr">
        <is>
          <t>Lozano A. (ETR)</t>
        </is>
      </c>
      <c r="W25" s="7" t="inlineStr">
        <is>
          <t>Quintero M. (CSI)</t>
        </is>
      </c>
      <c r="X25" s="7" t="inlineStr">
        <is>
          <t>Casanova Y. (ETR)</t>
        </is>
      </c>
      <c r="Y25" s="7" t="inlineStr">
        <is>
          <t>Vásquez S. (MAT)</t>
        </is>
      </c>
      <c r="Z25" s="7" t="inlineStr">
        <is>
          <t>Aguirre J. (TEI)</t>
        </is>
      </c>
      <c r="AA25" s="7" t="inlineStr">
        <is>
          <t>Castillo M. (ETR)</t>
        </is>
      </c>
      <c r="AB25" s="7" t="inlineStr">
        <is>
          <t>Samaniego F. (ART)</t>
        </is>
      </c>
      <c r="AC25" s="7" t="inlineStr">
        <is>
          <t>ÉNFASIS: González J. (ERD) / Lemos M. (CNA) / Meza G. (CAS) / Valencia S. (ART)</t>
        </is>
      </c>
      <c r="AD25" s="7" t="inlineStr">
        <is>
          <t>ÉNFASIS: Bastidas Z. (MAT) / Betancourth Y. (CSI) / Estacio R. (ETR) / Mindineros J. (TEI)</t>
        </is>
      </c>
      <c r="AE25" s="7" t="inlineStr">
        <is>
          <t>Cuero B. (ERD)</t>
        </is>
      </c>
      <c r="AF25" s="7" t="inlineStr">
        <is>
          <t>Preciado O. (MAT)</t>
        </is>
      </c>
      <c r="AG25" s="7" t="inlineStr">
        <is>
          <t>ÉNFASIS: Arboleda L. (ART) / Montaño F. (CAS) / Ramírez J. (ERD) / Villota H. (CNA)</t>
        </is>
      </c>
      <c r="AH25" s="7" t="inlineStr">
        <is>
          <t>Montaño L. (ETR)</t>
        </is>
      </c>
      <c r="AI25" s="7" t="inlineStr">
        <is>
          <t>Pulgarín C. (CSI)</t>
        </is>
      </c>
      <c r="AJ25" s="7" t="inlineStr">
        <is>
          <t>Villota J. (MAT)</t>
        </is>
      </c>
      <c r="AK25" s="7" t="inlineStr">
        <is>
          <t>Casanova J. (ORIENTACIÓN ESCOLAR) / Ponce Á. (ORIENTACIÓN ESCOLAR)</t>
        </is>
      </c>
      <c r="AL25" s="7" t="inlineStr"/>
    </row>
    <row r="26">
      <c r="A26" s="7" t="inlineStr">
        <is>
          <t>JUEVES</t>
        </is>
      </c>
      <c r="B26" s="7" t="n">
        <v>1</v>
      </c>
      <c r="C26" s="7" t="inlineStr">
        <is>
          <t>06:30-07:15</t>
        </is>
      </c>
      <c r="D26" s="7" t="inlineStr"/>
      <c r="E26" s="7" t="inlineStr"/>
      <c r="F26" s="7" t="inlineStr">
        <is>
          <t>Landázuri M. (ÁREAS MÚLTIPLES)</t>
        </is>
      </c>
      <c r="G26" s="7" t="inlineStr">
        <is>
          <t>Sinisterra A. (ÁREAS MÚLTIPLES)</t>
        </is>
      </c>
      <c r="H26" s="7" t="inlineStr">
        <is>
          <t>Cortés M. (ÁREAS MÚLTIPLES)</t>
        </is>
      </c>
      <c r="I26" s="7" t="inlineStr">
        <is>
          <t>Garzón S. (ÁREAS MÚLTIPLES)</t>
        </is>
      </c>
      <c r="J26" s="7" t="inlineStr">
        <is>
          <t>Tenorio L. (ÁREAS MÚLTIPLES)</t>
        </is>
      </c>
      <c r="K26" s="7" t="inlineStr">
        <is>
          <t>Torres E. (ÁREAS MÚLTIPLES)</t>
        </is>
      </c>
      <c r="L26" s="7" t="inlineStr">
        <is>
          <t>Landázuri T. (ÁREAS MÚLTIPLES)</t>
        </is>
      </c>
      <c r="M26" s="7" t="inlineStr">
        <is>
          <t>Zamora C. (ÁREAS MÚLTIPLES)</t>
        </is>
      </c>
      <c r="N26" s="7" t="inlineStr">
        <is>
          <t>Núñez E. (ÁREAS MÚLTIPLES)</t>
        </is>
      </c>
      <c r="O26" s="7" t="inlineStr">
        <is>
          <t>Cuéllar N. (ÁREAS MÚLTIPLES)</t>
        </is>
      </c>
      <c r="P26" s="7" t="inlineStr">
        <is>
          <t>Centeno C. (ÁREAS MÚLTIPLES)</t>
        </is>
      </c>
      <c r="Q26" s="7" t="inlineStr">
        <is>
          <t>Narváez D. (ÁREAS MÚLTIPLES)</t>
        </is>
      </c>
      <c r="R26" s="7" t="inlineStr">
        <is>
          <t>Escobar L. (ÁREAS MÚLTIPLES)</t>
        </is>
      </c>
      <c r="S26" s="7" t="inlineStr">
        <is>
          <t>Quiñones M. (MAT)</t>
        </is>
      </c>
      <c r="T26" s="7" t="inlineStr">
        <is>
          <t>Cuero H. (TEI)</t>
        </is>
      </c>
      <c r="U26" s="7" t="inlineStr">
        <is>
          <t>ÉNFASIS: García S. (CSI) / Lozano A. (ETR)</t>
        </is>
      </c>
      <c r="V26" s="7" t="inlineStr">
        <is>
          <t>ÉNFASIS: Aguirre J. (TEI) / Vásquez S. (MAT)</t>
        </is>
      </c>
      <c r="W26" s="7" t="inlineStr">
        <is>
          <t>ÉNFASIS: Samaniego F. (ART) / Valverde M. (CAS)</t>
        </is>
      </c>
      <c r="X26" s="7" t="inlineStr">
        <is>
          <t>ÉNFASIS: Ordóñez J. (CNA) / Arizala R. (ERD)</t>
        </is>
      </c>
      <c r="Y26" s="7" t="inlineStr">
        <is>
          <t>ÉNFASIS: Casanova Y. (ETR) / Quintero M. (CSI)</t>
        </is>
      </c>
      <c r="Z26" s="7" t="inlineStr">
        <is>
          <t>Castillo D. (CAS)</t>
        </is>
      </c>
      <c r="AA26" s="7" t="inlineStr">
        <is>
          <t>Fernández A. (TEI)</t>
        </is>
      </c>
      <c r="AB26" s="7" t="inlineStr">
        <is>
          <t>Ortiz A. (CSI)</t>
        </is>
      </c>
      <c r="AC26" s="7" t="inlineStr">
        <is>
          <t>González J. (ERD)</t>
        </is>
      </c>
      <c r="AD26" s="7" t="inlineStr">
        <is>
          <t>ÉNFASIS: Bastidas Z. (MAT) / Betancourth Y. (CSI) / Estacio R. (ETR) / Mindineros J. (TEI)</t>
        </is>
      </c>
      <c r="AE26" s="7" t="inlineStr">
        <is>
          <t>Preciado O. (MAT)</t>
        </is>
      </c>
      <c r="AF26" s="7" t="inlineStr">
        <is>
          <t>Castillo M. (ETR)</t>
        </is>
      </c>
      <c r="AG26" s="7" t="inlineStr">
        <is>
          <t>Meza G. (CAS)</t>
        </is>
      </c>
      <c r="AH26" s="7" t="inlineStr">
        <is>
          <t>Ramírez J. (ERD)</t>
        </is>
      </c>
      <c r="AI26" s="7" t="inlineStr">
        <is>
          <t>Angulo A. (TEI)</t>
        </is>
      </c>
      <c r="AJ26" s="7" t="inlineStr">
        <is>
          <t>Villota H. (CNA)</t>
        </is>
      </c>
      <c r="AK26" s="7" t="inlineStr"/>
      <c r="AL26" s="7" t="inlineStr">
        <is>
          <t>Ortiz M. (TUTORÍA PTAFI)</t>
        </is>
      </c>
    </row>
    <row r="27">
      <c r="A27" s="7" t="inlineStr">
        <is>
          <t>JUEVES</t>
        </is>
      </c>
      <c r="B27" s="7" t="n">
        <v>2</v>
      </c>
      <c r="C27" s="7" t="inlineStr">
        <is>
          <t>07:15-08:00</t>
        </is>
      </c>
      <c r="D27" s="7" t="inlineStr"/>
      <c r="E27" s="7" t="inlineStr"/>
      <c r="F27" s="7" t="inlineStr">
        <is>
          <t>Landázuri M. (ÁREAS MÚLTIPLES)</t>
        </is>
      </c>
      <c r="G27" s="7" t="inlineStr">
        <is>
          <t>Sinisterra A. (ÁREAS MÚLTIPLES)</t>
        </is>
      </c>
      <c r="H27" s="7" t="inlineStr">
        <is>
          <t>Cortés M. (ÁREAS MÚLTIPLES)</t>
        </is>
      </c>
      <c r="I27" s="7" t="inlineStr">
        <is>
          <t>Garzón S. (ÁREAS MÚLTIPLES)</t>
        </is>
      </c>
      <c r="J27" s="7" t="inlineStr">
        <is>
          <t>Tenorio L. (ÁREAS MÚLTIPLES)</t>
        </is>
      </c>
      <c r="K27" s="7" t="inlineStr">
        <is>
          <t>Torres E. (ÁREAS MÚLTIPLES)</t>
        </is>
      </c>
      <c r="L27" s="7" t="inlineStr">
        <is>
          <t>Landázuri T. (ÁREAS MÚLTIPLES)</t>
        </is>
      </c>
      <c r="M27" s="7" t="inlineStr">
        <is>
          <t>Zamora C. (ÁREAS MÚLTIPLES)</t>
        </is>
      </c>
      <c r="N27" s="7" t="inlineStr">
        <is>
          <t>Núñez E. (ÁREAS MÚLTIPLES)</t>
        </is>
      </c>
      <c r="O27" s="7" t="inlineStr">
        <is>
          <t>Cuéllar N. (ÁREAS MÚLTIPLES)</t>
        </is>
      </c>
      <c r="P27" s="7" t="inlineStr">
        <is>
          <t>Centeno C. (ÁREAS MÚLTIPLES)</t>
        </is>
      </c>
      <c r="Q27" s="7" t="inlineStr">
        <is>
          <t>Narváez D. (ÁREAS MÚLTIPLES)</t>
        </is>
      </c>
      <c r="R27" s="7" t="inlineStr">
        <is>
          <t>Escobar L. (ÁREAS MÚLTIPLES)</t>
        </is>
      </c>
      <c r="S27" s="7" t="inlineStr">
        <is>
          <t>Quiñones M. (MAT)</t>
        </is>
      </c>
      <c r="T27" s="7" t="inlineStr">
        <is>
          <t>Cuero H. (TEI)</t>
        </is>
      </c>
      <c r="U27" s="7" t="inlineStr">
        <is>
          <t>ÉNFASIS: García S. (CSI) / Lozano A. (ETR)</t>
        </is>
      </c>
      <c r="V27" s="7" t="inlineStr">
        <is>
          <t>ÉNFASIS: Aguirre J. (TEI) / Vásquez S. (MAT)</t>
        </is>
      </c>
      <c r="W27" s="7" t="inlineStr">
        <is>
          <t>ÉNFASIS: Samaniego F. (ART) / Valverde M. (CAS)</t>
        </is>
      </c>
      <c r="X27" s="7" t="inlineStr">
        <is>
          <t>ÉNFASIS: Ordóñez J. (CNA) / Arizala R. (ERD)</t>
        </is>
      </c>
      <c r="Y27" s="7" t="inlineStr">
        <is>
          <t>ÉNFASIS: Casanova Y. (ETR) / Quintero M. (CSI)</t>
        </is>
      </c>
      <c r="Z27" s="7" t="inlineStr">
        <is>
          <t>Castillo D. (CAS)</t>
        </is>
      </c>
      <c r="AA27" s="7" t="inlineStr">
        <is>
          <t>Fernández A. (TEI)</t>
        </is>
      </c>
      <c r="AB27" s="7" t="inlineStr">
        <is>
          <t>Ortiz A. (CSI)</t>
        </is>
      </c>
      <c r="AC27" s="7" t="inlineStr">
        <is>
          <t>González J. (ERD)</t>
        </is>
      </c>
      <c r="AD27" s="7" t="inlineStr">
        <is>
          <t>ÉNFASIS: Bastidas Z. (MAT) / Betancourth Y. (CSI) / Estacio R. (ETR) / Mindineros J. (TEI)</t>
        </is>
      </c>
      <c r="AE27" s="7" t="inlineStr">
        <is>
          <t>Preciado O. (MAT)</t>
        </is>
      </c>
      <c r="AF27" s="7" t="inlineStr">
        <is>
          <t>Castillo M. (ETR)</t>
        </is>
      </c>
      <c r="AG27" s="7" t="inlineStr">
        <is>
          <t>Meza G. (CAS)</t>
        </is>
      </c>
      <c r="AH27" s="7" t="inlineStr">
        <is>
          <t>Ramírez J. (ERD)</t>
        </is>
      </c>
      <c r="AI27" s="7" t="inlineStr">
        <is>
          <t>Angulo A. (TEI)</t>
        </is>
      </c>
      <c r="AJ27" s="7" t="inlineStr">
        <is>
          <t>Villota H. (CNA)</t>
        </is>
      </c>
      <c r="AK27" s="7" t="inlineStr">
        <is>
          <t>Casanova J. (ORIENTACIÓN ESCOLAR)</t>
        </is>
      </c>
      <c r="AL27" s="7" t="inlineStr">
        <is>
          <t>Ortiz M. (TUTORÍA PTAFI)</t>
        </is>
      </c>
    </row>
    <row r="28">
      <c r="A28" s="7" t="inlineStr">
        <is>
          <t>JUEVES</t>
        </is>
      </c>
      <c r="B28" s="7" t="n">
        <v>3</v>
      </c>
      <c r="C28" s="7" t="inlineStr">
        <is>
          <t>08:20-09:05</t>
        </is>
      </c>
      <c r="D28" s="7" t="inlineStr">
        <is>
          <t>Valencia G. (ÁREAS MÚLTIPLES)</t>
        </is>
      </c>
      <c r="E28" s="7" t="inlineStr">
        <is>
          <t>Martínez A. (ÁREAS MÚLTIPLES)</t>
        </is>
      </c>
      <c r="F28" s="7" t="inlineStr">
        <is>
          <t>Landázuri M. (ÁREAS MÚLTIPLES)</t>
        </is>
      </c>
      <c r="G28" s="7" t="inlineStr">
        <is>
          <t>Sinisterra A. (ÁREAS MÚLTIPLES)</t>
        </is>
      </c>
      <c r="H28" s="7" t="inlineStr">
        <is>
          <t>Cortés M. (ÁREAS MÚLTIPLES)</t>
        </is>
      </c>
      <c r="I28" s="7" t="inlineStr">
        <is>
          <t>Garzón S. (ÁREAS MÚLTIPLES)</t>
        </is>
      </c>
      <c r="J28" s="7" t="inlineStr">
        <is>
          <t>Tenorio L. (ÁREAS MÚLTIPLES)</t>
        </is>
      </c>
      <c r="K28" s="7" t="inlineStr">
        <is>
          <t>Torres E. (ÁREAS MÚLTIPLES)</t>
        </is>
      </c>
      <c r="L28" s="7" t="inlineStr">
        <is>
          <t>Landázuri T. (ÁREAS MÚLTIPLES)</t>
        </is>
      </c>
      <c r="M28" s="7" t="inlineStr">
        <is>
          <t>Zamora C. (ÁREAS MÚLTIPLES)</t>
        </is>
      </c>
      <c r="N28" s="7" t="inlineStr">
        <is>
          <t>Núñez E. (ÁREAS MÚLTIPLES)</t>
        </is>
      </c>
      <c r="O28" s="7" t="inlineStr">
        <is>
          <t>Cuéllar N. (ÁREAS MÚLTIPLES)</t>
        </is>
      </c>
      <c r="P28" s="7" t="inlineStr">
        <is>
          <t>Centeno C. (ÁREAS MÚLTIPLES)</t>
        </is>
      </c>
      <c r="Q28" s="7" t="inlineStr">
        <is>
          <t>Narváez D. (ÁREAS MÚLTIPLES)</t>
        </is>
      </c>
      <c r="R28" s="7" t="inlineStr">
        <is>
          <t>Escobar L. (ÁREAS MÚLTIPLES)</t>
        </is>
      </c>
      <c r="S28" s="7" t="inlineStr">
        <is>
          <t>Armero J. (ERD)</t>
        </is>
      </c>
      <c r="T28" s="7" t="inlineStr">
        <is>
          <t>Lozano A. (ETR)</t>
        </is>
      </c>
      <c r="U28" s="7" t="inlineStr">
        <is>
          <t>Prado G. (ART)</t>
        </is>
      </c>
      <c r="V28" s="7" t="inlineStr">
        <is>
          <t>Quiñones M. (TEI)</t>
        </is>
      </c>
      <c r="W28" s="7" t="inlineStr">
        <is>
          <t>Arizala R. (ERD)</t>
        </is>
      </c>
      <c r="X28" s="7" t="inlineStr">
        <is>
          <t>Vásquez S. (MAT)</t>
        </is>
      </c>
      <c r="Y28" s="7" t="inlineStr">
        <is>
          <t>Quintero M. (CSI)</t>
        </is>
      </c>
      <c r="Z28" s="7" t="inlineStr">
        <is>
          <t>Casanova Y. (ETR)</t>
        </is>
      </c>
      <c r="AA28" s="7" t="inlineStr">
        <is>
          <t>Samaniego F. (ART)</t>
        </is>
      </c>
      <c r="AB28" s="7" t="inlineStr">
        <is>
          <t>Cuero B. (ERD)</t>
        </is>
      </c>
      <c r="AC28" s="7" t="inlineStr">
        <is>
          <t>Bastidas Z. (MAT)</t>
        </is>
      </c>
      <c r="AD28" s="7" t="inlineStr">
        <is>
          <t>Meza G. (CAS)</t>
        </is>
      </c>
      <c r="AE28" s="7" t="inlineStr">
        <is>
          <t>Castillo M. (ETR)</t>
        </is>
      </c>
      <c r="AF28" s="7" t="inlineStr">
        <is>
          <t>Valverde M. (CAS)</t>
        </is>
      </c>
      <c r="AG28" s="7" t="inlineStr">
        <is>
          <t>Estacio R. (ETR)</t>
        </is>
      </c>
      <c r="AH28" s="7" t="inlineStr">
        <is>
          <t>Pulgarín C. (CSI)</t>
        </is>
      </c>
      <c r="AI28" s="7" t="inlineStr">
        <is>
          <t>ÉNFASIS: Arboleda L. (ART) / Montaño F. (CAS) / Ramírez J. (ERD) / Villota H. (CNA)</t>
        </is>
      </c>
      <c r="AJ28" s="7" t="inlineStr">
        <is>
          <t>Villota J. (MAT)</t>
        </is>
      </c>
      <c r="AK28" s="7" t="inlineStr">
        <is>
          <t>Casanova J. (ORIENTACIÓN ESCOLAR) / Ponce Á. (ORIENTACIÓN ESCOLAR)</t>
        </is>
      </c>
      <c r="AL28" s="7" t="inlineStr">
        <is>
          <t>Ortiz M. (TUTORÍA PTAFI)</t>
        </is>
      </c>
    </row>
    <row r="29">
      <c r="A29" s="7" t="inlineStr">
        <is>
          <t>JUEVES</t>
        </is>
      </c>
      <c r="B29" s="7" t="n">
        <v>4</v>
      </c>
      <c r="C29" s="7" t="inlineStr">
        <is>
          <t>09:05-09:50</t>
        </is>
      </c>
      <c r="D29" s="7" t="inlineStr">
        <is>
          <t>Valencia G. (ÁREAS MÚLTIPLES)</t>
        </is>
      </c>
      <c r="E29" s="7" t="inlineStr">
        <is>
          <t>Martínez A. (ÁREAS MÚLTIPLES)</t>
        </is>
      </c>
      <c r="F29" s="7" t="inlineStr">
        <is>
          <t>Landázuri M. (ÁREAS MÚLTIPLES)</t>
        </is>
      </c>
      <c r="G29" s="7" t="inlineStr">
        <is>
          <t>Sinisterra A. (ÁREAS MÚLTIPLES)</t>
        </is>
      </c>
      <c r="H29" s="7" t="inlineStr">
        <is>
          <t>Cortés M. (ÁREAS MÚLTIPLES)</t>
        </is>
      </c>
      <c r="I29" s="7" t="inlineStr">
        <is>
          <t>Garzón S. (ÁREAS MÚLTIPLES)</t>
        </is>
      </c>
      <c r="J29" s="7" t="inlineStr">
        <is>
          <t>Tenorio L. (ÁREAS MÚLTIPLES)</t>
        </is>
      </c>
      <c r="K29" s="7" t="inlineStr">
        <is>
          <t>Torres E. (ÁREAS MÚLTIPLES)</t>
        </is>
      </c>
      <c r="L29" s="7" t="inlineStr">
        <is>
          <t>Landázuri T. (ÁREAS MÚLTIPLES)</t>
        </is>
      </c>
      <c r="M29" s="7" t="inlineStr">
        <is>
          <t>Zamora C. (ÁREAS MÚLTIPLES)</t>
        </is>
      </c>
      <c r="N29" s="7" t="inlineStr">
        <is>
          <t>Núñez E. (ÁREAS MÚLTIPLES)</t>
        </is>
      </c>
      <c r="O29" s="7" t="inlineStr">
        <is>
          <t>Cuéllar N. (ÁREAS MÚLTIPLES)</t>
        </is>
      </c>
      <c r="P29" s="7" t="inlineStr">
        <is>
          <t>Centeno C. (ÁREAS MÚLTIPLES)</t>
        </is>
      </c>
      <c r="Q29" s="7" t="inlineStr">
        <is>
          <t>Narváez D. (ÁREAS MÚLTIPLES)</t>
        </is>
      </c>
      <c r="R29" s="7" t="inlineStr">
        <is>
          <t>Escobar L. (ÁREAS MÚLTIPLES)</t>
        </is>
      </c>
      <c r="S29" s="7" t="inlineStr">
        <is>
          <t>Armero J. (ERD)</t>
        </is>
      </c>
      <c r="T29" s="7" t="inlineStr">
        <is>
          <t>Lozano A. (ETR)</t>
        </is>
      </c>
      <c r="U29" s="7" t="inlineStr">
        <is>
          <t>Prado G. (ART)</t>
        </is>
      </c>
      <c r="V29" s="7" t="inlineStr">
        <is>
          <t>Quiñones M. (TEI)</t>
        </is>
      </c>
      <c r="W29" s="7" t="inlineStr">
        <is>
          <t>Arizala R. (ERD)</t>
        </is>
      </c>
      <c r="X29" s="7" t="inlineStr">
        <is>
          <t>Vásquez S. (MAT)</t>
        </is>
      </c>
      <c r="Y29" s="7" t="inlineStr">
        <is>
          <t>Quintero M. (CSI)</t>
        </is>
      </c>
      <c r="Z29" s="7" t="inlineStr">
        <is>
          <t>Casanova Y. (ETR)</t>
        </is>
      </c>
      <c r="AA29" s="7" t="inlineStr">
        <is>
          <t>Samaniego F. (ART)</t>
        </is>
      </c>
      <c r="AB29" s="7" t="inlineStr">
        <is>
          <t>Cuero B. (ERD)</t>
        </is>
      </c>
      <c r="AC29" s="7" t="inlineStr">
        <is>
          <t>Bastidas Z. (MAT)</t>
        </is>
      </c>
      <c r="AD29" s="7" t="inlineStr">
        <is>
          <t>Meza G. (CAS)</t>
        </is>
      </c>
      <c r="AE29" s="7" t="inlineStr">
        <is>
          <t>Castillo M. (ETR)</t>
        </is>
      </c>
      <c r="AF29" s="7" t="inlineStr">
        <is>
          <t>Valverde M. (CAS)</t>
        </is>
      </c>
      <c r="AG29" s="7" t="inlineStr">
        <is>
          <t>Estacio R. (ETR)</t>
        </is>
      </c>
      <c r="AH29" s="7" t="inlineStr">
        <is>
          <t>Pulgarín C. (CSI)</t>
        </is>
      </c>
      <c r="AI29" s="7" t="inlineStr">
        <is>
          <t>ÉNFASIS: Arboleda L. (ART) / Montaño F. (CAS) / Ramírez J. (ERD) / Villota H. (CNA)</t>
        </is>
      </c>
      <c r="AJ29" s="7" t="inlineStr">
        <is>
          <t>Villota J. (MAT)</t>
        </is>
      </c>
      <c r="AK29" s="7" t="inlineStr">
        <is>
          <t>Casanova J. (ORIENTACIÓN ESCOLAR) / Ponce Á. (ORIENTACIÓN ESCOLAR)</t>
        </is>
      </c>
      <c r="AL29" s="7" t="inlineStr">
        <is>
          <t>Ortiz M. (TUTORÍA PTAFI)</t>
        </is>
      </c>
    </row>
    <row r="30">
      <c r="A30" s="7" t="inlineStr">
        <is>
          <t>JUEVES</t>
        </is>
      </c>
      <c r="B30" s="7" t="n">
        <v>5</v>
      </c>
      <c r="C30" s="7" t="inlineStr">
        <is>
          <t>10:10-10:55</t>
        </is>
      </c>
      <c r="D30" s="7" t="inlineStr">
        <is>
          <t>Valencia G. (ÁREAS MÚLTIPLES)</t>
        </is>
      </c>
      <c r="E30" s="7" t="inlineStr">
        <is>
          <t>Martínez A. (ÁREAS MÚLTIPLES)</t>
        </is>
      </c>
      <c r="F30" s="7" t="inlineStr">
        <is>
          <t>Landázuri M. (ÁREAS MÚLTIPLES)</t>
        </is>
      </c>
      <c r="G30" s="7" t="inlineStr">
        <is>
          <t>Sinisterra A. (ÁREAS MÚLTIPLES)</t>
        </is>
      </c>
      <c r="H30" s="7" t="inlineStr">
        <is>
          <t>Cortés M. (ÁREAS MÚLTIPLES)</t>
        </is>
      </c>
      <c r="I30" s="7" t="inlineStr">
        <is>
          <t>Garzón S. (ÁREAS MÚLTIPLES)</t>
        </is>
      </c>
      <c r="J30" s="7" t="inlineStr">
        <is>
          <t>Tenorio L. (ÁREAS MÚLTIPLES)</t>
        </is>
      </c>
      <c r="K30" s="7" t="inlineStr">
        <is>
          <t>Torres E. (ÁREAS MÚLTIPLES)</t>
        </is>
      </c>
      <c r="L30" s="7" t="inlineStr">
        <is>
          <t>Landázuri T. (ÁREAS MÚLTIPLES)</t>
        </is>
      </c>
      <c r="M30" s="7" t="inlineStr">
        <is>
          <t>Zamora C. (ÁREAS MÚLTIPLES)</t>
        </is>
      </c>
      <c r="N30" s="7" t="inlineStr">
        <is>
          <t>Núñez E. (ÁREAS MÚLTIPLES)</t>
        </is>
      </c>
      <c r="O30" s="7" t="inlineStr">
        <is>
          <t>Cuéllar N. (ÁREAS MÚLTIPLES)</t>
        </is>
      </c>
      <c r="P30" s="7" t="inlineStr">
        <is>
          <t>Centeno C. (ÁREAS MÚLTIPLES)</t>
        </is>
      </c>
      <c r="Q30" s="7" t="inlineStr">
        <is>
          <t>Narváez D. (ÁREAS MÚLTIPLES)</t>
        </is>
      </c>
      <c r="R30" s="7" t="inlineStr">
        <is>
          <t>Escobar L. (ÁREAS MÚLTIPLES)</t>
        </is>
      </c>
      <c r="S30" s="7" t="inlineStr">
        <is>
          <t>García S. (CSI)</t>
        </is>
      </c>
      <c r="T30" s="7" t="inlineStr">
        <is>
          <t>Quiñones M. (MAT)</t>
        </is>
      </c>
      <c r="U30" s="7" t="inlineStr">
        <is>
          <t>Cuero H. (CAS)</t>
        </is>
      </c>
      <c r="V30" s="7" t="inlineStr">
        <is>
          <t>Armero J. (CNA)</t>
        </is>
      </c>
      <c r="W30" s="7" t="inlineStr">
        <is>
          <t>Aguirre J. (TEI)</t>
        </is>
      </c>
      <c r="X30" s="7" t="inlineStr">
        <is>
          <t>Arizala R. (ERD)</t>
        </is>
      </c>
      <c r="Y30" s="7" t="inlineStr">
        <is>
          <t>Castillo D. (CAS)</t>
        </is>
      </c>
      <c r="Z30" s="7" t="inlineStr">
        <is>
          <t>ÉNFASIS: Fernández A. (TEI) / Preciado O. (MAT)</t>
        </is>
      </c>
      <c r="AA30" s="7" t="inlineStr">
        <is>
          <t>ÉNFASIS: Chillambo M. (CNA) / Cuero B. (ERD) / Samaniego F. (ART) / Valverde M. (CAS)</t>
        </is>
      </c>
      <c r="AB30" s="7" t="inlineStr">
        <is>
          <t>Castillo M. (ETR)</t>
        </is>
      </c>
      <c r="AC30" s="7" t="inlineStr">
        <is>
          <t>Lemos M. (CNA)</t>
        </is>
      </c>
      <c r="AD30" s="7" t="inlineStr">
        <is>
          <t>González J. (ERD)</t>
        </is>
      </c>
      <c r="AE30" s="7" t="inlineStr">
        <is>
          <t>Ortiz A. (CSI)</t>
        </is>
      </c>
      <c r="AF30" s="7" t="inlineStr">
        <is>
          <t>ÉNFASIS: Bastidas Z. (MAT) / Betancourth Y. (CSI) / Estacio R. (ETR) / Mindineros J. (TEI)</t>
        </is>
      </c>
      <c r="AG30" s="7" t="inlineStr">
        <is>
          <t>Valencia S. (ART)</t>
        </is>
      </c>
      <c r="AH30" s="7" t="inlineStr">
        <is>
          <t>ÉNFASIS: Angulo A. (TEI) / Montaño L. (ETR) / Pulgarín C. (CSI) / Villota J. (MAT)</t>
        </is>
      </c>
      <c r="AI30" s="7" t="inlineStr">
        <is>
          <t>Villota H. (CNA)</t>
        </is>
      </c>
      <c r="AJ30" s="7" t="inlineStr">
        <is>
          <t>Ramírez J. (ERD)</t>
        </is>
      </c>
      <c r="AK30" s="7" t="inlineStr">
        <is>
          <t>Casanova J. (ORIENTACIÓN ESCOLAR) / Ponce Á. (ORIENTACIÓN ESCOLAR)</t>
        </is>
      </c>
      <c r="AL30" s="7" t="inlineStr">
        <is>
          <t>Ortiz M. (TUTORÍA PTAFI)</t>
        </is>
      </c>
    </row>
    <row r="31">
      <c r="A31" s="7" t="inlineStr">
        <is>
          <t>JUEVES</t>
        </is>
      </c>
      <c r="B31" s="7" t="n">
        <v>6</v>
      </c>
      <c r="C31" s="7" t="inlineStr">
        <is>
          <t>10:55-11:40</t>
        </is>
      </c>
      <c r="D31" s="7" t="inlineStr">
        <is>
          <t>Valencia G. (ÁREAS MÚLTIPLES)</t>
        </is>
      </c>
      <c r="E31" s="7" t="inlineStr">
        <is>
          <t>Martínez A. (ÁREAS MÚLTIPLES)</t>
        </is>
      </c>
      <c r="F31" s="7" t="inlineStr">
        <is>
          <t>Landázuri M. (ÁREAS MÚLTIPLES)</t>
        </is>
      </c>
      <c r="G31" s="7" t="inlineStr">
        <is>
          <t>Sinisterra A. (ÁREAS MÚLTIPLES)</t>
        </is>
      </c>
      <c r="H31" s="7" t="inlineStr">
        <is>
          <t>Cortés M. (ÁREAS MÚLTIPLES)</t>
        </is>
      </c>
      <c r="I31" s="7" t="inlineStr">
        <is>
          <t>Garzón S. (ÁREAS MÚLTIPLES)</t>
        </is>
      </c>
      <c r="J31" s="7" t="inlineStr">
        <is>
          <t>Tenorio L. (ÁREAS MÚLTIPLES)</t>
        </is>
      </c>
      <c r="K31" s="7" t="inlineStr">
        <is>
          <t>Torres E. (ÁREAS MÚLTIPLES)</t>
        </is>
      </c>
      <c r="L31" s="7" t="inlineStr">
        <is>
          <t>Landázuri T. (ÁREAS MÚLTIPLES)</t>
        </is>
      </c>
      <c r="M31" s="7" t="inlineStr">
        <is>
          <t>Zamora C. (ÁREAS MÚLTIPLES)</t>
        </is>
      </c>
      <c r="N31" s="7" t="inlineStr">
        <is>
          <t>Núñez E. (ÁREAS MÚLTIPLES)</t>
        </is>
      </c>
      <c r="O31" s="7" t="inlineStr">
        <is>
          <t>Cuéllar N. (ÁREAS MÚLTIPLES)</t>
        </is>
      </c>
      <c r="P31" s="7" t="inlineStr">
        <is>
          <t>Centeno C. (ÁREAS MÚLTIPLES)</t>
        </is>
      </c>
      <c r="Q31" s="7" t="inlineStr">
        <is>
          <t>Narváez D. (ÁREAS MÚLTIPLES)</t>
        </is>
      </c>
      <c r="R31" s="7" t="inlineStr">
        <is>
          <t>Escobar L. (ÁREAS MÚLTIPLES)</t>
        </is>
      </c>
      <c r="S31" s="7" t="inlineStr">
        <is>
          <t>García S. (CSI)</t>
        </is>
      </c>
      <c r="T31" s="7" t="inlineStr">
        <is>
          <t>Quiñones M. (MAT)</t>
        </is>
      </c>
      <c r="U31" s="7" t="inlineStr">
        <is>
          <t>Cuero H. (CAS)</t>
        </is>
      </c>
      <c r="V31" s="7" t="inlineStr">
        <is>
          <t>Armero J. (CNA)</t>
        </is>
      </c>
      <c r="W31" s="7" t="inlineStr">
        <is>
          <t>Aguirre J. (TEI)</t>
        </is>
      </c>
      <c r="X31" s="7" t="inlineStr">
        <is>
          <t>Arizala R. (ERD)</t>
        </is>
      </c>
      <c r="Y31" s="7" t="inlineStr">
        <is>
          <t>Castillo D. (CAS)</t>
        </is>
      </c>
      <c r="Z31" s="7" t="inlineStr">
        <is>
          <t>ÉNFASIS: Fernández A. (TEI) / Preciado O. (MAT)</t>
        </is>
      </c>
      <c r="AA31" s="7" t="inlineStr">
        <is>
          <t>ÉNFASIS: Chillambo M. (CNA) / Cuero B. (ERD) / Samaniego F. (ART) / Valverde M. (CAS)</t>
        </is>
      </c>
      <c r="AB31" s="7" t="inlineStr">
        <is>
          <t>Castillo M. (ETR)</t>
        </is>
      </c>
      <c r="AC31" s="7" t="inlineStr">
        <is>
          <t>Lemos M. (CNA)</t>
        </is>
      </c>
      <c r="AD31" s="7" t="inlineStr">
        <is>
          <t>González J. (ERD)</t>
        </is>
      </c>
      <c r="AE31" s="7" t="inlineStr">
        <is>
          <t>Ortiz A. (CSI)</t>
        </is>
      </c>
      <c r="AF31" s="7" t="inlineStr">
        <is>
          <t>ÉNFASIS: Bastidas Z. (MAT) / Betancourth Y. (CSI) / Estacio R. (ETR) / Mindineros J. (TEI)</t>
        </is>
      </c>
      <c r="AG31" s="7" t="inlineStr">
        <is>
          <t>Valencia S. (ART)</t>
        </is>
      </c>
      <c r="AH31" s="7" t="inlineStr">
        <is>
          <t>ÉNFASIS: Angulo A. (TEI) / Montaño L. (ETR) / Pulgarín C. (CSI) / Villota J. (MAT)</t>
        </is>
      </c>
      <c r="AI31" s="7" t="inlineStr">
        <is>
          <t>Villota H. (CNA)</t>
        </is>
      </c>
      <c r="AJ31" s="7" t="inlineStr">
        <is>
          <t>Ramírez J. (ERD)</t>
        </is>
      </c>
      <c r="AK31" s="7" t="inlineStr">
        <is>
          <t>Casanova J. (ORIENTACIÓN ESCOLAR) / Ponce Á. (ORIENTACIÓN ESCOLAR)</t>
        </is>
      </c>
      <c r="AL31" s="7" t="inlineStr">
        <is>
          <t>Ortiz M. (TUTORÍA PTAFI)</t>
        </is>
      </c>
    </row>
    <row r="32">
      <c r="A32" s="7" t="inlineStr">
        <is>
          <t>JUEVES</t>
        </is>
      </c>
      <c r="B32" s="7" t="n">
        <v>7</v>
      </c>
      <c r="C32" s="7" t="inlineStr">
        <is>
          <t>12:00-12:45</t>
        </is>
      </c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>
        <is>
          <t>ÉNFASIS: Castillo D. (CAS) / Puches A. (ART)</t>
        </is>
      </c>
      <c r="T32" s="7" t="inlineStr">
        <is>
          <t>ÉNFASIS: Ordóñez J. (CNA) / Arizala R. (ERD)</t>
        </is>
      </c>
      <c r="U32" s="7" t="inlineStr">
        <is>
          <t>García S. (CSI)</t>
        </is>
      </c>
      <c r="V32" s="7" t="inlineStr">
        <is>
          <t>Prado G. (ART)</t>
        </is>
      </c>
      <c r="W32" s="7" t="inlineStr">
        <is>
          <t>Casanova Y. (ETR)</t>
        </is>
      </c>
      <c r="X32" s="7" t="inlineStr">
        <is>
          <t>Quintero M. (CSI)</t>
        </is>
      </c>
      <c r="Y32" s="7" t="inlineStr">
        <is>
          <t>Aguirre J. (TEI)</t>
        </is>
      </c>
      <c r="Z32" s="7" t="inlineStr">
        <is>
          <t>Vásquez S. (MAT)</t>
        </is>
      </c>
      <c r="AA32" s="7" t="inlineStr">
        <is>
          <t>Chillambo M. (CNA)</t>
        </is>
      </c>
      <c r="AB32" s="7" t="inlineStr">
        <is>
          <t>ÉNFASIS: Castillo M. (ETR) / Fernández A. (TEI) / Ortiz A. (CSI) / Preciado O. (MAT)</t>
        </is>
      </c>
      <c r="AC32" s="7" t="inlineStr">
        <is>
          <t>Mindineros J. (TEI)</t>
        </is>
      </c>
      <c r="AD32" s="7" t="inlineStr">
        <is>
          <t>Betancourth Y. (CSI)</t>
        </is>
      </c>
      <c r="AE32" s="7" t="inlineStr">
        <is>
          <t>ÉNFASIS: González J. (ERD) / Lemos M. (CNA) / Meza G. (CAS) / Valencia S. (ART)</t>
        </is>
      </c>
      <c r="AF32" s="7" t="inlineStr">
        <is>
          <t>Cuero B. (ERD)</t>
        </is>
      </c>
      <c r="AG32" s="7" t="inlineStr">
        <is>
          <t>Bastidas Z. (MAT)</t>
        </is>
      </c>
      <c r="AH32" s="7" t="inlineStr">
        <is>
          <t>Villota H. (CNA)</t>
        </is>
      </c>
      <c r="AI32" s="7" t="inlineStr">
        <is>
          <t>Villota J. (MAT)</t>
        </is>
      </c>
      <c r="AJ32" s="7" t="inlineStr">
        <is>
          <t>Montaño F. (CAS)</t>
        </is>
      </c>
      <c r="AK32" s="7" t="inlineStr">
        <is>
          <t>Casanova J. (ORIENTACIÓN ESCOLAR) / Ponce Á. (ORIENTACIÓN ESCOLAR)</t>
        </is>
      </c>
      <c r="AL32" s="7" t="inlineStr"/>
    </row>
    <row r="33">
      <c r="A33" s="7" t="inlineStr">
        <is>
          <t>JUEVES</t>
        </is>
      </c>
      <c r="B33" s="7" t="n">
        <v>8</v>
      </c>
      <c r="C33" s="7" t="inlineStr">
        <is>
          <t>12:45-13:30</t>
        </is>
      </c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>
        <is>
          <t>ÉNFASIS: Castillo D. (CAS) / Puches A. (ART)</t>
        </is>
      </c>
      <c r="T33" s="7" t="inlineStr">
        <is>
          <t>ÉNFASIS: Ordóñez J. (CNA) / Arizala R. (ERD)</t>
        </is>
      </c>
      <c r="U33" s="7" t="inlineStr">
        <is>
          <t>García S. (CSI)</t>
        </is>
      </c>
      <c r="V33" s="7" t="inlineStr">
        <is>
          <t>Prado G. (ART)</t>
        </is>
      </c>
      <c r="W33" s="7" t="inlineStr">
        <is>
          <t>Casanova Y. (ETR)</t>
        </is>
      </c>
      <c r="X33" s="7" t="inlineStr">
        <is>
          <t>Quintero M. (CSI)</t>
        </is>
      </c>
      <c r="Y33" s="7" t="inlineStr">
        <is>
          <t>Aguirre J. (TEI)</t>
        </is>
      </c>
      <c r="Z33" s="7" t="inlineStr">
        <is>
          <t>Vásquez S. (MAT)</t>
        </is>
      </c>
      <c r="AA33" s="7" t="inlineStr">
        <is>
          <t>Chillambo M. (CNA)</t>
        </is>
      </c>
      <c r="AB33" s="7" t="inlineStr">
        <is>
          <t>ÉNFASIS: Castillo M. (ETR) / Fernández A. (TEI) / Ortiz A. (CSI) / Preciado O. (MAT)</t>
        </is>
      </c>
      <c r="AC33" s="7" t="inlineStr">
        <is>
          <t>Mindineros J. (TEI)</t>
        </is>
      </c>
      <c r="AD33" s="7" t="inlineStr">
        <is>
          <t>Betancourth Y. (CSI)</t>
        </is>
      </c>
      <c r="AE33" s="7" t="inlineStr">
        <is>
          <t>ÉNFASIS: González J. (ERD) / Lemos M. (CNA) / Meza G. (CAS) / Valencia S. (ART)</t>
        </is>
      </c>
      <c r="AF33" s="7" t="inlineStr">
        <is>
          <t>Cuero B. (ERD)</t>
        </is>
      </c>
      <c r="AG33" s="7" t="inlineStr">
        <is>
          <t>Bastidas Z. (MAT)</t>
        </is>
      </c>
      <c r="AH33" s="7" t="inlineStr">
        <is>
          <t>Villota H. (CNA)</t>
        </is>
      </c>
      <c r="AI33" s="7" t="inlineStr">
        <is>
          <t>Villota J. (MAT)</t>
        </is>
      </c>
      <c r="AJ33" s="7" t="inlineStr">
        <is>
          <t>Montaño F. (CAS)</t>
        </is>
      </c>
      <c r="AK33" s="7" t="inlineStr">
        <is>
          <t>Casanova J. (ORIENTACIÓN ESCOLAR) / Ponce Á. (ORIENTACIÓN ESCOLAR)</t>
        </is>
      </c>
      <c r="AL33" s="7" t="inlineStr"/>
    </row>
    <row r="34">
      <c r="A34" s="7" t="inlineStr">
        <is>
          <t>VIERNES</t>
        </is>
      </c>
      <c r="B34" s="7" t="n">
        <v>1</v>
      </c>
      <c r="C34" s="7" t="inlineStr">
        <is>
          <t>06:30-07:15</t>
        </is>
      </c>
      <c r="D34" s="7" t="inlineStr"/>
      <c r="E34" s="7" t="inlineStr"/>
      <c r="F34" s="7" t="inlineStr">
        <is>
          <t>Landázuri M. (ÁREAS MÚLTIPLES)</t>
        </is>
      </c>
      <c r="G34" s="7" t="inlineStr">
        <is>
          <t>Sinisterra A. (ÁREAS MÚLTIPLES)</t>
        </is>
      </c>
      <c r="H34" s="7" t="inlineStr">
        <is>
          <t>Cortés M. (ÁREAS MÚLTIPLES)</t>
        </is>
      </c>
      <c r="I34" s="7" t="inlineStr">
        <is>
          <t>Garzón S. (ÁREAS MÚLTIPLES)</t>
        </is>
      </c>
      <c r="J34" s="7" t="inlineStr">
        <is>
          <t>Tenorio L. (ÁREAS MÚLTIPLES)</t>
        </is>
      </c>
      <c r="K34" s="7" t="inlineStr">
        <is>
          <t>Torres E. (ÁREAS MÚLTIPLES)</t>
        </is>
      </c>
      <c r="L34" s="7" t="inlineStr">
        <is>
          <t>Landázuri T. (ÁREAS MÚLTIPLES)</t>
        </is>
      </c>
      <c r="M34" s="7" t="inlineStr">
        <is>
          <t>Zamora C. (ÁREAS MÚLTIPLES)</t>
        </is>
      </c>
      <c r="N34" s="7" t="inlineStr">
        <is>
          <t>Núñez E. (ÁREAS MÚLTIPLES)</t>
        </is>
      </c>
      <c r="O34" s="7" t="inlineStr">
        <is>
          <t>Cuéllar N. (ÁREAS MÚLTIPLES)</t>
        </is>
      </c>
      <c r="P34" s="7" t="inlineStr">
        <is>
          <t>Centeno C. (ÁREAS MÚLTIPLES)</t>
        </is>
      </c>
      <c r="Q34" s="7" t="inlineStr">
        <is>
          <t>Narváez D. (ÁREAS MÚLTIPLES)</t>
        </is>
      </c>
      <c r="R34" s="7" t="inlineStr">
        <is>
          <t>Escobar L. (ÁREAS MÚLTIPLES)</t>
        </is>
      </c>
      <c r="S34" s="7" t="inlineStr">
        <is>
          <t>Prado G. (CNA)</t>
        </is>
      </c>
      <c r="T34" s="7" t="inlineStr">
        <is>
          <t>Quiñones M. (MAT)</t>
        </is>
      </c>
      <c r="U34" s="7" t="inlineStr">
        <is>
          <t>ÉNFASIS: García S. (CSI) / Lozano A. (ETR)</t>
        </is>
      </c>
      <c r="V34" s="7" t="inlineStr">
        <is>
          <t>ÉNFASIS: Aguirre J. (TEI) / Vásquez S. (MAT)</t>
        </is>
      </c>
      <c r="W34" s="7" t="inlineStr">
        <is>
          <t>Arizala R. (ERD)</t>
        </is>
      </c>
      <c r="X34" s="7" t="inlineStr">
        <is>
          <t>Puches A. (ART)</t>
        </is>
      </c>
      <c r="Y34" s="7" t="inlineStr">
        <is>
          <t>Castillo D. (CAS)</t>
        </is>
      </c>
      <c r="Z34" s="7" t="inlineStr">
        <is>
          <t>Ordóñez J. (CNA)</t>
        </is>
      </c>
      <c r="AA34" s="7" t="inlineStr">
        <is>
          <t>Ortiz A. (CSI)</t>
        </is>
      </c>
      <c r="AB34" s="7" t="inlineStr">
        <is>
          <t>Fernández A. (TEI)</t>
        </is>
      </c>
      <c r="AC34" s="7" t="inlineStr">
        <is>
          <t>Mindineros J. (TEI)</t>
        </is>
      </c>
      <c r="AD34" s="7" t="inlineStr">
        <is>
          <t>Estacio R. (ETR)</t>
        </is>
      </c>
      <c r="AE34" s="7" t="inlineStr">
        <is>
          <t>ÉNFASIS: González J. (ERD) / Lemos M. (CNA) / Meza G. (CAS) / Valencia S. (ART)</t>
        </is>
      </c>
      <c r="AF34" s="7" t="inlineStr">
        <is>
          <t>Cuero B. (ERD)</t>
        </is>
      </c>
      <c r="AG34" s="7" t="inlineStr">
        <is>
          <t>Betancourth Y. (CSI)</t>
        </is>
      </c>
      <c r="AH34" s="7" t="inlineStr">
        <is>
          <t>Arboleda L. (ART)</t>
        </is>
      </c>
      <c r="AI34" s="7" t="inlineStr">
        <is>
          <t>Ramírez J. (ERD)</t>
        </is>
      </c>
      <c r="AJ34" s="7" t="inlineStr">
        <is>
          <t>ÉNFASIS: Angulo A. (TEI) / Montaño L. (ETR) / Pulgarín C. (CSI) / Villota J. (MAT)</t>
        </is>
      </c>
      <c r="AK34" s="7" t="inlineStr"/>
      <c r="AL34" s="7" t="inlineStr">
        <is>
          <t>Ortiz M. (TUTORÍA PTAFI)</t>
        </is>
      </c>
    </row>
    <row r="35">
      <c r="A35" s="7" t="inlineStr">
        <is>
          <t>VIERNES</t>
        </is>
      </c>
      <c r="B35" s="7" t="n">
        <v>2</v>
      </c>
      <c r="C35" s="7" t="inlineStr">
        <is>
          <t>07:15-08:00</t>
        </is>
      </c>
      <c r="D35" s="7" t="inlineStr"/>
      <c r="E35" s="7" t="inlineStr"/>
      <c r="F35" s="7" t="inlineStr">
        <is>
          <t>Landázuri M. (ÁREAS MÚLTIPLES)</t>
        </is>
      </c>
      <c r="G35" s="7" t="inlineStr">
        <is>
          <t>Sinisterra A. (ÁREAS MÚLTIPLES)</t>
        </is>
      </c>
      <c r="H35" s="7" t="inlineStr">
        <is>
          <t>Cortés M. (ÁREAS MÚLTIPLES)</t>
        </is>
      </c>
      <c r="I35" s="7" t="inlineStr">
        <is>
          <t>Garzón S. (ÁREAS MÚLTIPLES)</t>
        </is>
      </c>
      <c r="J35" s="7" t="inlineStr">
        <is>
          <t>Tenorio L. (ÁREAS MÚLTIPLES)</t>
        </is>
      </c>
      <c r="K35" s="7" t="inlineStr">
        <is>
          <t>Torres E. (ÁREAS MÚLTIPLES)</t>
        </is>
      </c>
      <c r="L35" s="7" t="inlineStr">
        <is>
          <t>Landázuri T. (ÁREAS MÚLTIPLES)</t>
        </is>
      </c>
      <c r="M35" s="7" t="inlineStr">
        <is>
          <t>Zamora C. (ÁREAS MÚLTIPLES)</t>
        </is>
      </c>
      <c r="N35" s="7" t="inlineStr">
        <is>
          <t>Núñez E. (ÁREAS MÚLTIPLES)</t>
        </is>
      </c>
      <c r="O35" s="7" t="inlineStr">
        <is>
          <t>Cuéllar N. (ÁREAS MÚLTIPLES)</t>
        </is>
      </c>
      <c r="P35" s="7" t="inlineStr">
        <is>
          <t>Centeno C. (ÁREAS MÚLTIPLES)</t>
        </is>
      </c>
      <c r="Q35" s="7" t="inlineStr">
        <is>
          <t>Narváez D. (ÁREAS MÚLTIPLES)</t>
        </is>
      </c>
      <c r="R35" s="7" t="inlineStr">
        <is>
          <t>Escobar L. (ÁREAS MÚLTIPLES)</t>
        </is>
      </c>
      <c r="S35" s="7" t="inlineStr">
        <is>
          <t>Prado G. (CNA)</t>
        </is>
      </c>
      <c r="T35" s="7" t="inlineStr">
        <is>
          <t>Quiñones M. (MAT)</t>
        </is>
      </c>
      <c r="U35" s="7" t="inlineStr">
        <is>
          <t>ÉNFASIS: García S. (CSI) / Lozano A. (ETR)</t>
        </is>
      </c>
      <c r="V35" s="7" t="inlineStr">
        <is>
          <t>ÉNFASIS: Aguirre J. (TEI) / Vásquez S. (MAT)</t>
        </is>
      </c>
      <c r="W35" s="7" t="inlineStr">
        <is>
          <t>Arizala R. (ERD)</t>
        </is>
      </c>
      <c r="X35" s="7" t="inlineStr">
        <is>
          <t>Puches A. (ART)</t>
        </is>
      </c>
      <c r="Y35" s="7" t="inlineStr">
        <is>
          <t>Castillo D. (CAS)</t>
        </is>
      </c>
      <c r="Z35" s="7" t="inlineStr">
        <is>
          <t>Ordóñez J. (CNA)</t>
        </is>
      </c>
      <c r="AA35" s="7" t="inlineStr">
        <is>
          <t>Ortiz A. (CSI)</t>
        </is>
      </c>
      <c r="AB35" s="7" t="inlineStr">
        <is>
          <t>Fernández A. (TEI)</t>
        </is>
      </c>
      <c r="AC35" s="7" t="inlineStr">
        <is>
          <t>Mindineros J. (TEI)</t>
        </is>
      </c>
      <c r="AD35" s="7" t="inlineStr">
        <is>
          <t>Estacio R. (ETR)</t>
        </is>
      </c>
      <c r="AE35" s="7" t="inlineStr">
        <is>
          <t>ÉNFASIS: González J. (ERD) / Lemos M. (CNA) / Meza G. (CAS) / Valencia S. (ART)</t>
        </is>
      </c>
      <c r="AF35" s="7" t="inlineStr">
        <is>
          <t>Cuero B. (ERD)</t>
        </is>
      </c>
      <c r="AG35" s="7" t="inlineStr">
        <is>
          <t>Betancourth Y. (CSI)</t>
        </is>
      </c>
      <c r="AH35" s="7" t="inlineStr">
        <is>
          <t>Arboleda L. (ART)</t>
        </is>
      </c>
      <c r="AI35" s="7" t="inlineStr">
        <is>
          <t>Ramírez J. (ERD)</t>
        </is>
      </c>
      <c r="AJ35" s="7" t="inlineStr">
        <is>
          <t>ÉNFASIS: Angulo A. (TEI) / Montaño L. (ETR) / Pulgarín C. (CSI) / Villota J. (MAT)</t>
        </is>
      </c>
      <c r="AK35" s="7" t="inlineStr">
        <is>
          <t>Casanova J. (ORIENTACIÓN ESCOLAR)</t>
        </is>
      </c>
      <c r="AL35" s="7" t="inlineStr">
        <is>
          <t>Ortiz M. (TUTORÍA PTAFI)</t>
        </is>
      </c>
    </row>
    <row r="36">
      <c r="A36" s="7" t="inlineStr">
        <is>
          <t>VIERNES</t>
        </is>
      </c>
      <c r="B36" s="7" t="n">
        <v>3</v>
      </c>
      <c r="C36" s="7" t="inlineStr">
        <is>
          <t>08:20-09:05</t>
        </is>
      </c>
      <c r="D36" s="7" t="inlineStr">
        <is>
          <t>Valencia G. (ÁREAS MÚLTIPLES)</t>
        </is>
      </c>
      <c r="E36" s="7" t="inlineStr">
        <is>
          <t>Martínez A. (ÁREAS MÚLTIPLES)</t>
        </is>
      </c>
      <c r="F36" s="7" t="inlineStr">
        <is>
          <t>Landázuri M. (ÁREAS MÚLTIPLES)</t>
        </is>
      </c>
      <c r="G36" s="7" t="inlineStr">
        <is>
          <t>Sinisterra A. (ÁREAS MÚLTIPLES)</t>
        </is>
      </c>
      <c r="H36" s="7" t="inlineStr">
        <is>
          <t>Cortés M. (ÁREAS MÚLTIPLES)</t>
        </is>
      </c>
      <c r="I36" s="7" t="inlineStr">
        <is>
          <t>Garzón S. (ÁREAS MÚLTIPLES)</t>
        </is>
      </c>
      <c r="J36" s="7" t="inlineStr">
        <is>
          <t>Tenorio L. (ÁREAS MÚLTIPLES)</t>
        </is>
      </c>
      <c r="K36" s="7" t="inlineStr">
        <is>
          <t>Torres E. (ÁREAS MÚLTIPLES)</t>
        </is>
      </c>
      <c r="L36" s="7" t="inlineStr">
        <is>
          <t>Landázuri T. (ÁREAS MÚLTIPLES)</t>
        </is>
      </c>
      <c r="M36" s="7" t="inlineStr">
        <is>
          <t>Zamora C. (ÁREAS MÚLTIPLES)</t>
        </is>
      </c>
      <c r="N36" s="7" t="inlineStr">
        <is>
          <t>Núñez E. (ÁREAS MÚLTIPLES)</t>
        </is>
      </c>
      <c r="O36" s="7" t="inlineStr">
        <is>
          <t>Cuéllar N. (ÁREAS MÚLTIPLES)</t>
        </is>
      </c>
      <c r="P36" s="7" t="inlineStr">
        <is>
          <t>Centeno C. (ÁREAS MÚLTIPLES)</t>
        </is>
      </c>
      <c r="Q36" s="7" t="inlineStr">
        <is>
          <t>Narváez D. (ÁREAS MÚLTIPLES)</t>
        </is>
      </c>
      <c r="R36" s="7" t="inlineStr">
        <is>
          <t>Escobar L. (ÁREAS MÚLTIPLES)</t>
        </is>
      </c>
      <c r="S36" s="7" t="inlineStr">
        <is>
          <t>Cuero H. (TEI)</t>
        </is>
      </c>
      <c r="T36" s="7" t="inlineStr">
        <is>
          <t>Prado G. (CNA)</t>
        </is>
      </c>
      <c r="U36" s="7" t="inlineStr">
        <is>
          <t>Lozano A. (ETR)</t>
        </is>
      </c>
      <c r="V36" s="7" t="inlineStr">
        <is>
          <t>García S. (CSI)</t>
        </is>
      </c>
      <c r="W36" s="7" t="inlineStr">
        <is>
          <t>Castillo D. (CAS)</t>
        </is>
      </c>
      <c r="X36" s="7" t="inlineStr">
        <is>
          <t>Ordóñez J. (CNA)</t>
        </is>
      </c>
      <c r="Y36" s="7" t="inlineStr">
        <is>
          <t>Aguirre J. (TEI)</t>
        </is>
      </c>
      <c r="Z36" s="7" t="inlineStr">
        <is>
          <t>Puches A. (ART)</t>
        </is>
      </c>
      <c r="AA36" s="7" t="inlineStr">
        <is>
          <t>Cuero B. (ERD)</t>
        </is>
      </c>
      <c r="AB36" s="7" t="inlineStr">
        <is>
          <t>ÉNFASIS: Castillo M. (ETR) / Fernández A. (TEI) / Ortiz A. (CSI) / Preciado O. (MAT)</t>
        </is>
      </c>
      <c r="AC36" s="7" t="inlineStr">
        <is>
          <t>Meza G. (CAS)</t>
        </is>
      </c>
      <c r="AD36" s="7" t="inlineStr">
        <is>
          <t>ÉNFASIS: Bastidas Z. (MAT) / Betancourth Y. (CSI) / Estacio R. (ETR) / Mindineros J. (TEI)</t>
        </is>
      </c>
      <c r="AE36" s="7" t="inlineStr">
        <is>
          <t>Chillambo M. (CNA)</t>
        </is>
      </c>
      <c r="AF36" s="7" t="inlineStr">
        <is>
          <t>Samaniego F. (ART)</t>
        </is>
      </c>
      <c r="AG36" s="7" t="inlineStr">
        <is>
          <t>Valencia S. (ART)</t>
        </is>
      </c>
      <c r="AH36" s="7" t="inlineStr">
        <is>
          <t>ÉNFASIS: Angulo A. (TEI) / Montaño L. (ETR) / Pulgarín C. (CSI) / Villota J. (MAT)</t>
        </is>
      </c>
      <c r="AI36" s="7" t="inlineStr">
        <is>
          <t>Montaño F. (CAS)</t>
        </is>
      </c>
      <c r="AJ36" s="7" t="inlineStr">
        <is>
          <t>Arboleda L. (ART)</t>
        </is>
      </c>
      <c r="AK36" s="7" t="inlineStr">
        <is>
          <t>Casanova J. (ORIENTACIÓN ESCOLAR) / Ponce Á. (ORIENTACIÓN ESCOLAR)</t>
        </is>
      </c>
      <c r="AL36" s="7" t="inlineStr">
        <is>
          <t>Ortiz M. (TUTORÍA PTAFI)</t>
        </is>
      </c>
    </row>
    <row r="37">
      <c r="A37" s="7" t="inlineStr">
        <is>
          <t>VIERNES</t>
        </is>
      </c>
      <c r="B37" s="7" t="n">
        <v>4</v>
      </c>
      <c r="C37" s="7" t="inlineStr">
        <is>
          <t>09:05-09:50</t>
        </is>
      </c>
      <c r="D37" s="7" t="inlineStr">
        <is>
          <t>Valencia G. (ÁREAS MÚLTIPLES)</t>
        </is>
      </c>
      <c r="E37" s="7" t="inlineStr">
        <is>
          <t>Martínez A. (ÁREAS MÚLTIPLES)</t>
        </is>
      </c>
      <c r="F37" s="7" t="inlineStr">
        <is>
          <t>Landázuri M. (ÁREAS MÚLTIPLES)</t>
        </is>
      </c>
      <c r="G37" s="7" t="inlineStr">
        <is>
          <t>Sinisterra A. (ÁREAS MÚLTIPLES)</t>
        </is>
      </c>
      <c r="H37" s="7" t="inlineStr">
        <is>
          <t>Cortés M. (ÁREAS MÚLTIPLES)</t>
        </is>
      </c>
      <c r="I37" s="7" t="inlineStr">
        <is>
          <t>Garzón S. (ÁREAS MÚLTIPLES)</t>
        </is>
      </c>
      <c r="J37" s="7" t="inlineStr">
        <is>
          <t>Tenorio L. (ÁREAS MÚLTIPLES)</t>
        </is>
      </c>
      <c r="K37" s="7" t="inlineStr">
        <is>
          <t>Torres E. (ÁREAS MÚLTIPLES)</t>
        </is>
      </c>
      <c r="L37" s="7" t="inlineStr">
        <is>
          <t>Landázuri T. (ÁREAS MÚLTIPLES)</t>
        </is>
      </c>
      <c r="M37" s="7" t="inlineStr">
        <is>
          <t>Zamora C. (ÁREAS MÚLTIPLES)</t>
        </is>
      </c>
      <c r="N37" s="7" t="inlineStr">
        <is>
          <t>Núñez E. (ÁREAS MÚLTIPLES)</t>
        </is>
      </c>
      <c r="O37" s="7" t="inlineStr">
        <is>
          <t>Cuéllar N. (ÁREAS MÚLTIPLES)</t>
        </is>
      </c>
      <c r="P37" s="7" t="inlineStr">
        <is>
          <t>Centeno C. (ÁREAS MÚLTIPLES)</t>
        </is>
      </c>
      <c r="Q37" s="7" t="inlineStr">
        <is>
          <t>Narváez D. (ÁREAS MÚLTIPLES)</t>
        </is>
      </c>
      <c r="R37" s="7" t="inlineStr">
        <is>
          <t>Escobar L. (ÁREAS MÚLTIPLES)</t>
        </is>
      </c>
      <c r="S37" s="7" t="inlineStr">
        <is>
          <t>Cuero H. (TEI)</t>
        </is>
      </c>
      <c r="T37" s="7" t="inlineStr">
        <is>
          <t>Prado G. (CNA)</t>
        </is>
      </c>
      <c r="U37" s="7" t="inlineStr">
        <is>
          <t>Lozano A. (ETR)</t>
        </is>
      </c>
      <c r="V37" s="7" t="inlineStr">
        <is>
          <t>García S. (CSI)</t>
        </is>
      </c>
      <c r="W37" s="7" t="inlineStr">
        <is>
          <t>Castillo D. (CAS)</t>
        </is>
      </c>
      <c r="X37" s="7" t="inlineStr">
        <is>
          <t>Ordóñez J. (CNA)</t>
        </is>
      </c>
      <c r="Y37" s="7" t="inlineStr">
        <is>
          <t>Aguirre J. (TEI)</t>
        </is>
      </c>
      <c r="Z37" s="7" t="inlineStr">
        <is>
          <t>Puches A. (ART)</t>
        </is>
      </c>
      <c r="AA37" s="7" t="inlineStr">
        <is>
          <t>Cuero B. (ERD)</t>
        </is>
      </c>
      <c r="AB37" s="7" t="inlineStr">
        <is>
          <t>ÉNFASIS: Castillo M. (ETR) / Fernández A. (TEI) / Ortiz A. (CSI) / Preciado O. (MAT)</t>
        </is>
      </c>
      <c r="AC37" s="7" t="inlineStr">
        <is>
          <t>Meza G. (CAS)</t>
        </is>
      </c>
      <c r="AD37" s="7" t="inlineStr">
        <is>
          <t>ÉNFASIS: Bastidas Z. (MAT) / Betancourth Y. (CSI) / Estacio R. (ETR) / Mindineros J. (TEI)</t>
        </is>
      </c>
      <c r="AE37" s="7" t="inlineStr">
        <is>
          <t>Chillambo M. (CNA)</t>
        </is>
      </c>
      <c r="AF37" s="7" t="inlineStr">
        <is>
          <t>Samaniego F. (ART)</t>
        </is>
      </c>
      <c r="AG37" s="7" t="inlineStr">
        <is>
          <t>Valencia S. (ART)</t>
        </is>
      </c>
      <c r="AH37" s="7" t="inlineStr">
        <is>
          <t>ÉNFASIS: Angulo A. (TEI) / Montaño L. (ETR) / Pulgarín C. (CSI) / Villota J. (MAT)</t>
        </is>
      </c>
      <c r="AI37" s="7" t="inlineStr">
        <is>
          <t>Montaño F. (CAS)</t>
        </is>
      </c>
      <c r="AJ37" s="7" t="inlineStr">
        <is>
          <t>Arboleda L. (ART)</t>
        </is>
      </c>
      <c r="AK37" s="7" t="inlineStr">
        <is>
          <t>Casanova J. (ORIENTACIÓN ESCOLAR) / Ponce Á. (ORIENTACIÓN ESCOLAR)</t>
        </is>
      </c>
      <c r="AL37" s="7" t="inlineStr">
        <is>
          <t>Ortiz M. (TUTORÍA PTAFI)</t>
        </is>
      </c>
    </row>
    <row r="38">
      <c r="A38" s="7" t="inlineStr">
        <is>
          <t>VIERNES</t>
        </is>
      </c>
      <c r="B38" s="7" t="n">
        <v>5</v>
      </c>
      <c r="C38" s="7" t="inlineStr">
        <is>
          <t>10:10-10:55</t>
        </is>
      </c>
      <c r="D38" s="7" t="inlineStr">
        <is>
          <t>Valencia G. (ÁREAS MÚLTIPLES)</t>
        </is>
      </c>
      <c r="E38" s="7" t="inlineStr">
        <is>
          <t>Martínez A. (ÁREAS MÚLTIPLES)</t>
        </is>
      </c>
      <c r="F38" s="7" t="inlineStr">
        <is>
          <t>Landázuri M. (ÁREAS MÚLTIPLES)</t>
        </is>
      </c>
      <c r="G38" s="7" t="inlineStr">
        <is>
          <t>Sinisterra A. (ÁREAS MÚLTIPLES)</t>
        </is>
      </c>
      <c r="H38" s="7" t="inlineStr">
        <is>
          <t>Cortés M. (ÁREAS MÚLTIPLES)</t>
        </is>
      </c>
      <c r="I38" s="7" t="inlineStr">
        <is>
          <t>Garzón S. (ÁREAS MÚLTIPLES)</t>
        </is>
      </c>
      <c r="J38" s="7" t="inlineStr">
        <is>
          <t>Tenorio L. (ÁREAS MÚLTIPLES)</t>
        </is>
      </c>
      <c r="K38" s="7" t="inlineStr">
        <is>
          <t>Torres E. (ÁREAS MÚLTIPLES)</t>
        </is>
      </c>
      <c r="L38" s="7" t="inlineStr">
        <is>
          <t>Landázuri T. (ÁREAS MÚLTIPLES)</t>
        </is>
      </c>
      <c r="M38" s="7" t="inlineStr">
        <is>
          <t>Zamora C. (ÁREAS MÚLTIPLES)</t>
        </is>
      </c>
      <c r="N38" s="7" t="inlineStr">
        <is>
          <t>Núñez E. (ÁREAS MÚLTIPLES)</t>
        </is>
      </c>
      <c r="O38" s="7" t="inlineStr">
        <is>
          <t>Cuéllar N. (ÁREAS MÚLTIPLES)</t>
        </is>
      </c>
      <c r="P38" s="7" t="inlineStr">
        <is>
          <t>Centeno C. (ÁREAS MÚLTIPLES)</t>
        </is>
      </c>
      <c r="Q38" s="7" t="inlineStr">
        <is>
          <t>Narváez D. (ÁREAS MÚLTIPLES)</t>
        </is>
      </c>
      <c r="R38" s="7" t="inlineStr">
        <is>
          <t>Escobar L. (ÁREAS MÚLTIPLES)</t>
        </is>
      </c>
      <c r="S38" s="7" t="inlineStr">
        <is>
          <t>Lozano A. (ETR)</t>
        </is>
      </c>
      <c r="T38" s="7" t="inlineStr">
        <is>
          <t>Armero J. (ERD)</t>
        </is>
      </c>
      <c r="U38" s="7" t="inlineStr">
        <is>
          <t>Quiñones M. (MAT)</t>
        </is>
      </c>
      <c r="V38" s="7" t="inlineStr">
        <is>
          <t>Cuero H. (CAS)</t>
        </is>
      </c>
      <c r="W38" s="7" t="inlineStr">
        <is>
          <t>Ordóñez J. (CNA)</t>
        </is>
      </c>
      <c r="X38" s="7" t="inlineStr">
        <is>
          <t>Quintero M. (CSI)</t>
        </is>
      </c>
      <c r="Y38" s="7" t="inlineStr">
        <is>
          <t>Puches A. (ART)</t>
        </is>
      </c>
      <c r="Z38" s="7" t="inlineStr">
        <is>
          <t>Vásquez S. (MAT)</t>
        </is>
      </c>
      <c r="AA38" s="7" t="inlineStr">
        <is>
          <t>ÉNFASIS: Chillambo M. (CNA) / Cuero B. (ERD) / Samaniego F. (ART) / Valverde M. (CAS)</t>
        </is>
      </c>
      <c r="AB38" s="7" t="inlineStr">
        <is>
          <t>Preciado O. (MAT)</t>
        </is>
      </c>
      <c r="AC38" s="7" t="inlineStr">
        <is>
          <t>González J. (ERD)</t>
        </is>
      </c>
      <c r="AD38" s="7" t="inlineStr">
        <is>
          <t>Lemos M. (CNA)</t>
        </is>
      </c>
      <c r="AE38" s="7" t="inlineStr">
        <is>
          <t>Fernández A. (TEI)</t>
        </is>
      </c>
      <c r="AF38" s="7" t="inlineStr">
        <is>
          <t>ÉNFASIS: Bastidas Z. (MAT) / Betancourth Y. (CSI) / Estacio R. (ETR) / Mindineros J. (TEI)</t>
        </is>
      </c>
      <c r="AG38" s="7" t="inlineStr">
        <is>
          <t>ÉNFASIS: Arboleda L. (ART) / Montaño F. (CAS) / Ramírez J. (ERD) / Villota H. (CNA)</t>
        </is>
      </c>
      <c r="AH38" s="7" t="inlineStr">
        <is>
          <t>Villota J. (MAT)</t>
        </is>
      </c>
      <c r="AI38" s="7" t="inlineStr">
        <is>
          <t>Pulgarín C. (CSI)</t>
        </is>
      </c>
      <c r="AJ38" s="7" t="inlineStr">
        <is>
          <t>Montaño L. (ETR)</t>
        </is>
      </c>
      <c r="AK38" s="7" t="inlineStr">
        <is>
          <t>Casanova J. (ORIENTACIÓN ESCOLAR) / Ponce Á. (ORIENTACIÓN ESCOLAR)</t>
        </is>
      </c>
      <c r="AL38" s="7" t="inlineStr">
        <is>
          <t>Ortiz M. (TUTORÍA PTAFI)</t>
        </is>
      </c>
    </row>
    <row r="39">
      <c r="A39" s="7" t="inlineStr">
        <is>
          <t>VIERNES</t>
        </is>
      </c>
      <c r="B39" s="7" t="n">
        <v>6</v>
      </c>
      <c r="C39" s="7" t="inlineStr">
        <is>
          <t>10:55-11:40</t>
        </is>
      </c>
      <c r="D39" s="7" t="inlineStr">
        <is>
          <t>Valencia G. (ÁREAS MÚLTIPLES)</t>
        </is>
      </c>
      <c r="E39" s="7" t="inlineStr">
        <is>
          <t>Martínez A. (ÁREAS MÚLTIPLES)</t>
        </is>
      </c>
      <c r="F39" s="7" t="inlineStr">
        <is>
          <t>Landázuri M. (ÁREAS MÚLTIPLES)</t>
        </is>
      </c>
      <c r="G39" s="7" t="inlineStr">
        <is>
          <t>Sinisterra A. (ÁREAS MÚLTIPLES)</t>
        </is>
      </c>
      <c r="H39" s="7" t="inlineStr">
        <is>
          <t>Cortés M. (ÁREAS MÚLTIPLES)</t>
        </is>
      </c>
      <c r="I39" s="7" t="inlineStr">
        <is>
          <t>Garzón S. (ÁREAS MÚLTIPLES)</t>
        </is>
      </c>
      <c r="J39" s="7" t="inlineStr">
        <is>
          <t>Tenorio L. (ÁREAS MÚLTIPLES)</t>
        </is>
      </c>
      <c r="K39" s="7" t="inlineStr">
        <is>
          <t>Torres E. (ÁREAS MÚLTIPLES)</t>
        </is>
      </c>
      <c r="L39" s="7" t="inlineStr">
        <is>
          <t>Landázuri T. (ÁREAS MÚLTIPLES)</t>
        </is>
      </c>
      <c r="M39" s="7" t="inlineStr">
        <is>
          <t>Zamora C. (ÁREAS MÚLTIPLES)</t>
        </is>
      </c>
      <c r="N39" s="7" t="inlineStr">
        <is>
          <t>Núñez E. (ÁREAS MÚLTIPLES)</t>
        </is>
      </c>
      <c r="O39" s="7" t="inlineStr">
        <is>
          <t>Cuéllar N. (ÁREAS MÚLTIPLES)</t>
        </is>
      </c>
      <c r="P39" s="7" t="inlineStr">
        <is>
          <t>Centeno C. (ÁREAS MÚLTIPLES)</t>
        </is>
      </c>
      <c r="Q39" s="7" t="inlineStr">
        <is>
          <t>Narváez D. (ÁREAS MÚLTIPLES)</t>
        </is>
      </c>
      <c r="R39" s="7" t="inlineStr">
        <is>
          <t>Escobar L. (ÁREAS MÚLTIPLES)</t>
        </is>
      </c>
      <c r="S39" s="7" t="inlineStr">
        <is>
          <t>Lozano A. (ETR)</t>
        </is>
      </c>
      <c r="T39" s="7" t="inlineStr">
        <is>
          <t>Armero J. (ERD)</t>
        </is>
      </c>
      <c r="U39" s="7" t="inlineStr">
        <is>
          <t>Quiñones M. (MAT)</t>
        </is>
      </c>
      <c r="V39" s="7" t="inlineStr">
        <is>
          <t>Cuero H. (CAS)</t>
        </is>
      </c>
      <c r="W39" s="7" t="inlineStr">
        <is>
          <t>Ordóñez J. (CNA)</t>
        </is>
      </c>
      <c r="X39" s="7" t="inlineStr">
        <is>
          <t>Quintero M. (CSI)</t>
        </is>
      </c>
      <c r="Y39" s="7" t="inlineStr">
        <is>
          <t>Puches A. (ART)</t>
        </is>
      </c>
      <c r="Z39" s="7" t="inlineStr">
        <is>
          <t>Vásquez S. (MAT)</t>
        </is>
      </c>
      <c r="AA39" s="7" t="inlineStr">
        <is>
          <t>ÉNFASIS: Chillambo M. (CNA) / Cuero B. (ERD) / Samaniego F. (ART) / Valverde M. (CAS)</t>
        </is>
      </c>
      <c r="AB39" s="7" t="inlineStr">
        <is>
          <t>Preciado O. (MAT)</t>
        </is>
      </c>
      <c r="AC39" s="7" t="inlineStr">
        <is>
          <t>González J. (ERD)</t>
        </is>
      </c>
      <c r="AD39" s="7" t="inlineStr">
        <is>
          <t>Lemos M. (CNA)</t>
        </is>
      </c>
      <c r="AE39" s="7" t="inlineStr">
        <is>
          <t>Fernández A. (TEI)</t>
        </is>
      </c>
      <c r="AF39" s="7" t="inlineStr">
        <is>
          <t>ÉNFASIS: Bastidas Z. (MAT) / Betancourth Y. (CSI) / Estacio R. (ETR) / Mindineros J. (TEI)</t>
        </is>
      </c>
      <c r="AG39" s="7" t="inlineStr">
        <is>
          <t>ÉNFASIS: Arboleda L. (ART) / Montaño F. (CAS) / Ramírez J. (ERD) / Villota H. (CNA)</t>
        </is>
      </c>
      <c r="AH39" s="7" t="inlineStr">
        <is>
          <t>Villota J. (MAT)</t>
        </is>
      </c>
      <c r="AI39" s="7" t="inlineStr">
        <is>
          <t>Pulgarín C. (CSI)</t>
        </is>
      </c>
      <c r="AJ39" s="7" t="inlineStr">
        <is>
          <t>Montaño L. (ETR)</t>
        </is>
      </c>
      <c r="AK39" s="7" t="inlineStr">
        <is>
          <t>Casanova J. (ORIENTACIÓN ESCOLAR) / Ponce Á. (ORIENTACIÓN ESCOLAR)</t>
        </is>
      </c>
      <c r="AL39" s="7" t="inlineStr">
        <is>
          <t>Ortiz M. (TUTORÍA PTAFI)</t>
        </is>
      </c>
    </row>
    <row r="40">
      <c r="A40" s="7" t="inlineStr">
        <is>
          <t>VIERNES</t>
        </is>
      </c>
      <c r="B40" s="7" t="n">
        <v>7</v>
      </c>
      <c r="C40" s="7" t="inlineStr">
        <is>
          <t>12:00-12:45</t>
        </is>
      </c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>
        <is>
          <t>ÉNFASIS: Castillo D. (CAS) / Puches A. (ART)</t>
        </is>
      </c>
      <c r="T40" s="7" t="inlineStr">
        <is>
          <t>ÉNFASIS: Ordóñez J. (CNA) / Arizala R. (ERD)</t>
        </is>
      </c>
      <c r="U40" s="7" t="inlineStr">
        <is>
          <t>Armero J. (CNA)</t>
        </is>
      </c>
      <c r="V40" s="7" t="inlineStr">
        <is>
          <t>Quiñones M. (MAT)</t>
        </is>
      </c>
      <c r="W40" s="7" t="inlineStr">
        <is>
          <t>Aguirre J. (TEI)</t>
        </is>
      </c>
      <c r="X40" s="7" t="inlineStr">
        <is>
          <t>Casanova Y. (ETR)</t>
        </is>
      </c>
      <c r="Y40" s="7" t="inlineStr">
        <is>
          <t>Vásquez S. (MAT)</t>
        </is>
      </c>
      <c r="Z40" s="7" t="inlineStr">
        <is>
          <t>Quintero M. (CSI)</t>
        </is>
      </c>
      <c r="AA40" s="7" t="inlineStr">
        <is>
          <t>Preciado O. (MAT)</t>
        </is>
      </c>
      <c r="AB40" s="7" t="inlineStr">
        <is>
          <t>Chillambo M. (CNA)</t>
        </is>
      </c>
      <c r="AC40" s="7" t="inlineStr">
        <is>
          <t>Betancourth Y. (CSI)</t>
        </is>
      </c>
      <c r="AD40" s="7" t="inlineStr">
        <is>
          <t>Mindineros J. (TEI)</t>
        </is>
      </c>
      <c r="AE40" s="7" t="inlineStr">
        <is>
          <t>Cuero B. (ERD)</t>
        </is>
      </c>
      <c r="AF40" s="7" t="inlineStr">
        <is>
          <t>Fernández A. (TEI)</t>
        </is>
      </c>
      <c r="AG40" s="7" t="inlineStr">
        <is>
          <t>Lemos M. (CNA)</t>
        </is>
      </c>
      <c r="AH40" s="7" t="inlineStr">
        <is>
          <t>Ramírez J. (ERD)</t>
        </is>
      </c>
      <c r="AI40" s="7" t="inlineStr">
        <is>
          <t>Montaño L. (ETR)</t>
        </is>
      </c>
      <c r="AJ40" s="7" t="inlineStr">
        <is>
          <t>Montaño F. (CAS)</t>
        </is>
      </c>
      <c r="AK40" s="7" t="inlineStr">
        <is>
          <t>Casanova J. (ORIENTACIÓN ESCOLAR) / Ponce Á. (ORIENTACIÓN ESCOLAR)</t>
        </is>
      </c>
      <c r="AL40" s="7" t="inlineStr"/>
    </row>
    <row r="41">
      <c r="A41" s="7" t="inlineStr">
        <is>
          <t>VIERNES</t>
        </is>
      </c>
      <c r="B41" s="7" t="n">
        <v>8</v>
      </c>
      <c r="C41" s="7" t="inlineStr">
        <is>
          <t>12:45-13:30</t>
        </is>
      </c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  <c r="S41" s="7" t="inlineStr">
        <is>
          <t>ÉNFASIS: Castillo D. (CAS) / Puches A. (ART)</t>
        </is>
      </c>
      <c r="T41" s="7" t="inlineStr">
        <is>
          <t>ÉNFASIS: Ordóñez J. (CNA) / Arizala R. (ERD)</t>
        </is>
      </c>
      <c r="U41" s="7" t="inlineStr">
        <is>
          <t>Armero J. (CNA)</t>
        </is>
      </c>
      <c r="V41" s="7" t="inlineStr">
        <is>
          <t>Quiñones M. (MAT)</t>
        </is>
      </c>
      <c r="W41" s="7" t="inlineStr">
        <is>
          <t>Aguirre J. (TEI)</t>
        </is>
      </c>
      <c r="X41" s="7" t="inlineStr">
        <is>
          <t>Casanova Y. (ETR)</t>
        </is>
      </c>
      <c r="Y41" s="7" t="inlineStr">
        <is>
          <t>Vásquez S. (MAT)</t>
        </is>
      </c>
      <c r="Z41" s="7" t="inlineStr">
        <is>
          <t>Quintero M. (CSI)</t>
        </is>
      </c>
      <c r="AA41" s="7" t="inlineStr">
        <is>
          <t>Preciado O. (MAT)</t>
        </is>
      </c>
      <c r="AB41" s="7" t="inlineStr">
        <is>
          <t>Chillambo M. (CNA)</t>
        </is>
      </c>
      <c r="AC41" s="7" t="inlineStr">
        <is>
          <t>Betancourth Y. (CSI)</t>
        </is>
      </c>
      <c r="AD41" s="7" t="inlineStr">
        <is>
          <t>Mindineros J. (TEI)</t>
        </is>
      </c>
      <c r="AE41" s="7" t="inlineStr">
        <is>
          <t>Cuero B. (ERD)</t>
        </is>
      </c>
      <c r="AF41" s="7" t="inlineStr">
        <is>
          <t>Fernández A. (TEI)</t>
        </is>
      </c>
      <c r="AG41" s="7" t="inlineStr">
        <is>
          <t>Lemos M. (CNA)</t>
        </is>
      </c>
      <c r="AH41" s="7" t="inlineStr">
        <is>
          <t>Ramírez J. (ERD)</t>
        </is>
      </c>
      <c r="AI41" s="7" t="inlineStr">
        <is>
          <t>Montaño L. (ETR)</t>
        </is>
      </c>
      <c r="AJ41" s="7" t="inlineStr">
        <is>
          <t>Montaño F. (CAS)</t>
        </is>
      </c>
      <c r="AK41" s="7" t="inlineStr">
        <is>
          <t>Casanova J. (ORIENTACIÓN ESCOLAR) / Ponce Á. (ORIENTACIÓN ESCOLAR)</t>
        </is>
      </c>
      <c r="AL41" s="7" t="inlineStr"/>
    </row>
  </sheetData>
  <autoFilter ref="A1:AL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7" customWidth="1" min="3" max="3"/>
    <col width="35" customWidth="1" min="4" max="4"/>
    <col width="36" customWidth="1" min="5" max="5"/>
    <col width="29" customWidth="1" min="6" max="6"/>
    <col width="29" customWidth="1" min="7" max="7"/>
  </cols>
  <sheetData>
    <row r="1">
      <c r="A1" s="6" t="inlineStr">
        <is>
          <t>grupo</t>
        </is>
      </c>
      <c r="B1" s="6" t="inlineStr">
        <is>
          <t>nombre</t>
        </is>
      </c>
      <c r="C1" s="6" t="inlineStr">
        <is>
          <t>tipo_direccion</t>
        </is>
      </c>
      <c r="D1" s="6" t="inlineStr">
        <is>
          <t>docente_1</t>
        </is>
      </c>
      <c r="E1" s="6" t="inlineStr">
        <is>
          <t>docente_2</t>
        </is>
      </c>
      <c r="F1" s="6" t="inlineStr">
        <is>
          <t>modalidad</t>
        </is>
      </c>
      <c r="G1" s="6" t="inlineStr">
        <is>
          <t>dinamizadores</t>
        </is>
      </c>
    </row>
    <row r="2">
      <c r="A2" t="inlineStr">
        <is>
          <t>0001</t>
        </is>
      </c>
      <c r="B2" t="inlineStr">
        <is>
          <t>0°-1</t>
        </is>
      </c>
      <c r="C2" t="inlineStr">
        <is>
          <t>UN DINAMIZADOR(A)</t>
        </is>
      </c>
      <c r="D2" t="inlineStr">
        <is>
          <t>Valencia Solís Gloria Alexa</t>
        </is>
      </c>
      <c r="E2" t="inlineStr"/>
      <c r="F2" t="inlineStr"/>
      <c r="G2" t="inlineStr">
        <is>
          <t>Valencia G.</t>
        </is>
      </c>
    </row>
    <row r="3">
      <c r="A3" t="inlineStr">
        <is>
          <t>0002</t>
        </is>
      </c>
      <c r="B3" t="inlineStr">
        <is>
          <t>0°-2</t>
        </is>
      </c>
      <c r="C3" t="inlineStr">
        <is>
          <t>UN DINAMIZADOR(A)</t>
        </is>
      </c>
      <c r="D3" t="inlineStr">
        <is>
          <t>Martínez Álvarez Andrea Ascención</t>
        </is>
      </c>
      <c r="E3" t="inlineStr"/>
      <c r="F3" t="inlineStr"/>
      <c r="G3" t="inlineStr">
        <is>
          <t>Martínez A.</t>
        </is>
      </c>
    </row>
    <row r="4">
      <c r="A4" t="inlineStr">
        <is>
          <t>0101</t>
        </is>
      </c>
      <c r="B4" t="inlineStr">
        <is>
          <t>1°-1</t>
        </is>
      </c>
      <c r="C4" t="inlineStr">
        <is>
          <t>UN DINAMIZADOR(A)</t>
        </is>
      </c>
      <c r="D4" t="inlineStr">
        <is>
          <t>Landázuri Quiñones María Elia</t>
        </is>
      </c>
      <c r="E4" t="inlineStr"/>
      <c r="F4" t="inlineStr"/>
      <c r="G4" t="inlineStr">
        <is>
          <t>Landázuri M.</t>
        </is>
      </c>
    </row>
    <row r="5">
      <c r="A5" t="inlineStr">
        <is>
          <t>0102</t>
        </is>
      </c>
      <c r="B5" t="inlineStr">
        <is>
          <t>1°-2</t>
        </is>
      </c>
      <c r="C5" t="inlineStr">
        <is>
          <t>UN DINAMIZADOR(A)</t>
        </is>
      </c>
      <c r="D5" t="inlineStr">
        <is>
          <t>Sinisterra Ana Lucía</t>
        </is>
      </c>
      <c r="E5" t="inlineStr"/>
      <c r="F5" t="inlineStr"/>
      <c r="G5" t="inlineStr">
        <is>
          <t>Sinisterra A.</t>
        </is>
      </c>
    </row>
    <row r="6">
      <c r="A6" t="inlineStr">
        <is>
          <t>0201</t>
        </is>
      </c>
      <c r="B6" t="inlineStr">
        <is>
          <t>2°-1</t>
        </is>
      </c>
      <c r="C6" t="inlineStr">
        <is>
          <t>UN DINAMIZADOR(A)</t>
        </is>
      </c>
      <c r="D6" t="inlineStr">
        <is>
          <t>Cortés Salazar María Ebelice</t>
        </is>
      </c>
      <c r="E6" t="inlineStr"/>
      <c r="F6" t="inlineStr"/>
      <c r="G6" t="inlineStr">
        <is>
          <t>Cortés M.</t>
        </is>
      </c>
    </row>
    <row r="7">
      <c r="A7" t="inlineStr">
        <is>
          <t>0202</t>
        </is>
      </c>
      <c r="B7" t="inlineStr">
        <is>
          <t>2°-2</t>
        </is>
      </c>
      <c r="C7" t="inlineStr">
        <is>
          <t>UN DINAMIZADOR(A)</t>
        </is>
      </c>
      <c r="D7" t="inlineStr">
        <is>
          <t>Garzón Quiñones Sixta Janina</t>
        </is>
      </c>
      <c r="E7" t="inlineStr"/>
      <c r="F7" t="inlineStr"/>
      <c r="G7" t="inlineStr">
        <is>
          <t>Garzón S.</t>
        </is>
      </c>
    </row>
    <row r="8">
      <c r="A8" t="inlineStr">
        <is>
          <t>0203</t>
        </is>
      </c>
      <c r="B8" t="inlineStr">
        <is>
          <t>2°-3</t>
        </is>
      </c>
      <c r="C8" t="inlineStr">
        <is>
          <t>UN DINAMIZADOR(A)</t>
        </is>
      </c>
      <c r="D8" t="inlineStr">
        <is>
          <t>Tenorio Cuero Lucy Bivian</t>
        </is>
      </c>
      <c r="E8" t="inlineStr"/>
      <c r="F8" t="inlineStr"/>
      <c r="G8" t="inlineStr">
        <is>
          <t>Tenorio L.</t>
        </is>
      </c>
    </row>
    <row r="9">
      <c r="A9" t="inlineStr">
        <is>
          <t>0301</t>
        </is>
      </c>
      <c r="B9" t="inlineStr">
        <is>
          <t>3°-1</t>
        </is>
      </c>
      <c r="C9" t="inlineStr">
        <is>
          <t>UN DINAMIZADOR(A)</t>
        </is>
      </c>
      <c r="D9" t="inlineStr">
        <is>
          <t>Torres Segura Encarnación</t>
        </is>
      </c>
      <c r="E9" t="inlineStr"/>
      <c r="F9" t="inlineStr"/>
      <c r="G9" t="inlineStr">
        <is>
          <t>Torres E.</t>
        </is>
      </c>
    </row>
    <row r="10">
      <c r="A10" t="inlineStr">
        <is>
          <t>0302</t>
        </is>
      </c>
      <c r="B10" t="inlineStr">
        <is>
          <t>3°-2</t>
        </is>
      </c>
      <c r="C10" t="inlineStr">
        <is>
          <t>UN DINAMIZADOR(A)</t>
        </is>
      </c>
      <c r="D10" t="inlineStr">
        <is>
          <t>Landázuri Gallón Teresa</t>
        </is>
      </c>
      <c r="E10" t="inlineStr"/>
      <c r="F10" t="inlineStr">
        <is>
          <t>PROCESOS BÁSICOS</t>
        </is>
      </c>
      <c r="G10" t="inlineStr">
        <is>
          <t>Landázuri T.</t>
        </is>
      </c>
    </row>
    <row r="11">
      <c r="A11" t="inlineStr">
        <is>
          <t>0401</t>
        </is>
      </c>
      <c r="B11" t="inlineStr">
        <is>
          <t>4°-1</t>
        </is>
      </c>
      <c r="C11" t="inlineStr">
        <is>
          <t>UN DINAMIZADOR(A)</t>
        </is>
      </c>
      <c r="D11" t="inlineStr">
        <is>
          <t>Zamora Ordóñez Celia Pastora</t>
        </is>
      </c>
      <c r="E11" t="inlineStr"/>
      <c r="F11" t="inlineStr"/>
      <c r="G11" t="inlineStr">
        <is>
          <t>Zamora C.</t>
        </is>
      </c>
    </row>
    <row r="12">
      <c r="A12" t="inlineStr">
        <is>
          <t>0402</t>
        </is>
      </c>
      <c r="B12" t="inlineStr">
        <is>
          <t>4°-2</t>
        </is>
      </c>
      <c r="C12" t="inlineStr">
        <is>
          <t>UN DINAMIZADOR(A)</t>
        </is>
      </c>
      <c r="D12" t="inlineStr">
        <is>
          <t>Núñez Perlaza Elcy</t>
        </is>
      </c>
      <c r="E12" t="inlineStr"/>
      <c r="F12" t="inlineStr"/>
      <c r="G12" t="inlineStr">
        <is>
          <t>Núñez E.</t>
        </is>
      </c>
    </row>
    <row r="13">
      <c r="A13" t="inlineStr">
        <is>
          <t>0501</t>
        </is>
      </c>
      <c r="B13" t="inlineStr">
        <is>
          <t>5°-1</t>
        </is>
      </c>
      <c r="C13" t="inlineStr">
        <is>
          <t>UN DINAMIZADOR(A)</t>
        </is>
      </c>
      <c r="D13" t="inlineStr">
        <is>
          <t>Cuéllar Gallo Nemesia</t>
        </is>
      </c>
      <c r="E13" t="inlineStr"/>
      <c r="F13" t="inlineStr"/>
      <c r="G13" t="inlineStr">
        <is>
          <t>Cuéllar N.</t>
        </is>
      </c>
    </row>
    <row r="14">
      <c r="A14" t="inlineStr">
        <is>
          <t>0502</t>
        </is>
      </c>
      <c r="B14" t="inlineStr">
        <is>
          <t>5°-2</t>
        </is>
      </c>
      <c r="C14" t="inlineStr">
        <is>
          <t>UN DINAMIZADOR(A)</t>
        </is>
      </c>
      <c r="D14" t="inlineStr">
        <is>
          <t>Centeno Zúñiga Claudia Patricia</t>
        </is>
      </c>
      <c r="E14" t="inlineStr"/>
      <c r="F14" t="inlineStr"/>
      <c r="G14" t="inlineStr">
        <is>
          <t>Centeno C.</t>
        </is>
      </c>
    </row>
    <row r="15">
      <c r="A15" t="inlineStr">
        <is>
          <t>0503</t>
        </is>
      </c>
      <c r="B15" t="inlineStr">
        <is>
          <t>5°-3</t>
        </is>
      </c>
      <c r="C15" t="inlineStr">
        <is>
          <t>UN DINAMIZADOR(A)</t>
        </is>
      </c>
      <c r="D15" t="inlineStr">
        <is>
          <t>Narváez Sánchez Dora Alejandra</t>
        </is>
      </c>
      <c r="E15" t="inlineStr"/>
      <c r="F15" t="inlineStr">
        <is>
          <t>ACELERACIÓN DEL APRENDIZAJE</t>
        </is>
      </c>
      <c r="G15" t="inlineStr">
        <is>
          <t>Narváez D.</t>
        </is>
      </c>
    </row>
    <row r="16">
      <c r="A16" t="inlineStr">
        <is>
          <t>0504</t>
        </is>
      </c>
      <c r="B16" t="inlineStr">
        <is>
          <t>5°-4</t>
        </is>
      </c>
      <c r="C16" t="inlineStr">
        <is>
          <t>UN DINAMIZADOR(A)</t>
        </is>
      </c>
      <c r="D16" t="inlineStr">
        <is>
          <t>Escobar Cortés Liliana</t>
        </is>
      </c>
      <c r="E16" t="inlineStr"/>
      <c r="F16" t="inlineStr">
        <is>
          <t>ACELERACIÓN DEL APRENDIZAJE</t>
        </is>
      </c>
      <c r="G16" t="inlineStr">
        <is>
          <t>Escobar L.</t>
        </is>
      </c>
    </row>
    <row r="17">
      <c r="A17" t="inlineStr">
        <is>
          <t>0601</t>
        </is>
      </c>
      <c r="B17" t="inlineStr">
        <is>
          <t>6°-1</t>
        </is>
      </c>
      <c r="C17" t="inlineStr">
        <is>
          <t>DUAL (ambos responsables)</t>
        </is>
      </c>
      <c r="D17" t="inlineStr">
        <is>
          <t>Quiñones Cabezas Marcos Vidal</t>
        </is>
      </c>
      <c r="E17" t="inlineStr">
        <is>
          <t>Montaño Anchico Favio Héctor</t>
        </is>
      </c>
      <c r="F17" t="inlineStr"/>
      <c r="G17" t="inlineStr">
        <is>
          <t>Quiñones M. / Montaño F.</t>
        </is>
      </c>
    </row>
    <row r="18">
      <c r="A18" t="inlineStr">
        <is>
          <t>0602</t>
        </is>
      </c>
      <c r="B18" t="inlineStr">
        <is>
          <t>6°-2</t>
        </is>
      </c>
      <c r="C18" t="inlineStr">
        <is>
          <t>DUAL (ambos responsables)</t>
        </is>
      </c>
      <c r="D18" t="inlineStr">
        <is>
          <t>Lozano Torres Amanda Inés</t>
        </is>
      </c>
      <c r="E18" t="inlineStr">
        <is>
          <t>Armero Dájome Jesús</t>
        </is>
      </c>
      <c r="F18" t="inlineStr"/>
      <c r="G18" t="inlineStr">
        <is>
          <t>Lozano A. / Armero J.</t>
        </is>
      </c>
    </row>
    <row r="19">
      <c r="A19" t="inlineStr">
        <is>
          <t>CS101</t>
        </is>
      </c>
      <c r="B19" t="inlineStr">
        <is>
          <t>CS 1-1</t>
        </is>
      </c>
      <c r="C19" t="inlineStr">
        <is>
          <t>DUAL (ambos responsables)</t>
        </is>
      </c>
      <c r="D19" t="inlineStr">
        <is>
          <t>García Gobea Saydi Magali</t>
        </is>
      </c>
      <c r="E19" t="inlineStr">
        <is>
          <t>Cuero Rincón Hernando Jesús</t>
        </is>
      </c>
      <c r="F19" t="inlineStr"/>
      <c r="G19" t="inlineStr">
        <is>
          <t>García S. / Cuero H.</t>
        </is>
      </c>
    </row>
    <row r="20">
      <c r="A20" t="inlineStr">
        <is>
          <t>CS102</t>
        </is>
      </c>
      <c r="B20" t="inlineStr">
        <is>
          <t>CS 1-2</t>
        </is>
      </c>
      <c r="C20" t="inlineStr">
        <is>
          <t>DUAL (ambos responsables)</t>
        </is>
      </c>
      <c r="D20" t="inlineStr">
        <is>
          <t>Puches Ana Milena</t>
        </is>
      </c>
      <c r="E20" t="inlineStr">
        <is>
          <t>Vásquez Valencia Segundo Leoncio</t>
        </is>
      </c>
      <c r="F20" t="inlineStr"/>
      <c r="G20" t="inlineStr">
        <is>
          <t>Puches A. / Vásquez S.</t>
        </is>
      </c>
    </row>
    <row r="21">
      <c r="A21" t="inlineStr">
        <is>
          <t>0701</t>
        </is>
      </c>
      <c r="B21" t="inlineStr">
        <is>
          <t>7°-1</t>
        </is>
      </c>
      <c r="C21" t="inlineStr">
        <is>
          <t>DUAL (ambos responsables)</t>
        </is>
      </c>
      <c r="D21" t="inlineStr">
        <is>
          <t>Castillo Cuero Daira Eneida</t>
        </is>
      </c>
      <c r="E21" t="inlineStr">
        <is>
          <t>Ordóñez Tenorio Jaime Marcial</t>
        </is>
      </c>
      <c r="F21" t="inlineStr"/>
      <c r="G21" t="inlineStr">
        <is>
          <t>Castillo D. / Ordóñez J.</t>
        </is>
      </c>
    </row>
    <row r="22">
      <c r="A22" t="inlineStr">
        <is>
          <t>0702</t>
        </is>
      </c>
      <c r="B22" t="inlineStr">
        <is>
          <t>7°-2</t>
        </is>
      </c>
      <c r="C22" t="inlineStr">
        <is>
          <t>DUAL (ambos responsables)</t>
        </is>
      </c>
      <c r="D22" t="inlineStr">
        <is>
          <t>Quintero Ramírez María del Carmen</t>
        </is>
      </c>
      <c r="E22" t="inlineStr">
        <is>
          <t>Prado Quiñones Genís Maribel</t>
        </is>
      </c>
      <c r="F22" t="inlineStr"/>
      <c r="G22" t="inlineStr">
        <is>
          <t>Quintero M. / Prado G.</t>
        </is>
      </c>
    </row>
    <row r="23">
      <c r="A23" t="inlineStr">
        <is>
          <t>0703</t>
        </is>
      </c>
      <c r="B23" t="inlineStr">
        <is>
          <t>7°-3</t>
        </is>
      </c>
      <c r="C23" t="inlineStr">
        <is>
          <t>DUAL (ambos responsables)</t>
        </is>
      </c>
      <c r="D23" t="inlineStr">
        <is>
          <t>Castillo Angulo Martha Cecilia</t>
        </is>
      </c>
      <c r="E23" t="inlineStr">
        <is>
          <t>Aguirre Riascos Jorge Andrés</t>
        </is>
      </c>
      <c r="F23" t="inlineStr"/>
      <c r="G23" t="inlineStr">
        <is>
          <t>Castillo M. / Aguirre J.</t>
        </is>
      </c>
    </row>
    <row r="24">
      <c r="A24" t="inlineStr">
        <is>
          <t>0704</t>
        </is>
      </c>
      <c r="B24" t="inlineStr">
        <is>
          <t>7°-4</t>
        </is>
      </c>
      <c r="C24" t="inlineStr">
        <is>
          <t>DUAL (ambos responsables)</t>
        </is>
      </c>
      <c r="D24" t="inlineStr">
        <is>
          <t>Arizala Castro Roberto Carlos</t>
        </is>
      </c>
      <c r="E24" t="inlineStr">
        <is>
          <t>Ramírez Guerra Jimmy Eduardo</t>
        </is>
      </c>
      <c r="F24" t="inlineStr"/>
      <c r="G24" t="inlineStr">
        <is>
          <t>Arizala R. / Ramírez J.</t>
        </is>
      </c>
    </row>
    <row r="25">
      <c r="A25" t="inlineStr">
        <is>
          <t>0801</t>
        </is>
      </c>
      <c r="B25" t="inlineStr">
        <is>
          <t>8°-1</t>
        </is>
      </c>
      <c r="C25" t="inlineStr">
        <is>
          <t>DUAL (ambos responsables)</t>
        </is>
      </c>
      <c r="D25" t="inlineStr">
        <is>
          <t>Valverde Montaño María Teresa</t>
        </is>
      </c>
      <c r="E25" t="inlineStr">
        <is>
          <t>Fernández Vélez Alfredo Enrique</t>
        </is>
      </c>
      <c r="F25" t="inlineStr"/>
      <c r="G25" t="inlineStr">
        <is>
          <t>Valverde M. / Fernández A.</t>
        </is>
      </c>
    </row>
    <row r="26">
      <c r="A26" t="inlineStr">
        <is>
          <t>0802</t>
        </is>
      </c>
      <c r="B26" t="inlineStr">
        <is>
          <t>8°-2</t>
        </is>
      </c>
      <c r="C26" t="inlineStr">
        <is>
          <t>DUAL (ambos responsables)</t>
        </is>
      </c>
      <c r="D26" t="inlineStr">
        <is>
          <t>Chillambo Quiñones María Rocío</t>
        </is>
      </c>
      <c r="E26" t="inlineStr">
        <is>
          <t>Casanova Quiñones Yoli del Carmen</t>
        </is>
      </c>
      <c r="F26" t="inlineStr"/>
      <c r="G26" t="inlineStr">
        <is>
          <t>Chillambo M. / Casanova Y.</t>
        </is>
      </c>
    </row>
    <row r="27">
      <c r="A27" t="inlineStr">
        <is>
          <t>0901</t>
        </is>
      </c>
      <c r="B27" t="inlineStr">
        <is>
          <t>9°-1</t>
        </is>
      </c>
      <c r="C27" t="inlineStr">
        <is>
          <t>DUAL (ambos responsables)</t>
        </is>
      </c>
      <c r="D27" t="inlineStr">
        <is>
          <t>Estacio Estupiñán Rosario</t>
        </is>
      </c>
      <c r="E27" t="inlineStr">
        <is>
          <t>González Castillo Jólmer Jimy</t>
        </is>
      </c>
      <c r="F27" t="inlineStr"/>
      <c r="G27" t="inlineStr">
        <is>
          <t>Estacio R. / González J.</t>
        </is>
      </c>
    </row>
    <row r="28">
      <c r="A28" t="inlineStr">
        <is>
          <t>0902</t>
        </is>
      </c>
      <c r="B28" t="inlineStr">
        <is>
          <t>9°-2</t>
        </is>
      </c>
      <c r="C28" t="inlineStr">
        <is>
          <t>DUAL (ambos responsables)</t>
        </is>
      </c>
      <c r="D28" t="inlineStr">
        <is>
          <t>Bastidas Valencia Zeneida Judith</t>
        </is>
      </c>
      <c r="E28" t="inlineStr">
        <is>
          <t>Villota Rubio Héctor Hugo</t>
        </is>
      </c>
      <c r="F28" t="inlineStr"/>
      <c r="G28" t="inlineStr">
        <is>
          <t>Bastidas Z. / Villota H.</t>
        </is>
      </c>
    </row>
    <row r="29">
      <c r="A29" t="inlineStr">
        <is>
          <t>CS201</t>
        </is>
      </c>
      <c r="B29" t="inlineStr">
        <is>
          <t>CS 2-1</t>
        </is>
      </c>
      <c r="C29" t="inlineStr">
        <is>
          <t>DUAL (ambos responsables)</t>
        </is>
      </c>
      <c r="D29" t="inlineStr">
        <is>
          <t>Preciado Torres Oleisa</t>
        </is>
      </c>
      <c r="E29" t="inlineStr">
        <is>
          <t>Ortiz Araujo Adiela Carlota</t>
        </is>
      </c>
      <c r="F29" t="inlineStr"/>
      <c r="G29" t="inlineStr">
        <is>
          <t>Preciado O. / Ortiz A.</t>
        </is>
      </c>
    </row>
    <row r="30">
      <c r="A30" t="inlineStr">
        <is>
          <t>CS202</t>
        </is>
      </c>
      <c r="B30" t="inlineStr">
        <is>
          <t>CS 2-2</t>
        </is>
      </c>
      <c r="C30" t="inlineStr">
        <is>
          <t>DUAL (ambos responsables)</t>
        </is>
      </c>
      <c r="D30" t="inlineStr">
        <is>
          <t>Samaniego Angulo Flor Mireya</t>
        </is>
      </c>
      <c r="E30" t="inlineStr">
        <is>
          <t>Cuero Bamba Berte Levi</t>
        </is>
      </c>
      <c r="F30" t="inlineStr"/>
      <c r="G30" t="inlineStr">
        <is>
          <t>Samaniego F. / Cuero B.</t>
        </is>
      </c>
    </row>
    <row r="31">
      <c r="A31" t="inlineStr">
        <is>
          <t>1001</t>
        </is>
      </c>
      <c r="B31" t="inlineStr">
        <is>
          <t>10°-1</t>
        </is>
      </c>
      <c r="C31" t="inlineStr">
        <is>
          <t>DUAL (ambos responsables)</t>
        </is>
      </c>
      <c r="D31" t="inlineStr">
        <is>
          <t>Meza Banguera Gladys Alicia</t>
        </is>
      </c>
      <c r="E31" t="inlineStr">
        <is>
          <t>Mindineros Satizábal John Jáver</t>
        </is>
      </c>
      <c r="F31" t="inlineStr"/>
      <c r="G31" t="inlineStr">
        <is>
          <t>Meza G. / Mindineros J.</t>
        </is>
      </c>
    </row>
    <row r="32">
      <c r="A32" t="inlineStr">
        <is>
          <t>1002</t>
        </is>
      </c>
      <c r="B32" t="inlineStr">
        <is>
          <t>10°-2</t>
        </is>
      </c>
      <c r="C32" t="inlineStr">
        <is>
          <t>DUAL (ambos responsables)</t>
        </is>
      </c>
      <c r="D32" t="inlineStr">
        <is>
          <t>Villota Rubio Janeth del Carmen</t>
        </is>
      </c>
      <c r="E32" t="inlineStr">
        <is>
          <t>Betancourth Ocampo Yohana Patricia</t>
        </is>
      </c>
      <c r="F32" t="inlineStr"/>
      <c r="G32" t="inlineStr">
        <is>
          <t>Villota J. / Betancourth Y.</t>
        </is>
      </c>
    </row>
    <row r="33">
      <c r="A33" t="inlineStr">
        <is>
          <t>1101</t>
        </is>
      </c>
      <c r="B33" t="inlineStr">
        <is>
          <t>11°-1</t>
        </is>
      </c>
      <c r="C33" t="inlineStr">
        <is>
          <t>DUAL (ambos responsables)</t>
        </is>
      </c>
      <c r="D33" t="inlineStr">
        <is>
          <t>Angulo Lucero Andrés Mauricio</t>
        </is>
      </c>
      <c r="E33" t="inlineStr">
        <is>
          <t>Valencia Marínez Saidy Eufemia</t>
        </is>
      </c>
      <c r="F33" t="inlineStr"/>
      <c r="G33" t="inlineStr">
        <is>
          <t>Angulo A. / Valencia S.</t>
        </is>
      </c>
    </row>
    <row r="34">
      <c r="A34" t="inlineStr">
        <is>
          <t>1102</t>
        </is>
      </c>
      <c r="B34" t="inlineStr">
        <is>
          <t>11°-2</t>
        </is>
      </c>
      <c r="C34" t="inlineStr">
        <is>
          <t>DUAL (ambos responsables)</t>
        </is>
      </c>
      <c r="D34" t="inlineStr">
        <is>
          <t>Arboleda Ortiz Luz América</t>
        </is>
      </c>
      <c r="E34" t="inlineStr">
        <is>
          <t>Montaño Arizala Leidis Claudina</t>
        </is>
      </c>
      <c r="F34" t="inlineStr"/>
      <c r="G34" t="inlineStr">
        <is>
          <t>Arboleda L. / Montaño L.</t>
        </is>
      </c>
    </row>
  </sheetData>
  <autoFilter ref="A1:G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13" customWidth="1" min="3" max="3"/>
    <col width="45" customWidth="1" min="4" max="4"/>
    <col width="18" customWidth="1" min="5" max="5"/>
    <col width="12" customWidth="1" min="6" max="6"/>
  </cols>
  <sheetData>
    <row r="1">
      <c r="A1" s="6" t="inlineStr">
        <is>
          <t>categoria</t>
        </is>
      </c>
      <c r="B1" s="6" t="inlineStr">
        <is>
          <t>motivo</t>
        </is>
      </c>
      <c r="C1" s="6" t="inlineStr">
        <is>
          <t>justificada</t>
        </is>
      </c>
      <c r="D1" s="6" t="inlineStr">
        <is>
          <t>soporte_sugerido</t>
        </is>
      </c>
      <c r="E1" s="6" t="inlineStr">
        <is>
          <t>requiere_soporte</t>
        </is>
      </c>
      <c r="F1" s="6" t="inlineStr">
        <is>
          <t>plazo_dias</t>
        </is>
      </c>
    </row>
    <row r="2">
      <c r="A2" t="inlineStr">
        <is>
          <t>SIN JUSTIFICACIÓN</t>
        </is>
      </c>
      <c r="B2" t="inlineStr">
        <is>
          <t>Sin justificación</t>
        </is>
      </c>
      <c r="C2" t="inlineStr">
        <is>
          <t>NO</t>
        </is>
      </c>
      <c r="D2" t="inlineStr">
        <is>
          <t>Cualquier soporte que la justifique</t>
        </is>
      </c>
      <c r="E2" t="inlineStr">
        <is>
          <t>SI</t>
        </is>
      </c>
      <c r="F2" t="inlineStr">
        <is>
          <t>3</t>
        </is>
      </c>
    </row>
    <row r="3">
      <c r="A3" t="inlineStr">
        <is>
          <t>SALUD</t>
        </is>
      </c>
      <c r="B3" t="inlineStr">
        <is>
          <t>Mal estado de salud</t>
        </is>
      </c>
      <c r="C3" t="inlineStr">
        <is>
          <t>SI</t>
        </is>
      </c>
      <c r="D3" t="inlineStr">
        <is>
          <t>Constancia médica o incapacidad</t>
        </is>
      </c>
      <c r="E3" t="inlineStr">
        <is>
          <t>SI</t>
        </is>
      </c>
      <c r="F3" t="inlineStr">
        <is>
          <t>5</t>
        </is>
      </c>
    </row>
    <row r="4">
      <c r="A4" t="inlineStr">
        <is>
          <t>SALUD</t>
        </is>
      </c>
      <c r="B4" t="inlineStr">
        <is>
          <t>Incapacidad Médica</t>
        </is>
      </c>
      <c r="C4" t="inlineStr">
        <is>
          <t>SI</t>
        </is>
      </c>
      <c r="D4" t="inlineStr">
        <is>
          <t>Copia incapacidad/licencia</t>
        </is>
      </c>
      <c r="E4" t="inlineStr">
        <is>
          <t>SI</t>
        </is>
      </c>
      <c r="F4" t="inlineStr">
        <is>
          <t>5</t>
        </is>
      </c>
    </row>
    <row r="5">
      <c r="A5" t="inlineStr">
        <is>
          <t>SALUD</t>
        </is>
      </c>
      <c r="B5" t="inlineStr">
        <is>
          <t>Cita médica</t>
        </is>
      </c>
      <c r="C5" t="inlineStr">
        <is>
          <t>SI</t>
        </is>
      </c>
      <c r="D5" t="inlineStr">
        <is>
          <t>Constancia o comprobante de la cita médica</t>
        </is>
      </c>
      <c r="E5" t="inlineStr">
        <is>
          <t>SI</t>
        </is>
      </c>
      <c r="F5" t="inlineStr">
        <is>
          <t>5</t>
        </is>
      </c>
    </row>
    <row r="6">
      <c r="A6" t="inlineStr">
        <is>
          <t>SALUD</t>
        </is>
      </c>
      <c r="B6" t="inlineStr">
        <is>
          <t>Exámenes clínicos</t>
        </is>
      </c>
      <c r="C6" t="inlineStr">
        <is>
          <t>SI</t>
        </is>
      </c>
      <c r="D6" t="inlineStr">
        <is>
          <t>Constancia de cita</t>
        </is>
      </c>
      <c r="E6" t="inlineStr">
        <is>
          <t>SI</t>
        </is>
      </c>
      <c r="F6" t="inlineStr">
        <is>
          <t>5</t>
        </is>
      </c>
    </row>
    <row r="7">
      <c r="A7" t="inlineStr">
        <is>
          <t>PERMISO INSTITUCIONAL</t>
        </is>
      </c>
      <c r="B7" t="inlineStr">
        <is>
          <t>Permiso del rector</t>
        </is>
      </c>
      <c r="C7" t="inlineStr">
        <is>
          <t>SI</t>
        </is>
      </c>
      <c r="D7" t="inlineStr">
        <is>
          <t>Formato Permiso Docente (ya está en rectoría)</t>
        </is>
      </c>
      <c r="E7" t="inlineStr">
        <is>
          <t>NO</t>
        </is>
      </c>
      <c r="F7" t="inlineStr">
        <is>
          <t>5</t>
        </is>
      </c>
    </row>
    <row r="8">
      <c r="A8" t="inlineStr">
        <is>
          <t>PERMISO INSTITUCIONAL</t>
        </is>
      </c>
      <c r="B8" t="inlineStr">
        <is>
          <t>Reunión o actividad institucional</t>
        </is>
      </c>
      <c r="C8" t="inlineStr">
        <is>
          <t>SI</t>
        </is>
      </c>
      <c r="D8" t="inlineStr">
        <is>
          <t>No requiere soporte (actividad del colegio)</t>
        </is>
      </c>
      <c r="E8" t="inlineStr">
        <is>
          <t>NO</t>
        </is>
      </c>
      <c r="F8" t="inlineStr">
        <is>
          <t>5</t>
        </is>
      </c>
    </row>
    <row r="9">
      <c r="A9" t="inlineStr">
        <is>
          <t>PERMISO INSTITUCIONAL</t>
        </is>
      </c>
      <c r="B9" t="inlineStr">
        <is>
          <t>Permiso por horas (personal)</t>
        </is>
      </c>
      <c r="C9" t="inlineStr">
        <is>
          <t>SI</t>
        </is>
      </c>
      <c r="D9" t="inlineStr">
        <is>
          <t>Autorización del rector o coordinación</t>
        </is>
      </c>
      <c r="E9" t="inlineStr">
        <is>
          <t>NO</t>
        </is>
      </c>
      <c r="F9" t="inlineStr">
        <is>
          <t>5</t>
        </is>
      </c>
    </row>
    <row r="10">
      <c r="A10" t="inlineStr">
        <is>
          <t>ACTIVIDAD INSTITUCIONAL</t>
        </is>
      </c>
      <c r="B10" t="inlineStr">
        <is>
          <t>Comité o consejo (calidad, académico, convivencia)</t>
        </is>
      </c>
      <c r="C10" t="inlineStr">
        <is>
          <t>SI</t>
        </is>
      </c>
      <c r="D10" t="inlineStr">
        <is>
          <t>No requiere soporte (actividad del colegio)</t>
        </is>
      </c>
      <c r="E10" t="inlineStr">
        <is>
          <t>NO</t>
        </is>
      </c>
      <c r="F10" t="inlineStr">
        <is>
          <t>5</t>
        </is>
      </c>
    </row>
    <row r="11">
      <c r="A11" t="inlineStr">
        <is>
          <t>ACTIVIDAD INSTITUCIONAL</t>
        </is>
      </c>
      <c r="B11" t="inlineStr">
        <is>
          <t>Reunión PTAFI con la tutora</t>
        </is>
      </c>
      <c r="C11" t="inlineStr">
        <is>
          <t>SI</t>
        </is>
      </c>
      <c r="D11" t="inlineStr">
        <is>
          <t>No requiere soporte (actividad del colegio)</t>
        </is>
      </c>
      <c r="E11" t="inlineStr">
        <is>
          <t>NO</t>
        </is>
      </c>
      <c r="F11" t="inlineStr">
        <is>
          <t>5</t>
        </is>
      </c>
    </row>
    <row r="12">
      <c r="A12" t="inlineStr">
        <is>
          <t>ACTIVIDAD INSTITUCIONAL</t>
        </is>
      </c>
      <c r="B12" t="inlineStr">
        <is>
          <t>Reunión de docentes o de área</t>
        </is>
      </c>
      <c r="C12" t="inlineStr">
        <is>
          <t>SI</t>
        </is>
      </c>
      <c r="D12" t="inlineStr">
        <is>
          <t>No requiere soporte (actividad del colegio)</t>
        </is>
      </c>
      <c r="E12" t="inlineStr">
        <is>
          <t>NO</t>
        </is>
      </c>
      <c r="F12" t="inlineStr">
        <is>
          <t>5</t>
        </is>
      </c>
    </row>
    <row r="13">
      <c r="A13" t="inlineStr">
        <is>
          <t>ACTIVIDAD INSTITUCIONAL</t>
        </is>
      </c>
      <c r="B13" t="inlineStr">
        <is>
          <t>Atención a padre de familia o acudiente</t>
        </is>
      </c>
      <c r="C13" t="inlineStr">
        <is>
          <t>SI</t>
        </is>
      </c>
      <c r="D13" t="inlineStr">
        <is>
          <t>No requiere soporte (actividad del colegio)</t>
        </is>
      </c>
      <c r="E13" t="inlineStr">
        <is>
          <t>NO</t>
        </is>
      </c>
      <c r="F13" t="inlineStr">
        <is>
          <t>5</t>
        </is>
      </c>
    </row>
    <row r="14">
      <c r="A14" t="inlineStr">
        <is>
          <t>ACTIVIDAD INSTITUCIONAL</t>
        </is>
      </c>
      <c r="B14" t="inlineStr">
        <is>
          <t>Atención en coordinación (estudiante o acudiente)</t>
        </is>
      </c>
      <c r="C14" t="inlineStr">
        <is>
          <t>SI</t>
        </is>
      </c>
      <c r="D14" t="inlineStr">
        <is>
          <t>No requiere soporte (actividad del colegio)</t>
        </is>
      </c>
      <c r="E14" t="inlineStr">
        <is>
          <t>NO</t>
        </is>
      </c>
      <c r="F14" t="inlineStr">
        <is>
          <t>5</t>
        </is>
      </c>
    </row>
    <row r="15">
      <c r="A15" t="inlineStr">
        <is>
          <t>ACTIVIDAD INSTITUCIONAL</t>
        </is>
      </c>
      <c r="B15" t="inlineStr">
        <is>
          <t>Reunión de cierre de jornada</t>
        </is>
      </c>
      <c r="C15" t="inlineStr">
        <is>
          <t>SI</t>
        </is>
      </c>
      <c r="D15" t="inlineStr">
        <is>
          <t>No requiere soporte (actividad del colegio)</t>
        </is>
      </c>
      <c r="E15" t="inlineStr">
        <is>
          <t>NO</t>
        </is>
      </c>
      <c r="F15" t="inlineStr">
        <is>
          <t>5</t>
        </is>
      </c>
    </row>
    <row r="16">
      <c r="A16" t="inlineStr">
        <is>
          <t>ACTIVIDAD INSTITUCIONAL</t>
        </is>
      </c>
      <c r="B16" t="inlineStr">
        <is>
          <t>Salida pedagógica o recorrido con estudiantes</t>
        </is>
      </c>
      <c r="C16" t="inlineStr">
        <is>
          <t>SI</t>
        </is>
      </c>
      <c r="D16" t="inlineStr">
        <is>
          <t>No requiere soporte (actividad del colegio)</t>
        </is>
      </c>
      <c r="E16" t="inlineStr">
        <is>
          <t>NO</t>
        </is>
      </c>
      <c r="F16" t="inlineStr">
        <is>
          <t>5</t>
        </is>
      </c>
    </row>
    <row r="17">
      <c r="A17" t="inlineStr">
        <is>
          <t>ACTIVIDAD INSTITUCIONAL</t>
        </is>
      </c>
      <c r="B17" t="inlineStr">
        <is>
          <t>Paseo o salida recreativa con estudiantes</t>
        </is>
      </c>
      <c r="C17" t="inlineStr">
        <is>
          <t>SI</t>
        </is>
      </c>
      <c r="D17" t="inlineStr">
        <is>
          <t>No requiere soporte (actividad del colegio)</t>
        </is>
      </c>
      <c r="E17" t="inlineStr">
        <is>
          <t>NO</t>
        </is>
      </c>
      <c r="F17" t="inlineStr">
        <is>
          <t>5</t>
        </is>
      </c>
    </row>
    <row r="18">
      <c r="A18" t="inlineStr">
        <is>
          <t>ACTIVIDAD INSTITUCIONAL</t>
        </is>
      </c>
      <c r="B18" t="inlineStr">
        <is>
          <t>Intercolegiados o evento deportivo con estudiantes</t>
        </is>
      </c>
      <c r="C18" t="inlineStr">
        <is>
          <t>SI</t>
        </is>
      </c>
      <c r="D18" t="inlineStr">
        <is>
          <t>No requiere soporte (actividad del colegio)</t>
        </is>
      </c>
      <c r="E18" t="inlineStr">
        <is>
          <t>NO</t>
        </is>
      </c>
      <c r="F18" t="inlineStr">
        <is>
          <t>5</t>
        </is>
      </c>
    </row>
    <row r="19">
      <c r="A19" t="inlineStr">
        <is>
          <t>ACTIVIDAD INSTITUCIONAL</t>
        </is>
      </c>
      <c r="B19" t="inlineStr">
        <is>
          <t>Charla o actividad externa con estudiantes</t>
        </is>
      </c>
      <c r="C19" t="inlineStr">
        <is>
          <t>SI</t>
        </is>
      </c>
      <c r="D19" t="inlineStr">
        <is>
          <t>No requiere soporte (actividad del colegio)</t>
        </is>
      </c>
      <c r="E19" t="inlineStr">
        <is>
          <t>NO</t>
        </is>
      </c>
      <c r="F19" t="inlineStr">
        <is>
          <t>5</t>
        </is>
      </c>
    </row>
    <row r="20">
      <c r="A20" t="inlineStr">
        <is>
          <t>ACTIVIDAD INSTITUCIONAL</t>
        </is>
      </c>
      <c r="B20" t="inlineStr">
        <is>
          <t>Visita a empresa, institución o feria con estudiantes</t>
        </is>
      </c>
      <c r="C20" t="inlineStr">
        <is>
          <t>SI</t>
        </is>
      </c>
      <c r="D20" t="inlineStr">
        <is>
          <t>No requiere soporte (actividad del colegio)</t>
        </is>
      </c>
      <c r="E20" t="inlineStr">
        <is>
          <t>NO</t>
        </is>
      </c>
      <c r="F20" t="inlineStr">
        <is>
          <t>5</t>
        </is>
      </c>
    </row>
    <row r="21">
      <c r="A21" t="inlineStr">
        <is>
          <t>ACTIVIDAD INSTITUCIONAL</t>
        </is>
      </c>
      <c r="B21" t="inlineStr">
        <is>
          <t>Salida cultural o artística con estudiantes</t>
        </is>
      </c>
      <c r="C21" t="inlineStr">
        <is>
          <t>SI</t>
        </is>
      </c>
      <c r="D21" t="inlineStr">
        <is>
          <t>No requiere soporte (actividad del colegio)</t>
        </is>
      </c>
      <c r="E21" t="inlineStr">
        <is>
          <t>NO</t>
        </is>
      </c>
      <c r="F21" t="inlineStr">
        <is>
          <t>5</t>
        </is>
      </c>
    </row>
    <row r="22">
      <c r="A22" t="inlineStr">
        <is>
          <t>ACTIVIDAD INSTITUCIONAL</t>
        </is>
      </c>
      <c r="B22" t="inlineStr">
        <is>
          <t>Otra salida con estudiantes (escribir en el detalle)</t>
        </is>
      </c>
      <c r="C22" t="inlineStr">
        <is>
          <t>SI</t>
        </is>
      </c>
      <c r="D22" t="inlineStr">
        <is>
          <t>No requiere soporte (actividad del colegio)</t>
        </is>
      </c>
      <c r="E22" t="inlineStr">
        <is>
          <t>NO</t>
        </is>
      </c>
      <c r="F22" t="inlineStr">
        <is>
          <t>5</t>
        </is>
      </c>
    </row>
    <row r="23">
      <c r="A23" t="inlineStr">
        <is>
          <t>FORTUITO</t>
        </is>
      </c>
      <c r="B23" t="inlineStr">
        <is>
          <t>Lluvia intensa o emergencia climática</t>
        </is>
      </c>
      <c r="C23" t="inlineStr">
        <is>
          <t>SI</t>
        </is>
      </c>
      <c r="D23" t="inlineStr">
        <is>
          <t>No requiere soporte (situación general)</t>
        </is>
      </c>
      <c r="E23" t="inlineStr">
        <is>
          <t>NO</t>
        </is>
      </c>
      <c r="F23" t="inlineStr">
        <is>
          <t>5</t>
        </is>
      </c>
    </row>
    <row r="24">
      <c r="A24" t="inlineStr">
        <is>
          <t>CALAMIDAD DOMÉSTICA</t>
        </is>
      </c>
      <c r="B24" t="inlineStr">
        <is>
          <t>Sepelio o duelo de un familiar</t>
        </is>
      </c>
      <c r="C24" t="inlineStr">
        <is>
          <t>SI</t>
        </is>
      </c>
      <c r="D24" t="inlineStr">
        <is>
          <t>Acta de defunción u otro soporte</t>
        </is>
      </c>
      <c r="E24" t="inlineStr">
        <is>
          <t>SI</t>
        </is>
      </c>
      <c r="F24" t="inlineStr">
        <is>
          <t>5</t>
        </is>
      </c>
    </row>
    <row r="25">
      <c r="A25" t="inlineStr">
        <is>
          <t>EVENTO EXTERNO</t>
        </is>
      </c>
      <c r="B25" t="inlineStr">
        <is>
          <t>Capacitación/Taller</t>
        </is>
      </c>
      <c r="C25" t="inlineStr">
        <is>
          <t>SI</t>
        </is>
      </c>
      <c r="D25" t="inlineStr">
        <is>
          <t>Citación o certificado</t>
        </is>
      </c>
      <c r="E25" t="inlineStr">
        <is>
          <t>SI</t>
        </is>
      </c>
      <c r="F25" t="inlineStr">
        <is>
          <t>5</t>
        </is>
      </c>
    </row>
    <row r="26">
      <c r="A26" t="inlineStr">
        <is>
          <t>EVENTO EXTERNO</t>
        </is>
      </c>
      <c r="B26" t="inlineStr">
        <is>
          <t>Evento Secretaría de Educación</t>
        </is>
      </c>
      <c r="C26" t="inlineStr">
        <is>
          <t>SI</t>
        </is>
      </c>
      <c r="D26" t="inlineStr">
        <is>
          <t>Citación / oficio de la SED</t>
        </is>
      </c>
      <c r="E26" t="inlineStr">
        <is>
          <t>SI</t>
        </is>
      </c>
      <c r="F26" t="inlineStr">
        <is>
          <t>5</t>
        </is>
      </c>
    </row>
    <row r="27">
      <c r="A27" t="inlineStr">
        <is>
          <t>ACADÉMICO DEL DOCENTE</t>
        </is>
      </c>
      <c r="B27" t="inlineStr">
        <is>
          <t>Tema académico del docente</t>
        </is>
      </c>
      <c r="C27" t="inlineStr">
        <is>
          <t>SI</t>
        </is>
      </c>
      <c r="D27" t="inlineStr">
        <is>
          <t>Constancia (estudios, posgrado)</t>
        </is>
      </c>
      <c r="E27" t="inlineStr">
        <is>
          <t>SI</t>
        </is>
      </c>
      <c r="F27" t="inlineStr">
        <is>
          <t>5</t>
        </is>
      </c>
    </row>
    <row r="28">
      <c r="A28" t="inlineStr">
        <is>
          <t>CALAMIDAD DOMÉSTICA</t>
        </is>
      </c>
      <c r="B28" t="inlineStr">
        <is>
          <t>Calamidad familiar</t>
        </is>
      </c>
      <c r="C28" t="inlineStr">
        <is>
          <t>SI</t>
        </is>
      </c>
      <c r="D28" t="inlineStr">
        <is>
          <t>Acta de defunción u otro soporte</t>
        </is>
      </c>
      <c r="E28" t="inlineStr">
        <is>
          <t>SI</t>
        </is>
      </c>
      <c r="F28" t="inlineStr">
        <is>
          <t>5</t>
        </is>
      </c>
    </row>
    <row r="29">
      <c r="A29" t="inlineStr">
        <is>
          <t>CALAMIDAD DOMÉSTICA</t>
        </is>
      </c>
      <c r="B29" t="inlineStr">
        <is>
          <t>Salud de hijo(a) o familiar</t>
        </is>
      </c>
      <c r="C29" t="inlineStr">
        <is>
          <t>SI</t>
        </is>
      </c>
      <c r="D29" t="inlineStr">
        <is>
          <t>Constancia médica o epicrisis</t>
        </is>
      </c>
      <c r="E29" t="inlineStr">
        <is>
          <t>SI</t>
        </is>
      </c>
      <c r="F29" t="inlineStr">
        <is>
          <t>5</t>
        </is>
      </c>
    </row>
    <row r="30">
      <c r="A30" t="inlineStr">
        <is>
          <t>CALAMIDAD DOMÉSTICA</t>
        </is>
      </c>
      <c r="B30" t="inlineStr">
        <is>
          <t>Traslado hijo(a) a colegio/médico</t>
        </is>
      </c>
      <c r="C30" t="inlineStr">
        <is>
          <t>SI</t>
        </is>
      </c>
      <c r="D30" t="inlineStr">
        <is>
          <t>Constancia</t>
        </is>
      </c>
      <c r="E30" t="inlineStr">
        <is>
          <t>SI</t>
        </is>
      </c>
      <c r="F30" t="inlineStr">
        <is>
          <t>5</t>
        </is>
      </c>
    </row>
    <row r="31">
      <c r="A31" t="inlineStr">
        <is>
          <t>CALAMIDAD DOMÉSTICA</t>
        </is>
      </c>
      <c r="B31" t="inlineStr">
        <is>
          <t>Reunión o acto escolar de hijo(a)</t>
        </is>
      </c>
      <c r="C31" t="inlineStr">
        <is>
          <t>SI</t>
        </is>
      </c>
      <c r="D31" t="inlineStr">
        <is>
          <t>Citación o constancia del colegio</t>
        </is>
      </c>
      <c r="E31" t="inlineStr">
        <is>
          <t>SI</t>
        </is>
      </c>
      <c r="F31" t="inlineStr">
        <is>
          <t>5</t>
        </is>
      </c>
    </row>
    <row r="32">
      <c r="A32" t="inlineStr">
        <is>
          <t>CALAMIDAD DOMÉSTICA</t>
        </is>
      </c>
      <c r="B32" t="inlineStr">
        <is>
          <t>Tema académico de hijo(a)</t>
        </is>
      </c>
      <c r="C32" t="inlineStr">
        <is>
          <t>SI</t>
        </is>
      </c>
      <c r="D32" t="inlineStr">
        <is>
          <t>Citación del colegio</t>
        </is>
      </c>
      <c r="E32" t="inlineStr">
        <is>
          <t>SI</t>
        </is>
      </c>
      <c r="F32" t="inlineStr">
        <is>
          <t>5</t>
        </is>
      </c>
    </row>
    <row r="33">
      <c r="A33" t="inlineStr">
        <is>
          <t>TRASLADO</t>
        </is>
      </c>
      <c r="B33" t="inlineStr">
        <is>
          <t>Remisión otra ciudad</t>
        </is>
      </c>
      <c r="C33" t="inlineStr">
        <is>
          <t>SI</t>
        </is>
      </c>
      <c r="D33" t="inlineStr">
        <is>
          <t>Remisión o pasajes</t>
        </is>
      </c>
      <c r="E33" t="inlineStr">
        <is>
          <t>SI</t>
        </is>
      </c>
      <c r="F33" t="inlineStr">
        <is>
          <t>5</t>
        </is>
      </c>
    </row>
    <row r="34">
      <c r="A34" t="inlineStr">
        <is>
          <t>FORTUITO</t>
        </is>
      </c>
      <c r="B34" t="inlineStr">
        <is>
          <t>Situación fortuita camino al trabajo</t>
        </is>
      </c>
      <c r="C34" t="inlineStr">
        <is>
          <t>SI</t>
        </is>
      </c>
      <c r="D34" t="inlineStr">
        <is>
          <t>Constancia si la hay</t>
        </is>
      </c>
      <c r="E34" t="inlineStr">
        <is>
          <t>SI</t>
        </is>
      </c>
      <c r="F34" t="inlineStr">
        <is>
          <t>5</t>
        </is>
      </c>
    </row>
    <row r="35">
      <c r="A35" t="inlineStr">
        <is>
          <t>OTRO</t>
        </is>
      </c>
      <c r="B35" t="inlineStr">
        <is>
          <t>Otro</t>
        </is>
      </c>
      <c r="C35" t="inlineStr">
        <is>
          <t>SI</t>
        </is>
      </c>
      <c r="D35" t="inlineStr">
        <is>
          <t>Describir en observaciones</t>
        </is>
      </c>
      <c r="E35" t="inlineStr">
        <is>
          <t>SI</t>
        </is>
      </c>
      <c r="F35" t="inlineStr">
        <is>
          <t>5</t>
        </is>
      </c>
    </row>
    <row r="36">
      <c r="A36" t="inlineStr">
        <is>
          <t>PERMISO INSTITUCIONAL</t>
        </is>
      </c>
      <c r="B36" t="inlineStr">
        <is>
          <t>Evento SED / SEM (capacitación, taller, charla)</t>
        </is>
      </c>
      <c r="C36" t="inlineStr">
        <is>
          <t>SI</t>
        </is>
      </c>
      <c r="D36" t="inlineStr">
        <is>
          <t>Citación o invitación de la Secretaría de Educación</t>
        </is>
      </c>
      <c r="E36" t="inlineStr">
        <is>
          <t>NO</t>
        </is>
      </c>
      <c r="F36" t="inlineStr">
        <is>
          <t>5</t>
        </is>
      </c>
    </row>
    <row r="37">
      <c r="A37" t="inlineStr">
        <is>
          <t>PERMISO SINDICAL</t>
        </is>
      </c>
      <c r="B37" t="inlineStr">
        <is>
          <t>Invitación sindical (encuentro, asamblea, delegados)</t>
        </is>
      </c>
      <c r="C37" t="inlineStr">
        <is>
          <t>SI</t>
        </is>
      </c>
      <c r="D37" t="inlineStr">
        <is>
          <t>Invitación o citación del sindicato</t>
        </is>
      </c>
      <c r="E37" t="inlineStr">
        <is>
          <t>SI</t>
        </is>
      </c>
      <c r="F37" t="inlineStr">
        <is>
          <t>5</t>
        </is>
      </c>
    </row>
  </sheetData>
  <autoFilter ref="A1:F3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9" customWidth="1" min="3" max="3"/>
    <col width="14" customWidth="1" min="4" max="4"/>
    <col width="26" customWidth="1" min="5" max="5"/>
    <col width="17" customWidth="1" min="6" max="6"/>
    <col width="13" customWidth="1" min="7" max="7"/>
    <col width="16" customWidth="1" min="8" max="8"/>
    <col width="19" customWidth="1" min="9" max="9"/>
    <col width="9" customWidth="1" min="10" max="10"/>
    <col width="9" customWidth="1" min="11" max="11"/>
    <col width="17" customWidth="1" min="12" max="12"/>
    <col width="9" customWidth="1" min="13" max="13"/>
    <col width="22" customWidth="1" min="14" max="14"/>
    <col width="19" customWidth="1" min="15" max="15"/>
    <col width="10" customWidth="1" min="16" max="16"/>
    <col width="13" customWidth="1" min="17" max="17"/>
    <col width="18" customWidth="1" min="18" max="18"/>
    <col width="20" customWidth="1" min="19" max="19"/>
    <col width="13" customWidth="1" min="20" max="20"/>
  </cols>
  <sheetData>
    <row r="1">
      <c r="A1" s="6" t="inlineStr">
        <is>
          <t>Marca temporal</t>
        </is>
      </c>
      <c r="B1" s="6" t="inlineStr">
        <is>
          <t>Fecha Novedad</t>
        </is>
      </c>
      <c r="C1" s="6" t="inlineStr">
        <is>
          <t>Docente</t>
        </is>
      </c>
      <c r="D1" s="6" t="inlineStr">
        <is>
          <t>Tipo Novedad</t>
        </is>
      </c>
      <c r="E1" s="6" t="inlineStr">
        <is>
          <t>Actividad de Aprendizaje</t>
        </is>
      </c>
      <c r="F1" s="6" t="inlineStr">
        <is>
          <t>Motivo Ausencia</t>
        </is>
      </c>
      <c r="G1" s="6" t="inlineStr">
        <is>
          <t>Descripción</t>
        </is>
      </c>
      <c r="H1" s="6" t="inlineStr">
        <is>
          <t>Fuente Novedad</t>
        </is>
      </c>
      <c r="I1" s="6" t="inlineStr">
        <is>
          <t>Medio Información</t>
        </is>
      </c>
      <c r="J1" s="6" t="inlineStr">
        <is>
          <t>Grado</t>
        </is>
      </c>
      <c r="K1" s="6" t="inlineStr">
        <is>
          <t>Grupo</t>
        </is>
      </c>
      <c r="L1" s="6" t="inlineStr">
        <is>
          <t>Área/Asignatura</t>
        </is>
      </c>
      <c r="M1" s="6" t="inlineStr">
        <is>
          <t>Horario</t>
        </is>
      </c>
      <c r="N1" s="6" t="inlineStr">
        <is>
          <t>Minutos Desatendidos</t>
        </is>
      </c>
      <c r="O1" s="6" t="inlineStr">
        <is>
          <t>Directivo Docente</t>
        </is>
      </c>
      <c r="P1" s="6" t="inlineStr">
        <is>
          <t>Sesiones</t>
        </is>
      </c>
      <c r="Q1" s="6" t="inlineStr">
        <is>
          <t>Justificada</t>
        </is>
      </c>
      <c r="R1" s="6" t="inlineStr">
        <is>
          <t>Categoría motivo</t>
        </is>
      </c>
      <c r="S1" s="6" t="inlineStr">
        <is>
          <t>Grupo atendido por</t>
        </is>
      </c>
      <c r="T1" s="6" t="inlineStr">
        <is>
          <t>ID registro</t>
        </is>
      </c>
    </row>
  </sheetData>
  <autoFilter ref="A1:T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6" customWidth="1" min="3" max="3"/>
    <col width="36" customWidth="1" min="4" max="4"/>
    <col width="24" customWidth="1" min="5" max="5"/>
    <col width="32" customWidth="1" min="6" max="6"/>
    <col width="22" customWidth="1" min="7" max="7"/>
    <col width="11" customWidth="1" min="8" max="8"/>
    <col width="11" customWidth="1" min="9" max="9"/>
    <col width="70" customWidth="1" min="10" max="10"/>
    <col width="11" customWidth="1" min="11" max="11"/>
    <col width="11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6" t="inlineStr">
        <is>
          <t>fecha</t>
        </is>
      </c>
      <c r="B1" s="6" t="inlineStr">
        <is>
          <t>hora</t>
        </is>
      </c>
      <c r="C1" s="6" t="inlineStr">
        <is>
          <t>remitente</t>
        </is>
      </c>
      <c r="D1" s="6" t="inlineStr">
        <is>
          <t>docente</t>
        </is>
      </c>
      <c r="E1" s="6" t="inlineStr">
        <is>
          <t>tipo_novedad</t>
        </is>
      </c>
      <c r="F1" s="6" t="inlineStr">
        <is>
          <t>motivo</t>
        </is>
      </c>
      <c r="G1" s="6" t="inlineStr">
        <is>
          <t>categoria</t>
        </is>
      </c>
      <c r="H1" s="6" t="inlineStr">
        <is>
          <t>justificada</t>
        </is>
      </c>
      <c r="I1" s="6" t="inlineStr">
        <is>
          <t>confianza</t>
        </is>
      </c>
      <c r="J1" s="6" t="inlineStr">
        <is>
          <t>mensaje</t>
        </is>
      </c>
      <c r="K1" s="6" t="inlineStr">
        <is>
          <t>confirmar</t>
        </is>
      </c>
      <c r="L1" s="6" t="inlineStr">
        <is>
          <t>importado</t>
        </is>
      </c>
      <c r="M1" s="6" t="inlineStr">
        <is>
          <t>id</t>
        </is>
      </c>
      <c r="N1" s="6" t="inlineStr">
        <is>
          <t>origen</t>
        </is>
      </c>
      <c r="O1" s="6" t="inlineStr">
        <is>
          <t>sesion</t>
        </is>
      </c>
      <c r="P1" s="6" t="inlineStr">
        <is>
          <t>grupo</t>
        </is>
      </c>
    </row>
  </sheetData>
  <autoFilter ref="A1:P1"/>
  <dataValidations count="4">
    <dataValidation sqref="K2:K500" showDropDown="0" showInputMessage="0" showErrorMessage="0" allowBlank="1" type="list">
      <formula1>"SI,NO"</formula1>
    </dataValidation>
    <dataValidation sqref="D2:D500" showDropDown="0" showInputMessage="0" showErrorMessage="0" allowBlank="1" type="list">
      <formula1>=Docentes!$E$2:$E$200</formula1>
    </dataValidation>
    <dataValidation sqref="F2:F500" showDropDown="0" showInputMessage="0" showErrorMessage="0" allowBlank="1" type="list">
      <formula1>=Motivos!$B$2:$B$40</formula1>
    </dataValidation>
    <dataValidation sqref="E2:E500" showDropDown="0" showInputMessage="0" showErrorMessage="0" allowBlank="1" type="list">
      <formula1>=Listas!$B$2:$B$7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9" customWidth="1" min="3" max="3"/>
    <col width="11" customWidth="1" min="4" max="4"/>
    <col width="9" customWidth="1" min="5" max="5"/>
    <col width="9" customWidth="1" min="6" max="6"/>
    <col width="10" customWidth="1" min="7" max="7"/>
    <col width="11" customWidth="1" min="8" max="8"/>
    <col width="14" customWidth="1" min="9" max="9"/>
    <col width="12" customWidth="1" min="10" max="10"/>
  </cols>
  <sheetData>
    <row r="1">
      <c r="A1" s="6" t="inlineStr">
        <is>
          <t>id</t>
        </is>
      </c>
      <c r="B1" s="6" t="inlineStr">
        <is>
          <t>fecha_registro</t>
        </is>
      </c>
      <c r="C1" s="6" t="inlineStr">
        <is>
          <t>fecha</t>
        </is>
      </c>
      <c r="D1" s="6" t="inlineStr">
        <is>
          <t>directivo</t>
        </is>
      </c>
      <c r="E1" s="6" t="inlineStr">
        <is>
          <t>sesion</t>
        </is>
      </c>
      <c r="F1" s="6" t="inlineStr">
        <is>
          <t>texto</t>
        </is>
      </c>
      <c r="G1" s="6" t="inlineStr">
        <is>
          <t>audio_id</t>
        </is>
      </c>
      <c r="H1" s="6" t="inlineStr">
        <is>
          <t>audio_url</t>
        </is>
      </c>
      <c r="I1" s="6" t="inlineStr">
        <is>
          <t>duracion_seg</t>
        </is>
      </c>
      <c r="J1" s="6" t="inlineStr">
        <is>
          <t>propuestas</t>
        </is>
      </c>
    </row>
  </sheetData>
  <autoFilter ref="A1:J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6" customWidth="1" min="2" max="2"/>
    <col width="33" customWidth="1" min="3" max="3"/>
    <col width="45" customWidth="1" min="4" max="4"/>
  </cols>
  <sheetData>
    <row r="1">
      <c r="A1" s="6" t="inlineStr">
        <is>
          <t>area</t>
        </is>
      </c>
      <c r="B1" s="6" t="inlineStr">
        <is>
          <t>docente_a</t>
        </is>
      </c>
      <c r="C1" s="6" t="inlineStr">
        <is>
          <t>docente_b</t>
        </is>
      </c>
      <c r="D1" s="6" t="inlineStr">
        <is>
          <t>nota</t>
        </is>
      </c>
    </row>
    <row r="2">
      <c r="A2" t="inlineStr">
        <is>
          <t>ETR</t>
        </is>
      </c>
      <c r="B2" t="inlineStr">
        <is>
          <t>Casanova Quiñones Yoli del Carmen</t>
        </is>
      </c>
      <c r="C2" t="inlineStr">
        <is>
          <t>Castillo Angulo Martha Cecilia</t>
        </is>
      </c>
      <c r="D2" t="inlineStr">
        <is>
          <t>Alternan cada semana (Ética / Religión) entre 7° y 8° (+ CS 2)</t>
        </is>
      </c>
    </row>
    <row r="3">
      <c r="A3" t="inlineStr">
        <is>
          <t>ETR</t>
        </is>
      </c>
      <c r="B3" t="inlineStr">
        <is>
          <t>Estacio Estupiñán Rosario</t>
        </is>
      </c>
      <c r="C3" t="inlineStr">
        <is>
          <t>Montaño Arizala Leidis Claudina</t>
        </is>
      </c>
      <c r="D3" t="inlineStr">
        <is>
          <t>Alternan cada semana (Ética / Religión) entre 9° - 10°-1 y 10°-2 - 11°</t>
        </is>
      </c>
    </row>
    <row r="4">
      <c r="A4" t="inlineStr">
        <is>
          <t>CSI</t>
        </is>
      </c>
      <c r="B4" t="inlineStr">
        <is>
          <t>Quintero Ramírez María del Carmen</t>
        </is>
      </c>
      <c r="C4" t="inlineStr">
        <is>
          <t>Ortiz Araujo Adiela Carlota</t>
        </is>
      </c>
      <c r="D4" t="inlineStr">
        <is>
          <t>Alternan cada semana (Sociales / Inglés) entre 7° y 8° (+ CS 2)</t>
        </is>
      </c>
    </row>
    <row r="5">
      <c r="A5" t="inlineStr">
        <is>
          <t>CSI</t>
        </is>
      </c>
      <c r="B5" t="inlineStr">
        <is>
          <t>Betancourth Ocampo Yohana Patricia</t>
        </is>
      </c>
      <c r="C5" t="inlineStr">
        <is>
          <t>Pulgarín Ortiz César Marino</t>
        </is>
      </c>
      <c r="D5" t="inlineStr">
        <is>
          <t>Alternan cada semana (Sociales / Inglés) entre 9° - 10°-1 y 10°-2 - 11°</t>
        </is>
      </c>
    </row>
    <row r="6">
      <c r="A6" t="inlineStr">
        <is>
          <t>CNA</t>
        </is>
      </c>
      <c r="B6" t="inlineStr">
        <is>
          <t>Lemos Guancha Miriam</t>
        </is>
      </c>
      <c r="C6" t="inlineStr">
        <is>
          <t>Villota Rubio Héctor Hugo</t>
        </is>
      </c>
      <c r="D6" t="inlineStr">
        <is>
          <t>Alternan cada semana (Ciencias Naturales: química / física) entre 9° - 10°-1 y 10°-2 - 11°</t>
        </is>
      </c>
    </row>
  </sheetData>
  <autoFilter ref="A1:D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3" customWidth="1" min="4" max="4"/>
    <col width="14" customWidth="1" min="5" max="5"/>
    <col width="18" customWidth="1" min="6" max="6"/>
  </cols>
  <sheetData>
    <row r="1">
      <c r="A1" s="6" t="inlineStr">
        <is>
          <t>semana</t>
        </is>
      </c>
      <c r="B1" s="6" t="inlineStr">
        <is>
          <t>clave</t>
        </is>
      </c>
      <c r="C1" s="6" t="inlineStr">
        <is>
          <t>elegido</t>
        </is>
      </c>
      <c r="D1" s="6" t="inlineStr">
        <is>
          <t>intercambio</t>
        </is>
      </c>
      <c r="E1" s="6" t="inlineStr">
        <is>
          <t>definido_por</t>
        </is>
      </c>
      <c r="F1" s="6" t="inlineStr">
        <is>
          <t>fecha_definicion</t>
        </is>
      </c>
    </row>
  </sheetData>
  <autoFilter ref="A1:F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7" customWidth="1" min="7" max="7"/>
    <col width="12" customWidth="1" min="8" max="8"/>
    <col width="12" customWidth="1" min="9" max="9"/>
    <col width="16" customWidth="1" min="10" max="10"/>
  </cols>
  <sheetData>
    <row r="1">
      <c r="A1" s="6" t="inlineStr">
        <is>
          <t>id</t>
        </is>
      </c>
      <c r="B1" s="6" t="inlineStr">
        <is>
          <t>fecha</t>
        </is>
      </c>
      <c r="C1" s="6" t="inlineStr">
        <is>
          <t>tipo</t>
        </is>
      </c>
      <c r="D1" s="6" t="inlineStr">
        <is>
          <t>nombre</t>
        </is>
      </c>
      <c r="E1" s="6" t="inlineStr">
        <is>
          <t>inicio</t>
        </is>
      </c>
      <c r="F1" s="6" t="inlineStr">
        <is>
          <t>fin</t>
        </is>
      </c>
      <c r="G1" s="6" t="inlineStr">
        <is>
          <t>sin_estudiantes</t>
        </is>
      </c>
      <c r="H1" s="6" t="inlineStr">
        <is>
          <t>convocados</t>
        </is>
      </c>
      <c r="I1" s="6" t="inlineStr">
        <is>
          <t>creado_por</t>
        </is>
      </c>
      <c r="J1" s="6" t="inlineStr">
        <is>
          <t>fecha_creacion</t>
        </is>
      </c>
    </row>
  </sheetData>
  <autoFilter ref="A1:J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13" customWidth="1" min="6" max="6"/>
    <col width="16" customWidth="1" min="7" max="7"/>
    <col width="16" customWidth="1" min="8" max="8"/>
  </cols>
  <sheetData>
    <row r="1">
      <c r="A1" s="6" t="inlineStr">
        <is>
          <t>id_reunion</t>
        </is>
      </c>
      <c r="B1" s="6" t="inlineStr">
        <is>
          <t>fecha</t>
        </is>
      </c>
      <c r="C1" s="6" t="inlineStr">
        <is>
          <t>persona</t>
        </is>
      </c>
      <c r="D1" s="6" t="inlineStr">
        <is>
          <t>estado</t>
        </is>
      </c>
      <c r="E1" s="6" t="inlineStr">
        <is>
          <t>motivo</t>
        </is>
      </c>
      <c r="F1" s="6" t="inlineStr">
        <is>
          <t>observacion</t>
        </is>
      </c>
      <c r="G1" s="6" t="inlineStr">
        <is>
          <t>registrado_por</t>
        </is>
      </c>
      <c r="H1" s="6" t="inlineStr">
        <is>
          <t>fecha_registro</t>
        </is>
      </c>
    </row>
  </sheetData>
  <autoFilter ref="A1:H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13" customWidth="1" min="10" max="10"/>
    <col width="21" customWidth="1" min="11" max="11"/>
    <col width="16" customWidth="1" min="12" max="12"/>
    <col width="16" customWidth="1" min="13" max="13"/>
    <col width="9" customWidth="1" min="14" max="14"/>
    <col width="13" customWidth="1" min="15" max="15"/>
    <col width="14" customWidth="1" min="16" max="16"/>
  </cols>
  <sheetData>
    <row r="1">
      <c r="A1" s="6" t="inlineStr">
        <is>
          <t>id</t>
        </is>
      </c>
      <c r="B1" s="6" t="inlineStr">
        <is>
          <t>fecha</t>
        </is>
      </c>
      <c r="C1" s="6" t="inlineStr">
        <is>
          <t>docente</t>
        </is>
      </c>
      <c r="D1" s="6" t="inlineStr">
        <is>
          <t>tipo</t>
        </is>
      </c>
      <c r="E1" s="6" t="inlineStr">
        <is>
          <t>sesiones</t>
        </is>
      </c>
      <c r="F1" s="6" t="inlineStr">
        <is>
          <t>grupo</t>
        </is>
      </c>
      <c r="G1" s="6" t="inlineStr">
        <is>
          <t>area</t>
        </is>
      </c>
      <c r="H1" s="6" t="inlineStr">
        <is>
          <t>minutos</t>
        </is>
      </c>
      <c r="I1" s="6" t="inlineStr">
        <is>
          <t>donde</t>
        </is>
      </c>
      <c r="J1" s="6" t="inlineStr">
        <is>
          <t>descripcion</t>
        </is>
      </c>
      <c r="K1" s="6" t="inlineStr">
        <is>
          <t>explicacion_docente</t>
        </is>
      </c>
      <c r="L1" s="6" t="inlineStr">
        <is>
          <t>registrado_por</t>
        </is>
      </c>
      <c r="M1" s="6" t="inlineStr">
        <is>
          <t>fecha_registro</t>
        </is>
      </c>
      <c r="N1" s="6" t="inlineStr">
        <is>
          <t>estado</t>
        </is>
      </c>
      <c r="O1" s="6" t="inlineStr">
        <is>
          <t>seguimiento</t>
        </is>
      </c>
      <c r="P1" s="6" t="inlineStr">
        <is>
          <t>reincidencia</t>
        </is>
      </c>
    </row>
  </sheetData>
  <autoFilter ref="A1:P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7" customWidth="1" min="4" max="4"/>
    <col width="16" customWidth="1" min="5" max="5"/>
    <col width="20" customWidth="1" min="6" max="6"/>
    <col width="15" customWidth="1" min="7" max="7"/>
    <col width="14" customWidth="1" min="8" max="8"/>
    <col width="18" customWidth="1" min="9" max="9"/>
  </cols>
  <sheetData>
    <row r="1">
      <c r="A1" s="6" t="inlineStr">
        <is>
          <t>email</t>
        </is>
      </c>
      <c r="B1" s="6" t="inlineStr">
        <is>
          <t>docente</t>
        </is>
      </c>
      <c r="C1" s="6" t="inlineStr">
        <is>
          <t>estado</t>
        </is>
      </c>
      <c r="D1" s="6" t="inlineStr">
        <is>
          <t>fecha_solicitud</t>
        </is>
      </c>
      <c r="E1" s="6" t="inlineStr">
        <is>
          <t>autoriza_datos</t>
        </is>
      </c>
      <c r="F1" s="6" t="inlineStr">
        <is>
          <t>fecha_autorizacion</t>
        </is>
      </c>
      <c r="G1" s="6" t="inlineStr">
        <is>
          <t>version_texto</t>
        </is>
      </c>
      <c r="H1" s="6" t="inlineStr">
        <is>
          <t>aprobado_por</t>
        </is>
      </c>
      <c r="I1" s="6" t="inlineStr">
        <is>
          <t>fecha_aprobacion</t>
        </is>
      </c>
    </row>
  </sheetData>
  <autoFilter ref="A1:I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  <col width="16" customWidth="1" min="8" max="8"/>
    <col width="12" customWidth="1" min="9" max="9"/>
    <col width="13" customWidth="1" min="10" max="10"/>
    <col width="9" customWidth="1" min="11" max="11"/>
    <col width="14" customWidth="1" min="12" max="12"/>
    <col width="12" customWidth="1" min="13" max="13"/>
    <col width="14" customWidth="1" min="14" max="14"/>
    <col width="16" customWidth="1" min="15" max="15"/>
    <col width="22" customWidth="1" min="16" max="16"/>
  </cols>
  <sheetData>
    <row r="1">
      <c r="A1" s="6" t="inlineStr">
        <is>
          <t>id</t>
        </is>
      </c>
      <c r="B1" s="6" t="inlineStr">
        <is>
          <t>fecha_carga</t>
        </is>
      </c>
      <c r="C1" s="6" t="inlineStr">
        <is>
          <t>docente</t>
        </is>
      </c>
      <c r="D1" s="6" t="inlineStr">
        <is>
          <t>clave</t>
        </is>
      </c>
      <c r="E1" s="6" t="inlineStr">
        <is>
          <t>inicio</t>
        </is>
      </c>
      <c r="F1" s="6" t="inlineStr">
        <is>
          <t>fin</t>
        </is>
      </c>
      <c r="G1" s="6" t="inlineStr">
        <is>
          <t>motivo_declarado</t>
        </is>
      </c>
      <c r="H1" s="6" t="inlineStr">
        <is>
          <t>tipo_documento</t>
        </is>
      </c>
      <c r="I1" s="6" t="inlineStr">
        <is>
          <t>archivo_id</t>
        </is>
      </c>
      <c r="J1" s="6" t="inlineStr">
        <is>
          <t>archivo_url</t>
        </is>
      </c>
      <c r="K1" s="6" t="inlineStr">
        <is>
          <t>estado</t>
        </is>
      </c>
      <c r="L1" s="6" t="inlineStr">
        <is>
          <t>extemporaneo</t>
        </is>
      </c>
      <c r="M1" s="6" t="inlineStr">
        <is>
          <t>comentario</t>
        </is>
      </c>
      <c r="N1" s="6" t="inlineStr">
        <is>
          <t>revisado_por</t>
        </is>
      </c>
      <c r="O1" s="6" t="inlineStr">
        <is>
          <t>fecha_revision</t>
        </is>
      </c>
      <c r="P1" s="6" t="inlineStr">
        <is>
          <t>observacion_revision</t>
        </is>
      </c>
    </row>
  </sheetData>
  <autoFilter ref="A1:P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6" t="inlineStr">
        <is>
          <t>clave</t>
        </is>
      </c>
      <c r="B1" s="6" t="inlineStr">
        <is>
          <t>valor</t>
        </is>
      </c>
    </row>
    <row r="2">
      <c r="A2" t="inlineStr">
        <is>
          <t>soportes_desde</t>
        </is>
      </c>
      <c r="B2" t="inlineStr">
        <is>
          <t>2026-10-05</t>
        </is>
      </c>
    </row>
    <row r="3">
      <c r="A3" t="inlineStr">
        <is>
          <t>carpeta_soportes_id</t>
        </is>
      </c>
      <c r="B3" t="inlineStr"/>
    </row>
    <row r="4">
      <c r="A4" t="inlineStr">
        <is>
          <t>audio_conservar_dias</t>
        </is>
      </c>
      <c r="B4" t="inlineStr">
        <is>
          <t>30</t>
        </is>
      </c>
    </row>
  </sheetData>
  <autoFilter ref="A1:B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3" customWidth="1" min="11" max="11"/>
    <col width="9" customWidth="1" min="12" max="12"/>
    <col width="15" customWidth="1" min="13" max="13"/>
    <col width="11" customWidth="1" min="14" max="14"/>
    <col width="14" customWidth="1" min="15" max="15"/>
  </cols>
  <sheetData>
    <row r="1">
      <c r="A1" s="6" t="inlineStr">
        <is>
          <t>marca_temporal</t>
        </is>
      </c>
      <c r="B1" s="6" t="inlineStr">
        <is>
          <t>fecha</t>
        </is>
      </c>
      <c r="C1" s="6" t="inlineStr">
        <is>
          <t>dia</t>
        </is>
      </c>
      <c r="D1" s="6" t="inlineStr">
        <is>
          <t>sesion</t>
        </is>
      </c>
      <c r="E1" s="6" t="inlineStr">
        <is>
          <t>franja</t>
        </is>
      </c>
      <c r="F1" s="6" t="inlineStr">
        <is>
          <t>docente</t>
        </is>
      </c>
      <c r="G1" s="6" t="inlineStr">
        <is>
          <t>grupo</t>
        </is>
      </c>
      <c r="H1" s="6" t="inlineStr">
        <is>
          <t>area</t>
        </is>
      </c>
      <c r="I1" s="6" t="inlineStr">
        <is>
          <t>estado</t>
        </is>
      </c>
      <c r="J1" s="6" t="inlineStr">
        <is>
          <t>motivo</t>
        </is>
      </c>
      <c r="K1" s="6" t="inlineStr">
        <is>
          <t>justificada</t>
        </is>
      </c>
      <c r="L1" s="6" t="inlineStr">
        <is>
          <t>minutos</t>
        </is>
      </c>
      <c r="M1" s="6" t="inlineStr">
        <is>
          <t>observaciones</t>
        </is>
      </c>
      <c r="N1" s="6" t="inlineStr">
        <is>
          <t>directivo</t>
        </is>
      </c>
      <c r="O1" s="6" t="inlineStr">
        <is>
          <t>atendido_por</t>
        </is>
      </c>
    </row>
  </sheetData>
  <autoFilter ref="A1:O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2" customWidth="1" min="2" max="2"/>
    <col width="45" customWidth="1" min="3" max="3"/>
  </cols>
  <sheetData>
    <row r="1">
      <c r="A1" s="6" t="inlineStr">
        <is>
          <t>nombre</t>
        </is>
      </c>
      <c r="B1" s="6" t="inlineStr">
        <is>
          <t>rol</t>
        </is>
      </c>
      <c r="C1" s="6" t="inlineStr">
        <is>
          <t>correo_temporal</t>
        </is>
      </c>
    </row>
    <row r="2">
      <c r="A2" t="inlineStr">
        <is>
          <t>Francisco Cortés</t>
        </is>
      </c>
      <c r="B2" t="inlineStr">
        <is>
          <t>Coordinador académico</t>
        </is>
      </c>
      <c r="C2" t="inlineStr">
        <is>
          <t>coordinador.academico.temporal@example.com</t>
        </is>
      </c>
    </row>
    <row r="3">
      <c r="A3" t="inlineStr">
        <is>
          <t>Verónica Barreiro</t>
        </is>
      </c>
      <c r="B3" t="inlineStr">
        <is>
          <t>Coordinadora de redes de apoyo</t>
        </is>
      </c>
      <c r="C3" t="inlineStr">
        <is>
          <t>coordinadora.redes.temporal@example.com</t>
        </is>
      </c>
    </row>
    <row r="4">
      <c r="A4" t="inlineStr">
        <is>
          <t>Harold Angulo</t>
        </is>
      </c>
      <c r="B4" t="inlineStr">
        <is>
          <t>Coordinador de convivencia</t>
        </is>
      </c>
      <c r="C4" t="inlineStr">
        <is>
          <t>coordinador.convivencia.temporal@example.com</t>
        </is>
      </c>
    </row>
    <row r="5">
      <c r="A5" t="inlineStr">
        <is>
          <t>Jorge Hernández</t>
        </is>
      </c>
      <c r="B5" t="inlineStr">
        <is>
          <t>Rector</t>
        </is>
      </c>
      <c r="C5" t="inlineStr">
        <is>
          <t>rector.temporal@example.com</t>
        </is>
      </c>
    </row>
  </sheetData>
  <autoFilter ref="A1:C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</cols>
  <sheetData>
    <row r="1">
      <c r="A1" s="6" t="inlineStr">
        <is>
          <t>lista</t>
        </is>
      </c>
      <c r="B1" s="6" t="inlineStr">
        <is>
          <t>valor</t>
        </is>
      </c>
    </row>
    <row r="2">
      <c r="A2" t="inlineStr">
        <is>
          <t>tipo_novedad</t>
        </is>
      </c>
      <c r="B2" t="inlineStr">
        <is>
          <t>Presente</t>
        </is>
      </c>
    </row>
    <row r="3">
      <c r="A3" t="inlineStr">
        <is>
          <t>tipo_novedad</t>
        </is>
      </c>
      <c r="B3" t="inlineStr">
        <is>
          <t>No asistió</t>
        </is>
      </c>
    </row>
    <row r="4">
      <c r="A4" t="inlineStr">
        <is>
          <t>tipo_novedad</t>
        </is>
      </c>
      <c r="B4" t="inlineStr">
        <is>
          <t>Ausente temporal</t>
        </is>
      </c>
    </row>
    <row r="5">
      <c r="A5" t="inlineStr">
        <is>
          <t>tipo_novedad</t>
        </is>
      </c>
      <c r="B5" t="inlineStr">
        <is>
          <t>Llegada tarde</t>
        </is>
      </c>
    </row>
    <row r="6">
      <c r="A6" t="inlineStr">
        <is>
          <t>tipo_novedad</t>
        </is>
      </c>
      <c r="B6" t="inlineStr">
        <is>
          <t>Llegada tarde informada</t>
        </is>
      </c>
    </row>
    <row r="7">
      <c r="A7" t="inlineStr">
        <is>
          <t>tipo_novedad</t>
        </is>
      </c>
      <c r="B7" t="inlineStr">
        <is>
          <t>Salida temprana</t>
        </is>
      </c>
    </row>
    <row r="8">
      <c r="A8" t="inlineStr">
        <is>
          <t>tipo_novedad</t>
        </is>
      </c>
      <c r="B8" t="inlineStr">
        <is>
          <t>Salida temprana informada</t>
        </is>
      </c>
    </row>
    <row r="9">
      <c r="A9" t="inlineStr">
        <is>
          <t>fuente</t>
        </is>
      </c>
      <c r="B9" t="inlineStr">
        <is>
          <t>Coordinador(a)</t>
        </is>
      </c>
    </row>
    <row r="10">
      <c r="A10" t="inlineStr">
        <is>
          <t>fuente</t>
        </is>
      </c>
      <c r="B10" t="inlineStr">
        <is>
          <t>Docente ausente</t>
        </is>
      </c>
    </row>
    <row r="11">
      <c r="A11" t="inlineStr">
        <is>
          <t>fuente</t>
        </is>
      </c>
      <c r="B11" t="inlineStr">
        <is>
          <t>Estudiantes</t>
        </is>
      </c>
    </row>
    <row r="12">
      <c r="A12" t="inlineStr">
        <is>
          <t>fuente</t>
        </is>
      </c>
      <c r="B12" t="inlineStr">
        <is>
          <t>Otro docente</t>
        </is>
      </c>
    </row>
    <row r="13">
      <c r="A13" t="inlineStr">
        <is>
          <t>fuente</t>
        </is>
      </c>
      <c r="B13" t="inlineStr">
        <is>
          <t>Rector</t>
        </is>
      </c>
    </row>
    <row r="14">
      <c r="A14" t="inlineStr">
        <is>
          <t>medio</t>
        </is>
      </c>
      <c r="B14" t="inlineStr">
        <is>
          <t>Inspección ocular/Ronda supervisión</t>
        </is>
      </c>
    </row>
    <row r="15">
      <c r="A15" t="inlineStr">
        <is>
          <t>medio</t>
        </is>
      </c>
      <c r="B15" t="inlineStr">
        <is>
          <t>Reporte/Conversación con estudiantes</t>
        </is>
      </c>
    </row>
    <row r="16">
      <c r="A16" t="inlineStr">
        <is>
          <t>medio</t>
        </is>
      </c>
      <c r="B16" t="inlineStr">
        <is>
          <t>Llamada celular</t>
        </is>
      </c>
    </row>
    <row r="17">
      <c r="A17" t="inlineStr">
        <is>
          <t>medio</t>
        </is>
      </c>
      <c r="B17" t="inlineStr">
        <is>
          <t>WhatsApp directo</t>
        </is>
      </c>
    </row>
    <row r="18">
      <c r="A18" t="inlineStr">
        <is>
          <t>medio</t>
        </is>
      </c>
      <c r="B18" t="inlineStr">
        <is>
          <t>WhatsApp grupal</t>
        </is>
      </c>
    </row>
    <row r="19">
      <c r="A19" t="inlineStr">
        <is>
          <t>medio</t>
        </is>
      </c>
      <c r="B19" t="inlineStr">
        <is>
          <t>Formato Permiso Docente</t>
        </is>
      </c>
    </row>
    <row r="20">
      <c r="A20" t="inlineStr">
        <is>
          <t>medio</t>
        </is>
      </c>
      <c r="B20" t="inlineStr">
        <is>
          <t>Verbal</t>
        </is>
      </c>
    </row>
    <row r="21">
      <c r="A21" t="inlineStr">
        <is>
          <t>medio</t>
        </is>
      </c>
      <c r="B21" t="inlineStr">
        <is>
          <t>Copia incapacidad/licencia</t>
        </is>
      </c>
    </row>
    <row r="22">
      <c r="A22" t="inlineStr">
        <is>
          <t>tipo_documento</t>
        </is>
      </c>
      <c r="B22" t="inlineStr">
        <is>
          <t>Incapacidad médica</t>
        </is>
      </c>
    </row>
    <row r="23">
      <c r="A23" t="inlineStr">
        <is>
          <t>tipo_documento</t>
        </is>
      </c>
      <c r="B23" t="inlineStr">
        <is>
          <t>Constancia o cita médica</t>
        </is>
      </c>
    </row>
    <row r="24">
      <c r="A24" t="inlineStr">
        <is>
          <t>tipo_documento</t>
        </is>
      </c>
      <c r="B24" t="inlineStr">
        <is>
          <t>Epicrisis</t>
        </is>
      </c>
    </row>
    <row r="25">
      <c r="A25" t="inlineStr">
        <is>
          <t>tipo_documento</t>
        </is>
      </c>
      <c r="B25" t="inlineStr">
        <is>
          <t>Acta de defunción</t>
        </is>
      </c>
    </row>
    <row r="26">
      <c r="A26" t="inlineStr">
        <is>
          <t>tipo_documento</t>
        </is>
      </c>
      <c r="B26" t="inlineStr">
        <is>
          <t>Citación o invitación</t>
        </is>
      </c>
    </row>
    <row r="27">
      <c r="A27" t="inlineStr">
        <is>
          <t>tipo_documento</t>
        </is>
      </c>
      <c r="B27" t="inlineStr">
        <is>
          <t>Constancia de estudio</t>
        </is>
      </c>
    </row>
    <row r="28">
      <c r="A28" t="inlineStr">
        <is>
          <t>tipo_documento</t>
        </is>
      </c>
      <c r="B28" t="inlineStr">
        <is>
          <t>Remisión o pasajes</t>
        </is>
      </c>
    </row>
    <row r="29">
      <c r="A29" t="inlineStr">
        <is>
          <t>tipo_documento</t>
        </is>
      </c>
      <c r="B29" t="inlineStr">
        <is>
          <t>Otro soporte</t>
        </is>
      </c>
    </row>
  </sheetData>
  <autoFilter ref="A1:B2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12" customWidth="1" min="6" max="6"/>
    <col width="9" customWidth="1" min="7" max="7"/>
  </cols>
  <sheetData>
    <row r="1">
      <c r="A1" s="6" t="inlineStr">
        <is>
          <t>hora</t>
        </is>
      </c>
      <c r="B1" s="6" t="inlineStr">
        <is>
          <t>bloque</t>
        </is>
      </c>
      <c r="C1" s="6" t="inlineStr">
        <is>
          <t>sesion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inicio_min</t>
        </is>
      </c>
      <c r="G1" s="6" t="inlineStr">
        <is>
          <t>fin_min</t>
        </is>
      </c>
    </row>
    <row r="2">
      <c r="A2" t="n">
        <v>1</v>
      </c>
      <c r="B2" t="n">
        <v>1</v>
      </c>
      <c r="C2" t="n">
        <v>1</v>
      </c>
      <c r="D2" t="inlineStr">
        <is>
          <t>06:30</t>
        </is>
      </c>
      <c r="E2" t="inlineStr">
        <is>
          <t>07:15</t>
        </is>
      </c>
      <c r="F2" t="n">
        <v>390</v>
      </c>
      <c r="G2" t="n">
        <v>435</v>
      </c>
    </row>
    <row r="3">
      <c r="A3" t="n">
        <v>2</v>
      </c>
      <c r="B3" t="n">
        <v>1</v>
      </c>
      <c r="C3" t="n">
        <v>2</v>
      </c>
      <c r="D3" t="inlineStr">
        <is>
          <t>07:15</t>
        </is>
      </c>
      <c r="E3" t="inlineStr">
        <is>
          <t>08:00</t>
        </is>
      </c>
      <c r="F3" t="n">
        <v>435</v>
      </c>
      <c r="G3" t="n">
        <v>480</v>
      </c>
    </row>
    <row r="4">
      <c r="A4" t="n">
        <v>3</v>
      </c>
      <c r="B4" t="n">
        <v>2</v>
      </c>
      <c r="C4" t="n">
        <v>1</v>
      </c>
      <c r="D4" t="inlineStr">
        <is>
          <t>08:20</t>
        </is>
      </c>
      <c r="E4" t="inlineStr">
        <is>
          <t>09:05</t>
        </is>
      </c>
      <c r="F4" t="n">
        <v>500</v>
      </c>
      <c r="G4" t="n">
        <v>545</v>
      </c>
    </row>
    <row r="5">
      <c r="A5" t="n">
        <v>4</v>
      </c>
      <c r="B5" t="n">
        <v>2</v>
      </c>
      <c r="C5" t="n">
        <v>2</v>
      </c>
      <c r="D5" t="inlineStr">
        <is>
          <t>09:05</t>
        </is>
      </c>
      <c r="E5" t="inlineStr">
        <is>
          <t>09:50</t>
        </is>
      </c>
      <c r="F5" t="n">
        <v>545</v>
      </c>
      <c r="G5" t="n">
        <v>590</v>
      </c>
    </row>
    <row r="6">
      <c r="A6" t="n">
        <v>5</v>
      </c>
      <c r="B6" t="n">
        <v>3</v>
      </c>
      <c r="C6" t="n">
        <v>1</v>
      </c>
      <c r="D6" t="inlineStr">
        <is>
          <t>10:10</t>
        </is>
      </c>
      <c r="E6" t="inlineStr">
        <is>
          <t>10:55</t>
        </is>
      </c>
      <c r="F6" t="n">
        <v>610</v>
      </c>
      <c r="G6" t="n">
        <v>655</v>
      </c>
    </row>
    <row r="7">
      <c r="A7" t="n">
        <v>6</v>
      </c>
      <c r="B7" t="n">
        <v>3</v>
      </c>
      <c r="C7" t="n">
        <v>2</v>
      </c>
      <c r="D7" t="inlineStr">
        <is>
          <t>10:55</t>
        </is>
      </c>
      <c r="E7" t="inlineStr">
        <is>
          <t>11:40</t>
        </is>
      </c>
      <c r="F7" t="n">
        <v>655</v>
      </c>
      <c r="G7" t="n">
        <v>700</v>
      </c>
    </row>
    <row r="8">
      <c r="A8" t="n">
        <v>7</v>
      </c>
      <c r="B8" t="n">
        <v>4</v>
      </c>
      <c r="C8" t="n">
        <v>1</v>
      </c>
      <c r="D8" t="inlineStr">
        <is>
          <t>12:00</t>
        </is>
      </c>
      <c r="E8" t="inlineStr">
        <is>
          <t>12:45</t>
        </is>
      </c>
      <c r="F8" t="n">
        <v>720</v>
      </c>
      <c r="G8" t="n">
        <v>765</v>
      </c>
    </row>
    <row r="9">
      <c r="A9" t="n">
        <v>8</v>
      </c>
      <c r="B9" t="n">
        <v>4</v>
      </c>
      <c r="C9" t="n">
        <v>2</v>
      </c>
      <c r="D9" t="inlineStr">
        <is>
          <t>12:45</t>
        </is>
      </c>
      <c r="E9" t="inlineStr">
        <is>
          <t>13:30</t>
        </is>
      </c>
      <c r="F9" t="n">
        <v>765</v>
      </c>
      <c r="G9" t="n">
        <v>810</v>
      </c>
    </row>
  </sheetData>
  <autoFilter ref="A1:G9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23" customWidth="1" min="3" max="3"/>
    <col width="41" customWidth="1" min="4" max="4"/>
    <col width="29" customWidth="1" min="5" max="5"/>
  </cols>
  <sheetData>
    <row r="1">
      <c r="A1" s="6" t="inlineStr">
        <is>
          <t>grupo</t>
        </is>
      </c>
      <c r="B1" s="6" t="inlineStr">
        <is>
          <t>tipo</t>
        </is>
      </c>
      <c r="C1" s="6" t="inlineStr">
        <is>
          <t>grado</t>
        </is>
      </c>
      <c r="D1" s="6" t="inlineStr">
        <is>
          <t>nombre</t>
        </is>
      </c>
      <c r="E1" s="6" t="inlineStr">
        <is>
          <t>modalidad</t>
        </is>
      </c>
    </row>
    <row r="2">
      <c r="A2" t="inlineStr">
        <is>
          <t>0001</t>
        </is>
      </c>
      <c r="B2" t="inlineStr">
        <is>
          <t>REGULAR</t>
        </is>
      </c>
      <c r="C2" t="inlineStr">
        <is>
          <t>0°</t>
        </is>
      </c>
      <c r="D2" t="inlineStr">
        <is>
          <t>0°-1</t>
        </is>
      </c>
      <c r="E2" t="inlineStr"/>
    </row>
    <row r="3">
      <c r="A3" t="inlineStr">
        <is>
          <t>0002</t>
        </is>
      </c>
      <c r="B3" t="inlineStr">
        <is>
          <t>REGULAR</t>
        </is>
      </c>
      <c r="C3" t="inlineStr">
        <is>
          <t>0°</t>
        </is>
      </c>
      <c r="D3" t="inlineStr">
        <is>
          <t>0°-2</t>
        </is>
      </c>
      <c r="E3" t="inlineStr"/>
    </row>
    <row r="4">
      <c r="A4" t="inlineStr">
        <is>
          <t>0101</t>
        </is>
      </c>
      <c r="B4" t="inlineStr">
        <is>
          <t>REGULAR</t>
        </is>
      </c>
      <c r="C4" t="inlineStr">
        <is>
          <t>1°</t>
        </is>
      </c>
      <c r="D4" t="inlineStr">
        <is>
          <t>1°-1</t>
        </is>
      </c>
      <c r="E4" t="inlineStr"/>
    </row>
    <row r="5">
      <c r="A5" t="inlineStr">
        <is>
          <t>0102</t>
        </is>
      </c>
      <c r="B5" t="inlineStr">
        <is>
          <t>REGULAR</t>
        </is>
      </c>
      <c r="C5" t="inlineStr">
        <is>
          <t>1°</t>
        </is>
      </c>
      <c r="D5" t="inlineStr">
        <is>
          <t>1°-2</t>
        </is>
      </c>
      <c r="E5" t="inlineStr"/>
    </row>
    <row r="6">
      <c r="A6" t="inlineStr">
        <is>
          <t>0201</t>
        </is>
      </c>
      <c r="B6" t="inlineStr">
        <is>
          <t>REGULAR</t>
        </is>
      </c>
      <c r="C6" t="inlineStr">
        <is>
          <t>2°</t>
        </is>
      </c>
      <c r="D6" t="inlineStr">
        <is>
          <t>2°-1</t>
        </is>
      </c>
      <c r="E6" t="inlineStr"/>
    </row>
    <row r="7">
      <c r="A7" t="inlineStr">
        <is>
          <t>0202</t>
        </is>
      </c>
      <c r="B7" t="inlineStr">
        <is>
          <t>REGULAR</t>
        </is>
      </c>
      <c r="C7" t="inlineStr">
        <is>
          <t>2°</t>
        </is>
      </c>
      <c r="D7" t="inlineStr">
        <is>
          <t>2°-2</t>
        </is>
      </c>
      <c r="E7" t="inlineStr"/>
    </row>
    <row r="8">
      <c r="A8" t="inlineStr">
        <is>
          <t>0203</t>
        </is>
      </c>
      <c r="B8" t="inlineStr">
        <is>
          <t>REGULAR</t>
        </is>
      </c>
      <c r="C8" t="inlineStr">
        <is>
          <t>2°</t>
        </is>
      </c>
      <c r="D8" t="inlineStr">
        <is>
          <t>2°-3</t>
        </is>
      </c>
      <c r="E8" t="inlineStr"/>
    </row>
    <row r="9">
      <c r="A9" t="inlineStr">
        <is>
          <t>0301</t>
        </is>
      </c>
      <c r="B9" t="inlineStr">
        <is>
          <t>REGULAR</t>
        </is>
      </c>
      <c r="C9" t="inlineStr">
        <is>
          <t>3°</t>
        </is>
      </c>
      <c r="D9" t="inlineStr">
        <is>
          <t>3°-1</t>
        </is>
      </c>
      <c r="E9" t="inlineStr"/>
    </row>
    <row r="10">
      <c r="A10" t="inlineStr">
        <is>
          <t>0302</t>
        </is>
      </c>
      <c r="B10" t="inlineStr">
        <is>
          <t>REGULAR</t>
        </is>
      </c>
      <c r="C10" t="inlineStr">
        <is>
          <t>3°</t>
        </is>
      </c>
      <c r="D10" t="inlineStr">
        <is>
          <t>3°-2</t>
        </is>
      </c>
      <c r="E10" t="inlineStr">
        <is>
          <t>PROCESOS BÁSICOS</t>
        </is>
      </c>
    </row>
    <row r="11">
      <c r="A11" t="inlineStr">
        <is>
          <t>0401</t>
        </is>
      </c>
      <c r="B11" t="inlineStr">
        <is>
          <t>REGULAR</t>
        </is>
      </c>
      <c r="C11" t="inlineStr">
        <is>
          <t>4°</t>
        </is>
      </c>
      <c r="D11" t="inlineStr">
        <is>
          <t>4°-1</t>
        </is>
      </c>
      <c r="E11" t="inlineStr"/>
    </row>
    <row r="12">
      <c r="A12" t="inlineStr">
        <is>
          <t>0402</t>
        </is>
      </c>
      <c r="B12" t="inlineStr">
        <is>
          <t>REGULAR</t>
        </is>
      </c>
      <c r="C12" t="inlineStr">
        <is>
          <t>4°</t>
        </is>
      </c>
      <c r="D12" t="inlineStr">
        <is>
          <t>4°-2</t>
        </is>
      </c>
      <c r="E12" t="inlineStr"/>
    </row>
    <row r="13">
      <c r="A13" t="inlineStr">
        <is>
          <t>0501</t>
        </is>
      </c>
      <c r="B13" t="inlineStr">
        <is>
          <t>REGULAR</t>
        </is>
      </c>
      <c r="C13" t="inlineStr">
        <is>
          <t>5°</t>
        </is>
      </c>
      <c r="D13" t="inlineStr">
        <is>
          <t>5°-1</t>
        </is>
      </c>
      <c r="E13" t="inlineStr"/>
    </row>
    <row r="14">
      <c r="A14" t="inlineStr">
        <is>
          <t>0502</t>
        </is>
      </c>
      <c r="B14" t="inlineStr">
        <is>
          <t>REGULAR</t>
        </is>
      </c>
      <c r="C14" t="inlineStr">
        <is>
          <t>5°</t>
        </is>
      </c>
      <c r="D14" t="inlineStr">
        <is>
          <t>5°-2</t>
        </is>
      </c>
      <c r="E14" t="inlineStr"/>
    </row>
    <row r="15">
      <c r="A15" t="inlineStr">
        <is>
          <t>0503</t>
        </is>
      </c>
      <c r="B15" t="inlineStr">
        <is>
          <t>REGULAR</t>
        </is>
      </c>
      <c r="C15" t="inlineStr">
        <is>
          <t>5°</t>
        </is>
      </c>
      <c r="D15" t="inlineStr">
        <is>
          <t>5°-3</t>
        </is>
      </c>
      <c r="E15" t="inlineStr">
        <is>
          <t>ACELERACIÓN DEL APRENDIZAJE</t>
        </is>
      </c>
    </row>
    <row r="16">
      <c r="A16" t="inlineStr">
        <is>
          <t>0504</t>
        </is>
      </c>
      <c r="B16" t="inlineStr">
        <is>
          <t>REGULAR</t>
        </is>
      </c>
      <c r="C16" t="inlineStr">
        <is>
          <t>5°</t>
        </is>
      </c>
      <c r="D16" t="inlineStr">
        <is>
          <t>5°-4</t>
        </is>
      </c>
      <c r="E16" t="inlineStr">
        <is>
          <t>ACELERACIÓN DEL APRENDIZAJE</t>
        </is>
      </c>
    </row>
    <row r="17">
      <c r="A17" t="inlineStr">
        <is>
          <t>0601</t>
        </is>
      </c>
      <c r="B17" t="inlineStr">
        <is>
          <t>REGULAR</t>
        </is>
      </c>
      <c r="C17" t="inlineStr">
        <is>
          <t>6°</t>
        </is>
      </c>
      <c r="D17" t="inlineStr">
        <is>
          <t>6°-1</t>
        </is>
      </c>
      <c r="E17" t="inlineStr"/>
    </row>
    <row r="18">
      <c r="A18" t="inlineStr">
        <is>
          <t>0602</t>
        </is>
      </c>
      <c r="B18" t="inlineStr">
        <is>
          <t>REGULAR</t>
        </is>
      </c>
      <c r="C18" t="inlineStr">
        <is>
          <t>6°</t>
        </is>
      </c>
      <c r="D18" t="inlineStr">
        <is>
          <t>6°-2</t>
        </is>
      </c>
      <c r="E18" t="inlineStr"/>
    </row>
    <row r="19">
      <c r="A19" t="inlineStr">
        <is>
          <t>CS101</t>
        </is>
      </c>
      <c r="B19" t="inlineStr">
        <is>
          <t>CAMINAR EN SECUNDARIA 1</t>
        </is>
      </c>
      <c r="C19" t="inlineStr">
        <is>
          <t>6°-7°</t>
        </is>
      </c>
      <c r="D19" t="inlineStr">
        <is>
          <t>CS 1-1</t>
        </is>
      </c>
      <c r="E19" t="inlineStr"/>
    </row>
    <row r="20">
      <c r="A20" t="inlineStr">
        <is>
          <t>CS102</t>
        </is>
      </c>
      <c r="B20" t="inlineStr">
        <is>
          <t>CAMINAR EN SECUNDARIA 1</t>
        </is>
      </c>
      <c r="C20" t="inlineStr">
        <is>
          <t>6°-7°</t>
        </is>
      </c>
      <c r="D20" t="inlineStr">
        <is>
          <t>CS 1-2</t>
        </is>
      </c>
      <c r="E20" t="inlineStr"/>
    </row>
    <row r="21">
      <c r="A21" t="inlineStr">
        <is>
          <t>0701</t>
        </is>
      </c>
      <c r="B21" t="inlineStr">
        <is>
          <t>REGULAR</t>
        </is>
      </c>
      <c r="C21" t="inlineStr">
        <is>
          <t>7°</t>
        </is>
      </c>
      <c r="D21" t="inlineStr">
        <is>
          <t>7°-1</t>
        </is>
      </c>
      <c r="E21" t="inlineStr"/>
    </row>
    <row r="22">
      <c r="A22" t="inlineStr">
        <is>
          <t>0702</t>
        </is>
      </c>
      <c r="B22" t="inlineStr">
        <is>
          <t>REGULAR</t>
        </is>
      </c>
      <c r="C22" t="inlineStr">
        <is>
          <t>7°</t>
        </is>
      </c>
      <c r="D22" t="inlineStr">
        <is>
          <t>7°-2</t>
        </is>
      </c>
      <c r="E22" t="inlineStr"/>
    </row>
    <row r="23">
      <c r="A23" t="inlineStr">
        <is>
          <t>0703</t>
        </is>
      </c>
      <c r="B23" t="inlineStr">
        <is>
          <t>REGULAR</t>
        </is>
      </c>
      <c r="C23" t="inlineStr">
        <is>
          <t>7°</t>
        </is>
      </c>
      <c r="D23" t="inlineStr">
        <is>
          <t>7°-3</t>
        </is>
      </c>
      <c r="E23" t="inlineStr"/>
    </row>
    <row r="24">
      <c r="A24" t="inlineStr">
        <is>
          <t>0704</t>
        </is>
      </c>
      <c r="B24" t="inlineStr">
        <is>
          <t>REGULAR</t>
        </is>
      </c>
      <c r="C24" t="inlineStr">
        <is>
          <t>7°</t>
        </is>
      </c>
      <c r="D24" t="inlineStr">
        <is>
          <t>7°-4</t>
        </is>
      </c>
      <c r="E24" t="inlineStr"/>
    </row>
    <row r="25">
      <c r="A25" t="inlineStr">
        <is>
          <t>0801</t>
        </is>
      </c>
      <c r="B25" t="inlineStr">
        <is>
          <t>REGULAR</t>
        </is>
      </c>
      <c r="C25" t="inlineStr">
        <is>
          <t>8°</t>
        </is>
      </c>
      <c r="D25" t="inlineStr">
        <is>
          <t>8°-1</t>
        </is>
      </c>
      <c r="E25" t="inlineStr"/>
    </row>
    <row r="26">
      <c r="A26" t="inlineStr">
        <is>
          <t>0802</t>
        </is>
      </c>
      <c r="B26" t="inlineStr">
        <is>
          <t>REGULAR</t>
        </is>
      </c>
      <c r="C26" t="inlineStr">
        <is>
          <t>8°</t>
        </is>
      </c>
      <c r="D26" t="inlineStr">
        <is>
          <t>8°-2</t>
        </is>
      </c>
      <c r="E26" t="inlineStr"/>
    </row>
    <row r="27">
      <c r="A27" t="inlineStr">
        <is>
          <t>0901</t>
        </is>
      </c>
      <c r="B27" t="inlineStr">
        <is>
          <t>REGULAR</t>
        </is>
      </c>
      <c r="C27" t="inlineStr">
        <is>
          <t>9°</t>
        </is>
      </c>
      <c r="D27" t="inlineStr">
        <is>
          <t>9°-1</t>
        </is>
      </c>
      <c r="E27" t="inlineStr"/>
    </row>
    <row r="28">
      <c r="A28" t="inlineStr">
        <is>
          <t>0902</t>
        </is>
      </c>
      <c r="B28" t="inlineStr">
        <is>
          <t>REGULAR</t>
        </is>
      </c>
      <c r="C28" t="inlineStr">
        <is>
          <t>9°</t>
        </is>
      </c>
      <c r="D28" t="inlineStr">
        <is>
          <t>9°-2</t>
        </is>
      </c>
      <c r="E28" t="inlineStr"/>
    </row>
    <row r="29">
      <c r="A29" t="inlineStr">
        <is>
          <t>CS201</t>
        </is>
      </c>
      <c r="B29" t="inlineStr">
        <is>
          <t>CAMINAR EN SECUNDARIA 2</t>
        </is>
      </c>
      <c r="C29" t="inlineStr">
        <is>
          <t>8°-9°</t>
        </is>
      </c>
      <c r="D29" t="inlineStr">
        <is>
          <t>CS 2-1</t>
        </is>
      </c>
      <c r="E29" t="inlineStr"/>
    </row>
    <row r="30">
      <c r="A30" t="inlineStr">
        <is>
          <t>CS202</t>
        </is>
      </c>
      <c r="B30" t="inlineStr">
        <is>
          <t>CAMINAR EN SECUNDARIA 2</t>
        </is>
      </c>
      <c r="C30" t="inlineStr">
        <is>
          <t>8°-9°</t>
        </is>
      </c>
      <c r="D30" t="inlineStr">
        <is>
          <t>CS 2-2</t>
        </is>
      </c>
      <c r="E30" t="inlineStr"/>
    </row>
    <row r="31">
      <c r="A31" t="inlineStr">
        <is>
          <t>1001</t>
        </is>
      </c>
      <c r="B31" t="inlineStr">
        <is>
          <t>REGULAR</t>
        </is>
      </c>
      <c r="C31" t="inlineStr">
        <is>
          <t>10°</t>
        </is>
      </c>
      <c r="D31" t="inlineStr">
        <is>
          <t>10°-1</t>
        </is>
      </c>
      <c r="E31" t="inlineStr"/>
    </row>
    <row r="32">
      <c r="A32" t="inlineStr">
        <is>
          <t>1002</t>
        </is>
      </c>
      <c r="B32" t="inlineStr">
        <is>
          <t>REGULAR</t>
        </is>
      </c>
      <c r="C32" t="inlineStr">
        <is>
          <t>10°</t>
        </is>
      </c>
      <c r="D32" t="inlineStr">
        <is>
          <t>10°-2</t>
        </is>
      </c>
      <c r="E32" t="inlineStr"/>
    </row>
    <row r="33">
      <c r="A33" t="inlineStr">
        <is>
          <t>1101</t>
        </is>
      </c>
      <c r="B33" t="inlineStr">
        <is>
          <t>REGULAR</t>
        </is>
      </c>
      <c r="C33" t="inlineStr">
        <is>
          <t>11°</t>
        </is>
      </c>
      <c r="D33" t="inlineStr">
        <is>
          <t>11°-1</t>
        </is>
      </c>
      <c r="E33" t="inlineStr"/>
    </row>
    <row r="34">
      <c r="A34" t="inlineStr">
        <is>
          <t>1102</t>
        </is>
      </c>
      <c r="B34" t="inlineStr">
        <is>
          <t>REGULAR</t>
        </is>
      </c>
      <c r="C34" t="inlineStr">
        <is>
          <t>11°</t>
        </is>
      </c>
      <c r="D34" t="inlineStr">
        <is>
          <t>11°-2</t>
        </is>
      </c>
      <c r="E34" t="inlineStr"/>
    </row>
    <row r="35">
      <c r="A35" t="inlineStr">
        <is>
          <t>ORIENT</t>
        </is>
      </c>
      <c r="B35" t="inlineStr">
        <is>
          <t>TRANSVERSAL</t>
        </is>
      </c>
      <c r="C35" t="inlineStr">
        <is>
          <t>Todos los niveles</t>
        </is>
      </c>
      <c r="D35" t="inlineStr">
        <is>
          <t>Orientación escolar (todos los niveles)</t>
        </is>
      </c>
      <c r="E35" t="inlineStr"/>
    </row>
    <row r="36">
      <c r="A36" t="inlineStr">
        <is>
          <t>PTAFI</t>
        </is>
      </c>
      <c r="B36" t="inlineStr">
        <is>
          <t>TRANSVERSAL</t>
        </is>
      </c>
      <c r="C36" t="inlineStr">
        <is>
          <t>Preescolar y primaria</t>
        </is>
      </c>
      <c r="D36" t="inlineStr">
        <is>
          <t>Tutora PTAFI (preescolar y primaria)</t>
        </is>
      </c>
      <c r="E36" t="inlineStr"/>
    </row>
  </sheetData>
  <autoFilter ref="A1:E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Francisco Javier Cortés Cabezas</dc:creator>
  <dc:title>ICET 2026 - Control de asistencia docente</dc:title>
  <dc:description>Sistema de control de asistencia docente. Autor: Francisco Javier Cortés Cabezas, coordinador académico; especialista en informática y telemática, magíster en educación, doctorando en desarrollo de la educación. I.E. ICET, Tumaco (Nariño). © 2026</dc:description>
  <dcterms:created xsi:type="dcterms:W3CDTF">2026-10-25T04:58:44Z</dcterms:created>
  <dcterms:modified xsi:type="dcterms:W3CDTF">2026-10-25T04:58:45Z</dcterms:modified>
</cp:coreProperties>
</file>