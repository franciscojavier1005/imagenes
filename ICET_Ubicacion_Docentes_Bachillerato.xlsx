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icacion" sheetId="1" state="visible" r:id="rId1"/>
    <sheet name="Por_Docente" sheetId="2" state="visible" r:id="rId2"/>
    <sheet name="Horario_Bach" sheetId="3" state="visible" r:id="rId3"/>
    <sheet name="Franjas" sheetId="4" state="visible" r:id="rId4"/>
    <sheet name="Grupos" sheetId="5" state="visible" r:id="rId5"/>
    <sheet name="LEEME" sheetId="6" state="visible" r:id="rId6"/>
  </sheets>
  <definedNames>
    <definedName name="_xlnm._FilterDatabase" localSheetId="1" hidden="1">'Por_Docente'!$A$7:$D$45</definedName>
    <definedName name="_xlnm._FilterDatabase" localSheetId="2" hidden="1">'Horario_Bach'!$A$1:$Q$1025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5"/>
    </font>
    <font>
      <i val="1"/>
      <color rgb="0052514E"/>
    </font>
    <font>
      <b val="1"/>
    </font>
    <font>
      <i val="1"/>
      <color rgb="0074736D"/>
    </font>
    <font>
      <b val="1"/>
      <sz val="12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3" borderId="0" pivotButton="0" quotePrefix="0" xfId="0"/>
    <xf numFmtId="0" fontId="5" fillId="0" borderId="0" pivotButton="0" quotePrefix="0" xfId="0"/>
    <xf numFmtId="0" fontId="0" fillId="3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vertical="center" wrapText="1"/>
    </xf>
    <xf numFmtId="0" fontId="7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bgColor rgb="00FFF2CC"/>
        </patternFill>
      </fill>
    </dxf>
    <dxf>
      <font>
        <color rgb="008A94A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8" customWidth="1" min="3" max="3"/>
    <col width="12" customWidth="1" min="4" max="4"/>
    <col width="10" customWidth="1" min="5" max="5"/>
    <col width="70" customWidth="1" min="6" max="6"/>
    <col hidden="1" width="13" customWidth="1" min="8" max="8"/>
    <col hidden="1" width="13" customWidth="1" min="11" max="11"/>
    <col hidden="1" width="13" customWidth="1" min="12" max="12"/>
  </cols>
  <sheetData>
    <row r="1">
      <c r="A1" s="1" t="inlineStr">
        <is>
          <t>UBICACIÓN DE DOCENTES · BACHILLERATO · ICET 2026</t>
        </is>
      </c>
      <c r="K1" t="inlineStr">
        <is>
          <t>fecha efectiva</t>
        </is>
      </c>
      <c r="L1">
        <f>IF(B3&lt;&gt;"",B3,TODAY())</f>
        <v/>
      </c>
    </row>
    <row r="2">
      <c r="A2" s="2" t="inlineStr">
        <is>
          <t>Al abrir muestra sola quién está en cada grupo AHORA. Para consultar otro momento use las celdas amarillas (vacías = ahora).</t>
        </is>
      </c>
      <c r="K2" t="inlineStr">
        <is>
          <t>día</t>
        </is>
      </c>
      <c r="L2">
        <f>IFERROR(CHOOSE(WEEKDAY(L1,2),"LUNES","MARTES","MIERCOLES","JUEVES","VIERNES"),"FIN DE SEMANA")</f>
        <v/>
      </c>
    </row>
    <row r="3">
      <c r="A3" s="3" t="inlineStr">
        <is>
          <t>Fecha</t>
        </is>
      </c>
      <c r="B3" s="4" t="n"/>
      <c r="C3" s="5" t="inlineStr">
        <is>
          <t>← opcional: escriba otra fecha (dd/mm/aaaa)</t>
        </is>
      </c>
      <c r="K3" t="inlineStr">
        <is>
          <t>minuto</t>
        </is>
      </c>
      <c r="L3">
        <f>HOUR(NOW())*60+MINUTE(NOW())</f>
        <v/>
      </c>
    </row>
    <row r="4">
      <c r="A4" s="3" t="inlineStr">
        <is>
          <t>Bloque (90 min)</t>
        </is>
      </c>
      <c r="B4" s="6" t="n"/>
      <c r="C4" s="5" t="inlineStr">
        <is>
          <t>← opcional: bloque 1 a 4</t>
        </is>
      </c>
      <c r="K4" t="inlineStr">
        <is>
          <t>sesión auto</t>
        </is>
      </c>
      <c r="L4">
        <f>IF(L3&gt;=MAX(Franjas!$F$2:$F$9),"FUERA DE JORNADA",IFERROR(IF(L3&lt;INDEX(Franjas!$F$2:$F$9,MATCH(L3,Franjas!$E$2:$E$9,1)),MATCH(L3,Franjas!$E$2:$E$9,1),"DESCANSO"),"FUERA DE JORNADA"))</f>
        <v/>
      </c>
    </row>
    <row r="5">
      <c r="A5" s="3" t="inlineStr">
        <is>
          <t>Sesión (45 min)</t>
        </is>
      </c>
      <c r="B5" s="6" t="n"/>
      <c r="C5" s="5" t="inlineStr">
        <is>
          <t>← opcional: sesión 1 a 8 (manda sobre el bloque)</t>
        </is>
      </c>
      <c r="K5" t="inlineStr">
        <is>
          <t>sesión manual</t>
        </is>
      </c>
      <c r="L5">
        <f>IF(B5&lt;&gt;"",B5,IF(B4&lt;&gt;"",(B4-1)*2+1,""))</f>
        <v/>
      </c>
    </row>
    <row r="6">
      <c r="K6" t="inlineStr">
        <is>
          <t>sesión efectiva</t>
        </is>
      </c>
      <c r="L6">
        <f>IF(L5&lt;&gt;"",L5,IF(L1=TODAY(),L4,"ELEGIR"))</f>
        <v/>
      </c>
    </row>
    <row r="7">
      <c r="A7" s="3" t="inlineStr">
        <is>
          <t>Consulta</t>
        </is>
      </c>
      <c r="B7" s="7">
        <f>TEXT(L1,"dd/mm/yyyy")&amp;"  ·  "&amp;L2</f>
        <v/>
      </c>
      <c r="K7" t="inlineStr">
        <is>
          <t>clave</t>
        </is>
      </c>
      <c r="L7">
        <f>IF(ISNUMBER(L6),L2&amp;"|"&amp;L6,"")</f>
        <v/>
      </c>
    </row>
    <row r="8">
      <c r="A8" s="3" t="inlineStr">
        <is>
          <t>Franja</t>
        </is>
      </c>
      <c r="B8" s="7">
        <f>IF(ISNUMBER(L6),INDEX(Franjas!$C$2:$C$9,L6)&amp;" - "&amp;INDEX(Franjas!$D$2:$D$9,L6)&amp;"   (bloque "&amp;INDEX(Franjas!$B$2:$B$9,L6)&amp;", sesión "&amp;L6&amp;")","—")</f>
        <v/>
      </c>
    </row>
    <row r="9">
      <c r="A9" s="3" t="inlineStr">
        <is>
          <t>Estado</t>
        </is>
      </c>
      <c r="B9" s="7">
        <f>IF(L2="FIN DE SEMANA","Fin de semana: no hay clases",IF(L6="ELEGIR","Elija un bloque o una sesión para esa fecha",IF(L6="DESCANSO","Descanso: no hay clases en este momento",IF(L6="FUERA DE JORNADA","Fuera de la jornada escolar",IF(L5&lt;&gt;"","Consulta manual","AHORA (automático)")))))</f>
        <v/>
      </c>
    </row>
    <row r="10">
      <c r="A10" s="3" t="inlineStr">
        <is>
          <t>Docentes con clase</t>
        </is>
      </c>
      <c r="B10" s="7">
        <f>IF(L7="",0,COUNTIF(Horario_Bach!$N$2:$N$1200,L7))</f>
        <v/>
      </c>
    </row>
    <row r="11">
      <c r="A11" s="3" t="inlineStr">
        <is>
          <t>Hora del dispositivo</t>
        </is>
      </c>
      <c r="B11" s="7">
        <f>TEXT(NOW(),"HH:mm")</f>
        <v/>
      </c>
    </row>
    <row r="13">
      <c r="A13" s="8" t="inlineStr">
        <is>
          <t>#</t>
        </is>
      </c>
      <c r="B13" s="8" t="inlineStr">
        <is>
          <t>Grupo</t>
        </is>
      </c>
      <c r="C13" s="8" t="inlineStr">
        <is>
          <t>Docente</t>
        </is>
      </c>
      <c r="D13" s="8" t="inlineStr">
        <is>
          <t>Área</t>
        </is>
      </c>
      <c r="E13" s="8" t="inlineStr">
        <is>
          <t>Tipo</t>
        </is>
      </c>
      <c r="F13" s="8" t="inlineStr">
        <is>
          <t>Nota (alternancia / equipo del énfasis)</t>
        </is>
      </c>
    </row>
    <row r="14">
      <c r="A14" t="n">
        <v>1</v>
      </c>
      <c r="B14">
        <f>IF($H14="","",INDEX(Horario_Bach!$L$2:$L$1200,$H14))</f>
        <v/>
      </c>
      <c r="C14">
        <f>IF($H14="","",INDEX(Horario_Bach!$B$2:$B$1200,$H14))</f>
        <v/>
      </c>
      <c r="D14">
        <f>IF($H14="","",INDEX(Horario_Bach!$H$2:$H$1200,$H14))</f>
        <v/>
      </c>
      <c r="E14">
        <f>IF($H14="","",IF(INDEX(Horario_Bach!$F$2:$F$1200,$H14)="ENFASIS","Énfasis","Clase"))</f>
        <v/>
      </c>
      <c r="F14">
        <f>IF($H14="","",INDEX(Horario_Bach!$M$2:$M$1200,$H14))</f>
        <v/>
      </c>
      <c r="H14">
        <f>IFERROR(MATCH($L$7&amp;"|"&amp;A14,Horario_Bach!$P$2:$P$1200,0),"")</f>
        <v/>
      </c>
    </row>
    <row r="15">
      <c r="A15" t="n">
        <v>2</v>
      </c>
      <c r="B15">
        <f>IF($H15="","",INDEX(Horario_Bach!$L$2:$L$1200,$H15))</f>
        <v/>
      </c>
      <c r="C15">
        <f>IF($H15="","",INDEX(Horario_Bach!$B$2:$B$1200,$H15))</f>
        <v/>
      </c>
      <c r="D15">
        <f>IF($H15="","",INDEX(Horario_Bach!$H$2:$H$1200,$H15))</f>
        <v/>
      </c>
      <c r="E15">
        <f>IF($H15="","",IF(INDEX(Horario_Bach!$F$2:$F$1200,$H15)="ENFASIS","Énfasis","Clase"))</f>
        <v/>
      </c>
      <c r="F15">
        <f>IF($H15="","",INDEX(Horario_Bach!$M$2:$M$1200,$H15))</f>
        <v/>
      </c>
      <c r="H15">
        <f>IFERROR(MATCH($L$7&amp;"|"&amp;A15,Horario_Bach!$P$2:$P$1200,0),"")</f>
        <v/>
      </c>
    </row>
    <row r="16">
      <c r="A16" t="n">
        <v>3</v>
      </c>
      <c r="B16">
        <f>IF($H16="","",INDEX(Horario_Bach!$L$2:$L$1200,$H16))</f>
        <v/>
      </c>
      <c r="C16">
        <f>IF($H16="","",INDEX(Horario_Bach!$B$2:$B$1200,$H16))</f>
        <v/>
      </c>
      <c r="D16">
        <f>IF($H16="","",INDEX(Horario_Bach!$H$2:$H$1200,$H16))</f>
        <v/>
      </c>
      <c r="E16">
        <f>IF($H16="","",IF(INDEX(Horario_Bach!$F$2:$F$1200,$H16)="ENFASIS","Énfasis","Clase"))</f>
        <v/>
      </c>
      <c r="F16">
        <f>IF($H16="","",INDEX(Horario_Bach!$M$2:$M$1200,$H16))</f>
        <v/>
      </c>
      <c r="H16">
        <f>IFERROR(MATCH($L$7&amp;"|"&amp;A16,Horario_Bach!$P$2:$P$1200,0),"")</f>
        <v/>
      </c>
    </row>
    <row r="17">
      <c r="A17" t="n">
        <v>4</v>
      </c>
      <c r="B17">
        <f>IF($H17="","",INDEX(Horario_Bach!$L$2:$L$1200,$H17))</f>
        <v/>
      </c>
      <c r="C17">
        <f>IF($H17="","",INDEX(Horario_Bach!$B$2:$B$1200,$H17))</f>
        <v/>
      </c>
      <c r="D17">
        <f>IF($H17="","",INDEX(Horario_Bach!$H$2:$H$1200,$H17))</f>
        <v/>
      </c>
      <c r="E17">
        <f>IF($H17="","",IF(INDEX(Horario_Bach!$F$2:$F$1200,$H17)="ENFASIS","Énfasis","Clase"))</f>
        <v/>
      </c>
      <c r="F17">
        <f>IF($H17="","",INDEX(Horario_Bach!$M$2:$M$1200,$H17))</f>
        <v/>
      </c>
      <c r="H17">
        <f>IFERROR(MATCH($L$7&amp;"|"&amp;A17,Horario_Bach!$P$2:$P$1200,0),"")</f>
        <v/>
      </c>
    </row>
    <row r="18">
      <c r="A18" t="n">
        <v>5</v>
      </c>
      <c r="B18">
        <f>IF($H18="","",INDEX(Horario_Bach!$L$2:$L$1200,$H18))</f>
        <v/>
      </c>
      <c r="C18">
        <f>IF($H18="","",INDEX(Horario_Bach!$B$2:$B$1200,$H18))</f>
        <v/>
      </c>
      <c r="D18">
        <f>IF($H18="","",INDEX(Horario_Bach!$H$2:$H$1200,$H18))</f>
        <v/>
      </c>
      <c r="E18">
        <f>IF($H18="","",IF(INDEX(Horario_Bach!$F$2:$F$1200,$H18)="ENFASIS","Énfasis","Clase"))</f>
        <v/>
      </c>
      <c r="F18">
        <f>IF($H18="","",INDEX(Horario_Bach!$M$2:$M$1200,$H18))</f>
        <v/>
      </c>
      <c r="H18">
        <f>IFERROR(MATCH($L$7&amp;"|"&amp;A18,Horario_Bach!$P$2:$P$1200,0),"")</f>
        <v/>
      </c>
    </row>
    <row r="19">
      <c r="A19" t="n">
        <v>6</v>
      </c>
      <c r="B19">
        <f>IF($H19="","",INDEX(Horario_Bach!$L$2:$L$1200,$H19))</f>
        <v/>
      </c>
      <c r="C19">
        <f>IF($H19="","",INDEX(Horario_Bach!$B$2:$B$1200,$H19))</f>
        <v/>
      </c>
      <c r="D19">
        <f>IF($H19="","",INDEX(Horario_Bach!$H$2:$H$1200,$H19))</f>
        <v/>
      </c>
      <c r="E19">
        <f>IF($H19="","",IF(INDEX(Horario_Bach!$F$2:$F$1200,$H19)="ENFASIS","Énfasis","Clase"))</f>
        <v/>
      </c>
      <c r="F19">
        <f>IF($H19="","",INDEX(Horario_Bach!$M$2:$M$1200,$H19))</f>
        <v/>
      </c>
      <c r="H19">
        <f>IFERROR(MATCH($L$7&amp;"|"&amp;A19,Horario_Bach!$P$2:$P$1200,0),"")</f>
        <v/>
      </c>
    </row>
    <row r="20">
      <c r="A20" t="n">
        <v>7</v>
      </c>
      <c r="B20">
        <f>IF($H20="","",INDEX(Horario_Bach!$L$2:$L$1200,$H20))</f>
        <v/>
      </c>
      <c r="C20">
        <f>IF($H20="","",INDEX(Horario_Bach!$B$2:$B$1200,$H20))</f>
        <v/>
      </c>
      <c r="D20">
        <f>IF($H20="","",INDEX(Horario_Bach!$H$2:$H$1200,$H20))</f>
        <v/>
      </c>
      <c r="E20">
        <f>IF($H20="","",IF(INDEX(Horario_Bach!$F$2:$F$1200,$H20)="ENFASIS","Énfasis","Clase"))</f>
        <v/>
      </c>
      <c r="F20">
        <f>IF($H20="","",INDEX(Horario_Bach!$M$2:$M$1200,$H20))</f>
        <v/>
      </c>
      <c r="H20">
        <f>IFERROR(MATCH($L$7&amp;"|"&amp;A20,Horario_Bach!$P$2:$P$1200,0),"")</f>
        <v/>
      </c>
    </row>
    <row r="21">
      <c r="A21" t="n">
        <v>8</v>
      </c>
      <c r="B21">
        <f>IF($H21="","",INDEX(Horario_Bach!$L$2:$L$1200,$H21))</f>
        <v/>
      </c>
      <c r="C21">
        <f>IF($H21="","",INDEX(Horario_Bach!$B$2:$B$1200,$H21))</f>
        <v/>
      </c>
      <c r="D21">
        <f>IF($H21="","",INDEX(Horario_Bach!$H$2:$H$1200,$H21))</f>
        <v/>
      </c>
      <c r="E21">
        <f>IF($H21="","",IF(INDEX(Horario_Bach!$F$2:$F$1200,$H21)="ENFASIS","Énfasis","Clase"))</f>
        <v/>
      </c>
      <c r="F21">
        <f>IF($H21="","",INDEX(Horario_Bach!$M$2:$M$1200,$H21))</f>
        <v/>
      </c>
      <c r="H21">
        <f>IFERROR(MATCH($L$7&amp;"|"&amp;A21,Horario_Bach!$P$2:$P$1200,0),"")</f>
        <v/>
      </c>
    </row>
    <row r="22">
      <c r="A22" t="n">
        <v>9</v>
      </c>
      <c r="B22">
        <f>IF($H22="","",INDEX(Horario_Bach!$L$2:$L$1200,$H22))</f>
        <v/>
      </c>
      <c r="C22">
        <f>IF($H22="","",INDEX(Horario_Bach!$B$2:$B$1200,$H22))</f>
        <v/>
      </c>
      <c r="D22">
        <f>IF($H22="","",INDEX(Horario_Bach!$H$2:$H$1200,$H22))</f>
        <v/>
      </c>
      <c r="E22">
        <f>IF($H22="","",IF(INDEX(Horario_Bach!$F$2:$F$1200,$H22)="ENFASIS","Énfasis","Clase"))</f>
        <v/>
      </c>
      <c r="F22">
        <f>IF($H22="","",INDEX(Horario_Bach!$M$2:$M$1200,$H22))</f>
        <v/>
      </c>
      <c r="H22">
        <f>IFERROR(MATCH($L$7&amp;"|"&amp;A22,Horario_Bach!$P$2:$P$1200,0),"")</f>
        <v/>
      </c>
    </row>
    <row r="23">
      <c r="A23" t="n">
        <v>10</v>
      </c>
      <c r="B23">
        <f>IF($H23="","",INDEX(Horario_Bach!$L$2:$L$1200,$H23))</f>
        <v/>
      </c>
      <c r="C23">
        <f>IF($H23="","",INDEX(Horario_Bach!$B$2:$B$1200,$H23))</f>
        <v/>
      </c>
      <c r="D23">
        <f>IF($H23="","",INDEX(Horario_Bach!$H$2:$H$1200,$H23))</f>
        <v/>
      </c>
      <c r="E23">
        <f>IF($H23="","",IF(INDEX(Horario_Bach!$F$2:$F$1200,$H23)="ENFASIS","Énfasis","Clase"))</f>
        <v/>
      </c>
      <c r="F23">
        <f>IF($H23="","",INDEX(Horario_Bach!$M$2:$M$1200,$H23))</f>
        <v/>
      </c>
      <c r="H23">
        <f>IFERROR(MATCH($L$7&amp;"|"&amp;A23,Horario_Bach!$P$2:$P$1200,0),"")</f>
        <v/>
      </c>
    </row>
    <row r="24">
      <c r="A24" t="n">
        <v>11</v>
      </c>
      <c r="B24">
        <f>IF($H24="","",INDEX(Horario_Bach!$L$2:$L$1200,$H24))</f>
        <v/>
      </c>
      <c r="C24">
        <f>IF($H24="","",INDEX(Horario_Bach!$B$2:$B$1200,$H24))</f>
        <v/>
      </c>
      <c r="D24">
        <f>IF($H24="","",INDEX(Horario_Bach!$H$2:$H$1200,$H24))</f>
        <v/>
      </c>
      <c r="E24">
        <f>IF($H24="","",IF(INDEX(Horario_Bach!$F$2:$F$1200,$H24)="ENFASIS","Énfasis","Clase"))</f>
        <v/>
      </c>
      <c r="F24">
        <f>IF($H24="","",INDEX(Horario_Bach!$M$2:$M$1200,$H24))</f>
        <v/>
      </c>
      <c r="H24">
        <f>IFERROR(MATCH($L$7&amp;"|"&amp;A24,Horario_Bach!$P$2:$P$1200,0),"")</f>
        <v/>
      </c>
    </row>
    <row r="25">
      <c r="A25" t="n">
        <v>12</v>
      </c>
      <c r="B25">
        <f>IF($H25="","",INDEX(Horario_Bach!$L$2:$L$1200,$H25))</f>
        <v/>
      </c>
      <c r="C25">
        <f>IF($H25="","",INDEX(Horario_Bach!$B$2:$B$1200,$H25))</f>
        <v/>
      </c>
      <c r="D25">
        <f>IF($H25="","",INDEX(Horario_Bach!$H$2:$H$1200,$H25))</f>
        <v/>
      </c>
      <c r="E25">
        <f>IF($H25="","",IF(INDEX(Horario_Bach!$F$2:$F$1200,$H25)="ENFASIS","Énfasis","Clase"))</f>
        <v/>
      </c>
      <c r="F25">
        <f>IF($H25="","",INDEX(Horario_Bach!$M$2:$M$1200,$H25))</f>
        <v/>
      </c>
      <c r="H25">
        <f>IFERROR(MATCH($L$7&amp;"|"&amp;A25,Horario_Bach!$P$2:$P$1200,0),"")</f>
        <v/>
      </c>
    </row>
    <row r="26">
      <c r="A26" t="n">
        <v>13</v>
      </c>
      <c r="B26">
        <f>IF($H26="","",INDEX(Horario_Bach!$L$2:$L$1200,$H26))</f>
        <v/>
      </c>
      <c r="C26">
        <f>IF($H26="","",INDEX(Horario_Bach!$B$2:$B$1200,$H26))</f>
        <v/>
      </c>
      <c r="D26">
        <f>IF($H26="","",INDEX(Horario_Bach!$H$2:$H$1200,$H26))</f>
        <v/>
      </c>
      <c r="E26">
        <f>IF($H26="","",IF(INDEX(Horario_Bach!$F$2:$F$1200,$H26)="ENFASIS","Énfasis","Clase"))</f>
        <v/>
      </c>
      <c r="F26">
        <f>IF($H26="","",INDEX(Horario_Bach!$M$2:$M$1200,$H26))</f>
        <v/>
      </c>
      <c r="H26">
        <f>IFERROR(MATCH($L$7&amp;"|"&amp;A26,Horario_Bach!$P$2:$P$1200,0),"")</f>
        <v/>
      </c>
    </row>
    <row r="27">
      <c r="A27" t="n">
        <v>14</v>
      </c>
      <c r="B27">
        <f>IF($H27="","",INDEX(Horario_Bach!$L$2:$L$1200,$H27))</f>
        <v/>
      </c>
      <c r="C27">
        <f>IF($H27="","",INDEX(Horario_Bach!$B$2:$B$1200,$H27))</f>
        <v/>
      </c>
      <c r="D27">
        <f>IF($H27="","",INDEX(Horario_Bach!$H$2:$H$1200,$H27))</f>
        <v/>
      </c>
      <c r="E27">
        <f>IF($H27="","",IF(INDEX(Horario_Bach!$F$2:$F$1200,$H27)="ENFASIS","Énfasis","Clase"))</f>
        <v/>
      </c>
      <c r="F27">
        <f>IF($H27="","",INDEX(Horario_Bach!$M$2:$M$1200,$H27))</f>
        <v/>
      </c>
      <c r="H27">
        <f>IFERROR(MATCH($L$7&amp;"|"&amp;A27,Horario_Bach!$P$2:$P$1200,0),"")</f>
        <v/>
      </c>
    </row>
    <row r="28">
      <c r="A28" t="n">
        <v>15</v>
      </c>
      <c r="B28">
        <f>IF($H28="","",INDEX(Horario_Bach!$L$2:$L$1200,$H28))</f>
        <v/>
      </c>
      <c r="C28">
        <f>IF($H28="","",INDEX(Horario_Bach!$B$2:$B$1200,$H28))</f>
        <v/>
      </c>
      <c r="D28">
        <f>IF($H28="","",INDEX(Horario_Bach!$H$2:$H$1200,$H28))</f>
        <v/>
      </c>
      <c r="E28">
        <f>IF($H28="","",IF(INDEX(Horario_Bach!$F$2:$F$1200,$H28)="ENFASIS","Énfasis","Clase"))</f>
        <v/>
      </c>
      <c r="F28">
        <f>IF($H28="","",INDEX(Horario_Bach!$M$2:$M$1200,$H28))</f>
        <v/>
      </c>
      <c r="H28">
        <f>IFERROR(MATCH($L$7&amp;"|"&amp;A28,Horario_Bach!$P$2:$P$1200,0),"")</f>
        <v/>
      </c>
    </row>
    <row r="29">
      <c r="A29" t="n">
        <v>16</v>
      </c>
      <c r="B29">
        <f>IF($H29="","",INDEX(Horario_Bach!$L$2:$L$1200,$H29))</f>
        <v/>
      </c>
      <c r="C29">
        <f>IF($H29="","",INDEX(Horario_Bach!$B$2:$B$1200,$H29))</f>
        <v/>
      </c>
      <c r="D29">
        <f>IF($H29="","",INDEX(Horario_Bach!$H$2:$H$1200,$H29))</f>
        <v/>
      </c>
      <c r="E29">
        <f>IF($H29="","",IF(INDEX(Horario_Bach!$F$2:$F$1200,$H29)="ENFASIS","Énfasis","Clase"))</f>
        <v/>
      </c>
      <c r="F29">
        <f>IF($H29="","",INDEX(Horario_Bach!$M$2:$M$1200,$H29))</f>
        <v/>
      </c>
      <c r="H29">
        <f>IFERROR(MATCH($L$7&amp;"|"&amp;A29,Horario_Bach!$P$2:$P$1200,0),"")</f>
        <v/>
      </c>
    </row>
    <row r="30">
      <c r="A30" t="n">
        <v>17</v>
      </c>
      <c r="B30">
        <f>IF($H30="","",INDEX(Horario_Bach!$L$2:$L$1200,$H30))</f>
        <v/>
      </c>
      <c r="C30">
        <f>IF($H30="","",INDEX(Horario_Bach!$B$2:$B$1200,$H30))</f>
        <v/>
      </c>
      <c r="D30">
        <f>IF($H30="","",INDEX(Horario_Bach!$H$2:$H$1200,$H30))</f>
        <v/>
      </c>
      <c r="E30">
        <f>IF($H30="","",IF(INDEX(Horario_Bach!$F$2:$F$1200,$H30)="ENFASIS","Énfasis","Clase"))</f>
        <v/>
      </c>
      <c r="F30">
        <f>IF($H30="","",INDEX(Horario_Bach!$M$2:$M$1200,$H30))</f>
        <v/>
      </c>
      <c r="H30">
        <f>IFERROR(MATCH($L$7&amp;"|"&amp;A30,Horario_Bach!$P$2:$P$1200,0),"")</f>
        <v/>
      </c>
    </row>
    <row r="31">
      <c r="A31" t="n">
        <v>18</v>
      </c>
      <c r="B31">
        <f>IF($H31="","",INDEX(Horario_Bach!$L$2:$L$1200,$H31))</f>
        <v/>
      </c>
      <c r="C31">
        <f>IF($H31="","",INDEX(Horario_Bach!$B$2:$B$1200,$H31))</f>
        <v/>
      </c>
      <c r="D31">
        <f>IF($H31="","",INDEX(Horario_Bach!$H$2:$H$1200,$H31))</f>
        <v/>
      </c>
      <c r="E31">
        <f>IF($H31="","",IF(INDEX(Horario_Bach!$F$2:$F$1200,$H31)="ENFASIS","Énfasis","Clase"))</f>
        <v/>
      </c>
      <c r="F31">
        <f>IF($H31="","",INDEX(Horario_Bach!$M$2:$M$1200,$H31))</f>
        <v/>
      </c>
      <c r="H31">
        <f>IFERROR(MATCH($L$7&amp;"|"&amp;A31,Horario_Bach!$P$2:$P$1200,0),"")</f>
        <v/>
      </c>
    </row>
    <row r="32">
      <c r="A32" t="n">
        <v>19</v>
      </c>
      <c r="B32">
        <f>IF($H32="","",INDEX(Horario_Bach!$L$2:$L$1200,$H32))</f>
        <v/>
      </c>
      <c r="C32">
        <f>IF($H32="","",INDEX(Horario_Bach!$B$2:$B$1200,$H32))</f>
        <v/>
      </c>
      <c r="D32">
        <f>IF($H32="","",INDEX(Horario_Bach!$H$2:$H$1200,$H32))</f>
        <v/>
      </c>
      <c r="E32">
        <f>IF($H32="","",IF(INDEX(Horario_Bach!$F$2:$F$1200,$H32)="ENFASIS","Énfasis","Clase"))</f>
        <v/>
      </c>
      <c r="F32">
        <f>IF($H32="","",INDEX(Horario_Bach!$M$2:$M$1200,$H32))</f>
        <v/>
      </c>
      <c r="H32">
        <f>IFERROR(MATCH($L$7&amp;"|"&amp;A32,Horario_Bach!$P$2:$P$1200,0),"")</f>
        <v/>
      </c>
    </row>
    <row r="33">
      <c r="A33" t="n">
        <v>20</v>
      </c>
      <c r="B33">
        <f>IF($H33="","",INDEX(Horario_Bach!$L$2:$L$1200,$H33))</f>
        <v/>
      </c>
      <c r="C33">
        <f>IF($H33="","",INDEX(Horario_Bach!$B$2:$B$1200,$H33))</f>
        <v/>
      </c>
      <c r="D33">
        <f>IF($H33="","",INDEX(Horario_Bach!$H$2:$H$1200,$H33))</f>
        <v/>
      </c>
      <c r="E33">
        <f>IF($H33="","",IF(INDEX(Horario_Bach!$F$2:$F$1200,$H33)="ENFASIS","Énfasis","Clase"))</f>
        <v/>
      </c>
      <c r="F33">
        <f>IF($H33="","",INDEX(Horario_Bach!$M$2:$M$1200,$H33))</f>
        <v/>
      </c>
      <c r="H33">
        <f>IFERROR(MATCH($L$7&amp;"|"&amp;A33,Horario_Bach!$P$2:$P$1200,0),"")</f>
        <v/>
      </c>
    </row>
    <row r="34">
      <c r="A34" t="n">
        <v>21</v>
      </c>
      <c r="B34">
        <f>IF($H34="","",INDEX(Horario_Bach!$L$2:$L$1200,$H34))</f>
        <v/>
      </c>
      <c r="C34">
        <f>IF($H34="","",INDEX(Horario_Bach!$B$2:$B$1200,$H34))</f>
        <v/>
      </c>
      <c r="D34">
        <f>IF($H34="","",INDEX(Horario_Bach!$H$2:$H$1200,$H34))</f>
        <v/>
      </c>
      <c r="E34">
        <f>IF($H34="","",IF(INDEX(Horario_Bach!$F$2:$F$1200,$H34)="ENFASIS","Énfasis","Clase"))</f>
        <v/>
      </c>
      <c r="F34">
        <f>IF($H34="","",INDEX(Horario_Bach!$M$2:$M$1200,$H34))</f>
        <v/>
      </c>
      <c r="H34">
        <f>IFERROR(MATCH($L$7&amp;"|"&amp;A34,Horario_Bach!$P$2:$P$1200,0),"")</f>
        <v/>
      </c>
    </row>
    <row r="35">
      <c r="A35" t="n">
        <v>22</v>
      </c>
      <c r="B35">
        <f>IF($H35="","",INDEX(Horario_Bach!$L$2:$L$1200,$H35))</f>
        <v/>
      </c>
      <c r="C35">
        <f>IF($H35="","",INDEX(Horario_Bach!$B$2:$B$1200,$H35))</f>
        <v/>
      </c>
      <c r="D35">
        <f>IF($H35="","",INDEX(Horario_Bach!$H$2:$H$1200,$H35))</f>
        <v/>
      </c>
      <c r="E35">
        <f>IF($H35="","",IF(INDEX(Horario_Bach!$F$2:$F$1200,$H35)="ENFASIS","Énfasis","Clase"))</f>
        <v/>
      </c>
      <c r="F35">
        <f>IF($H35="","",INDEX(Horario_Bach!$M$2:$M$1200,$H35))</f>
        <v/>
      </c>
      <c r="H35">
        <f>IFERROR(MATCH($L$7&amp;"|"&amp;A35,Horario_Bach!$P$2:$P$1200,0),"")</f>
        <v/>
      </c>
    </row>
    <row r="36">
      <c r="A36" t="n">
        <v>23</v>
      </c>
      <c r="B36">
        <f>IF($H36="","",INDEX(Horario_Bach!$L$2:$L$1200,$H36))</f>
        <v/>
      </c>
      <c r="C36">
        <f>IF($H36="","",INDEX(Horario_Bach!$B$2:$B$1200,$H36))</f>
        <v/>
      </c>
      <c r="D36">
        <f>IF($H36="","",INDEX(Horario_Bach!$H$2:$H$1200,$H36))</f>
        <v/>
      </c>
      <c r="E36">
        <f>IF($H36="","",IF(INDEX(Horario_Bach!$F$2:$F$1200,$H36)="ENFASIS","Énfasis","Clase"))</f>
        <v/>
      </c>
      <c r="F36">
        <f>IF($H36="","",INDEX(Horario_Bach!$M$2:$M$1200,$H36))</f>
        <v/>
      </c>
      <c r="H36">
        <f>IFERROR(MATCH($L$7&amp;"|"&amp;A36,Horario_Bach!$P$2:$P$1200,0),"")</f>
        <v/>
      </c>
    </row>
    <row r="37">
      <c r="A37" t="n">
        <v>24</v>
      </c>
      <c r="B37">
        <f>IF($H37="","",INDEX(Horario_Bach!$L$2:$L$1200,$H37))</f>
        <v/>
      </c>
      <c r="C37">
        <f>IF($H37="","",INDEX(Horario_Bach!$B$2:$B$1200,$H37))</f>
        <v/>
      </c>
      <c r="D37">
        <f>IF($H37="","",INDEX(Horario_Bach!$H$2:$H$1200,$H37))</f>
        <v/>
      </c>
      <c r="E37">
        <f>IF($H37="","",IF(INDEX(Horario_Bach!$F$2:$F$1200,$H37)="ENFASIS","Énfasis","Clase"))</f>
        <v/>
      </c>
      <c r="F37">
        <f>IF($H37="","",INDEX(Horario_Bach!$M$2:$M$1200,$H37))</f>
        <v/>
      </c>
      <c r="H37">
        <f>IFERROR(MATCH($L$7&amp;"|"&amp;A37,Horario_Bach!$P$2:$P$1200,0),"")</f>
        <v/>
      </c>
    </row>
    <row r="38">
      <c r="A38" t="n">
        <v>25</v>
      </c>
      <c r="B38">
        <f>IF($H38="","",INDEX(Horario_Bach!$L$2:$L$1200,$H38))</f>
        <v/>
      </c>
      <c r="C38">
        <f>IF($H38="","",INDEX(Horario_Bach!$B$2:$B$1200,$H38))</f>
        <v/>
      </c>
      <c r="D38">
        <f>IF($H38="","",INDEX(Horario_Bach!$H$2:$H$1200,$H38))</f>
        <v/>
      </c>
      <c r="E38">
        <f>IF($H38="","",IF(INDEX(Horario_Bach!$F$2:$F$1200,$H38)="ENFASIS","Énfasis","Clase"))</f>
        <v/>
      </c>
      <c r="F38">
        <f>IF($H38="","",INDEX(Horario_Bach!$M$2:$M$1200,$H38))</f>
        <v/>
      </c>
      <c r="H38">
        <f>IFERROR(MATCH($L$7&amp;"|"&amp;A38,Horario_Bach!$P$2:$P$1200,0),"")</f>
        <v/>
      </c>
    </row>
    <row r="39">
      <c r="A39" t="n">
        <v>26</v>
      </c>
      <c r="B39">
        <f>IF($H39="","",INDEX(Horario_Bach!$L$2:$L$1200,$H39))</f>
        <v/>
      </c>
      <c r="C39">
        <f>IF($H39="","",INDEX(Horario_Bach!$B$2:$B$1200,$H39))</f>
        <v/>
      </c>
      <c r="D39">
        <f>IF($H39="","",INDEX(Horario_Bach!$H$2:$H$1200,$H39))</f>
        <v/>
      </c>
      <c r="E39">
        <f>IF($H39="","",IF(INDEX(Horario_Bach!$F$2:$F$1200,$H39)="ENFASIS","Énfasis","Clase"))</f>
        <v/>
      </c>
      <c r="F39">
        <f>IF($H39="","",INDEX(Horario_Bach!$M$2:$M$1200,$H39))</f>
        <v/>
      </c>
      <c r="H39">
        <f>IFERROR(MATCH($L$7&amp;"|"&amp;A39,Horario_Bach!$P$2:$P$1200,0),"")</f>
        <v/>
      </c>
    </row>
    <row r="40">
      <c r="A40" t="n">
        <v>27</v>
      </c>
      <c r="B40">
        <f>IF($H40="","",INDEX(Horario_Bach!$L$2:$L$1200,$H40))</f>
        <v/>
      </c>
      <c r="C40">
        <f>IF($H40="","",INDEX(Horario_Bach!$B$2:$B$1200,$H40))</f>
        <v/>
      </c>
      <c r="D40">
        <f>IF($H40="","",INDEX(Horario_Bach!$H$2:$H$1200,$H40))</f>
        <v/>
      </c>
      <c r="E40">
        <f>IF($H40="","",IF(INDEX(Horario_Bach!$F$2:$F$1200,$H40)="ENFASIS","Énfasis","Clase"))</f>
        <v/>
      </c>
      <c r="F40">
        <f>IF($H40="","",INDEX(Horario_Bach!$M$2:$M$1200,$H40))</f>
        <v/>
      </c>
      <c r="H40">
        <f>IFERROR(MATCH($L$7&amp;"|"&amp;A40,Horario_Bach!$P$2:$P$1200,0),"")</f>
        <v/>
      </c>
    </row>
    <row r="41">
      <c r="A41" t="n">
        <v>28</v>
      </c>
      <c r="B41">
        <f>IF($H41="","",INDEX(Horario_Bach!$L$2:$L$1200,$H41))</f>
        <v/>
      </c>
      <c r="C41">
        <f>IF($H41="","",INDEX(Horario_Bach!$B$2:$B$1200,$H41))</f>
        <v/>
      </c>
      <c r="D41">
        <f>IF($H41="","",INDEX(Horario_Bach!$H$2:$H$1200,$H41))</f>
        <v/>
      </c>
      <c r="E41">
        <f>IF($H41="","",IF(INDEX(Horario_Bach!$F$2:$F$1200,$H41)="ENFASIS","Énfasis","Clase"))</f>
        <v/>
      </c>
      <c r="F41">
        <f>IF($H41="","",INDEX(Horario_Bach!$M$2:$M$1200,$H41))</f>
        <v/>
      </c>
      <c r="H41">
        <f>IFERROR(MATCH($L$7&amp;"|"&amp;A41,Horario_Bach!$P$2:$P$1200,0),"")</f>
        <v/>
      </c>
    </row>
    <row r="42">
      <c r="A42" t="n">
        <v>29</v>
      </c>
      <c r="B42">
        <f>IF($H42="","",INDEX(Horario_Bach!$L$2:$L$1200,$H42))</f>
        <v/>
      </c>
      <c r="C42">
        <f>IF($H42="","",INDEX(Horario_Bach!$B$2:$B$1200,$H42))</f>
        <v/>
      </c>
      <c r="D42">
        <f>IF($H42="","",INDEX(Horario_Bach!$H$2:$H$1200,$H42))</f>
        <v/>
      </c>
      <c r="E42">
        <f>IF($H42="","",IF(INDEX(Horario_Bach!$F$2:$F$1200,$H42)="ENFASIS","Énfasis","Clase"))</f>
        <v/>
      </c>
      <c r="F42">
        <f>IF($H42="","",INDEX(Horario_Bach!$M$2:$M$1200,$H42))</f>
        <v/>
      </c>
      <c r="H42">
        <f>IFERROR(MATCH($L$7&amp;"|"&amp;A42,Horario_Bach!$P$2:$P$1200,0),"")</f>
        <v/>
      </c>
    </row>
    <row r="43">
      <c r="A43" t="n">
        <v>30</v>
      </c>
      <c r="B43">
        <f>IF($H43="","",INDEX(Horario_Bach!$L$2:$L$1200,$H43))</f>
        <v/>
      </c>
      <c r="C43">
        <f>IF($H43="","",INDEX(Horario_Bach!$B$2:$B$1200,$H43))</f>
        <v/>
      </c>
      <c r="D43">
        <f>IF($H43="","",INDEX(Horario_Bach!$H$2:$H$1200,$H43))</f>
        <v/>
      </c>
      <c r="E43">
        <f>IF($H43="","",IF(INDEX(Horario_Bach!$F$2:$F$1200,$H43)="ENFASIS","Énfasis","Clase"))</f>
        <v/>
      </c>
      <c r="F43">
        <f>IF($H43="","",INDEX(Horario_Bach!$M$2:$M$1200,$H43))</f>
        <v/>
      </c>
      <c r="H43">
        <f>IFERROR(MATCH($L$7&amp;"|"&amp;A43,Horario_Bach!$P$2:$P$1200,0),"")</f>
        <v/>
      </c>
    </row>
    <row r="44">
      <c r="A44" t="n">
        <v>31</v>
      </c>
      <c r="B44">
        <f>IF($H44="","",INDEX(Horario_Bach!$L$2:$L$1200,$H44))</f>
        <v/>
      </c>
      <c r="C44">
        <f>IF($H44="","",INDEX(Horario_Bach!$B$2:$B$1200,$H44))</f>
        <v/>
      </c>
      <c r="D44">
        <f>IF($H44="","",INDEX(Horario_Bach!$H$2:$H$1200,$H44))</f>
        <v/>
      </c>
      <c r="E44">
        <f>IF($H44="","",IF(INDEX(Horario_Bach!$F$2:$F$1200,$H44)="ENFASIS","Énfasis","Clase"))</f>
        <v/>
      </c>
      <c r="F44">
        <f>IF($H44="","",INDEX(Horario_Bach!$M$2:$M$1200,$H44))</f>
        <v/>
      </c>
      <c r="H44">
        <f>IFERROR(MATCH($L$7&amp;"|"&amp;A44,Horario_Bach!$P$2:$P$1200,0),"")</f>
        <v/>
      </c>
    </row>
    <row r="45">
      <c r="A45" t="n">
        <v>32</v>
      </c>
      <c r="B45">
        <f>IF($H45="","",INDEX(Horario_Bach!$L$2:$L$1200,$H45))</f>
        <v/>
      </c>
      <c r="C45">
        <f>IF($H45="","",INDEX(Horario_Bach!$B$2:$B$1200,$H45))</f>
        <v/>
      </c>
      <c r="D45">
        <f>IF($H45="","",INDEX(Horario_Bach!$H$2:$H$1200,$H45))</f>
        <v/>
      </c>
      <c r="E45">
        <f>IF($H45="","",IF(INDEX(Horario_Bach!$F$2:$F$1200,$H45)="ENFASIS","Énfasis","Clase"))</f>
        <v/>
      </c>
      <c r="F45">
        <f>IF($H45="","",INDEX(Horario_Bach!$M$2:$M$1200,$H45))</f>
        <v/>
      </c>
      <c r="H45">
        <f>IFERROR(MATCH($L$7&amp;"|"&amp;A45,Horario_Bach!$P$2:$P$1200,0),"")</f>
        <v/>
      </c>
    </row>
    <row r="46">
      <c r="A46" t="n">
        <v>33</v>
      </c>
      <c r="B46">
        <f>IF($H46="","",INDEX(Horario_Bach!$L$2:$L$1200,$H46))</f>
        <v/>
      </c>
      <c r="C46">
        <f>IF($H46="","",INDEX(Horario_Bach!$B$2:$B$1200,$H46))</f>
        <v/>
      </c>
      <c r="D46">
        <f>IF($H46="","",INDEX(Horario_Bach!$H$2:$H$1200,$H46))</f>
        <v/>
      </c>
      <c r="E46">
        <f>IF($H46="","",IF(INDEX(Horario_Bach!$F$2:$F$1200,$H46)="ENFASIS","Énfasis","Clase"))</f>
        <v/>
      </c>
      <c r="F46">
        <f>IF($H46="","",INDEX(Horario_Bach!$M$2:$M$1200,$H46))</f>
        <v/>
      </c>
      <c r="H46">
        <f>IFERROR(MATCH($L$7&amp;"|"&amp;A46,Horario_Bach!$P$2:$P$1200,0),"")</f>
        <v/>
      </c>
    </row>
    <row r="47">
      <c r="A47" t="n">
        <v>34</v>
      </c>
      <c r="B47">
        <f>IF($H47="","",INDEX(Horario_Bach!$L$2:$L$1200,$H47))</f>
        <v/>
      </c>
      <c r="C47">
        <f>IF($H47="","",INDEX(Horario_Bach!$B$2:$B$1200,$H47))</f>
        <v/>
      </c>
      <c r="D47">
        <f>IF($H47="","",INDEX(Horario_Bach!$H$2:$H$1200,$H47))</f>
        <v/>
      </c>
      <c r="E47">
        <f>IF($H47="","",IF(INDEX(Horario_Bach!$F$2:$F$1200,$H47)="ENFASIS","Énfasis","Clase"))</f>
        <v/>
      </c>
      <c r="F47">
        <f>IF($H47="","",INDEX(Horario_Bach!$M$2:$M$1200,$H47))</f>
        <v/>
      </c>
      <c r="H47">
        <f>IFERROR(MATCH($L$7&amp;"|"&amp;A47,Horario_Bach!$P$2:$P$1200,0),"")</f>
        <v/>
      </c>
    </row>
    <row r="48">
      <c r="A48" t="n">
        <v>35</v>
      </c>
      <c r="B48">
        <f>IF($H48="","",INDEX(Horario_Bach!$L$2:$L$1200,$H48))</f>
        <v/>
      </c>
      <c r="C48">
        <f>IF($H48="","",INDEX(Horario_Bach!$B$2:$B$1200,$H48))</f>
        <v/>
      </c>
      <c r="D48">
        <f>IF($H48="","",INDEX(Horario_Bach!$H$2:$H$1200,$H48))</f>
        <v/>
      </c>
      <c r="E48">
        <f>IF($H48="","",IF(INDEX(Horario_Bach!$F$2:$F$1200,$H48)="ENFASIS","Énfasis","Clase"))</f>
        <v/>
      </c>
      <c r="F48">
        <f>IF($H48="","",INDEX(Horario_Bach!$M$2:$M$1200,$H48))</f>
        <v/>
      </c>
      <c r="H48">
        <f>IFERROR(MATCH($L$7&amp;"|"&amp;A48,Horario_Bach!$P$2:$P$1200,0),"")</f>
        <v/>
      </c>
    </row>
    <row r="49">
      <c r="A49" t="n">
        <v>36</v>
      </c>
      <c r="B49">
        <f>IF($H49="","",INDEX(Horario_Bach!$L$2:$L$1200,$H49))</f>
        <v/>
      </c>
      <c r="C49">
        <f>IF($H49="","",INDEX(Horario_Bach!$B$2:$B$1200,$H49))</f>
        <v/>
      </c>
      <c r="D49">
        <f>IF($H49="","",INDEX(Horario_Bach!$H$2:$H$1200,$H49))</f>
        <v/>
      </c>
      <c r="E49">
        <f>IF($H49="","",IF(INDEX(Horario_Bach!$F$2:$F$1200,$H49)="ENFASIS","Énfasis","Clase"))</f>
        <v/>
      </c>
      <c r="F49">
        <f>IF($H49="","",INDEX(Horario_Bach!$M$2:$M$1200,$H49))</f>
        <v/>
      </c>
      <c r="H49">
        <f>IFERROR(MATCH($L$7&amp;"|"&amp;A49,Horario_Bach!$P$2:$P$1200,0),"")</f>
        <v/>
      </c>
    </row>
    <row r="50">
      <c r="A50" t="n">
        <v>37</v>
      </c>
      <c r="B50">
        <f>IF($H50="","",INDEX(Horario_Bach!$L$2:$L$1200,$H50))</f>
        <v/>
      </c>
      <c r="C50">
        <f>IF($H50="","",INDEX(Horario_Bach!$B$2:$B$1200,$H50))</f>
        <v/>
      </c>
      <c r="D50">
        <f>IF($H50="","",INDEX(Horario_Bach!$H$2:$H$1200,$H50))</f>
        <v/>
      </c>
      <c r="E50">
        <f>IF($H50="","",IF(INDEX(Horario_Bach!$F$2:$F$1200,$H50)="ENFASIS","Énfasis","Clase"))</f>
        <v/>
      </c>
      <c r="F50">
        <f>IF($H50="","",INDEX(Horario_Bach!$M$2:$M$1200,$H50))</f>
        <v/>
      </c>
      <c r="H50">
        <f>IFERROR(MATCH($L$7&amp;"|"&amp;A50,Horario_Bach!$P$2:$P$1200,0),"")</f>
        <v/>
      </c>
    </row>
    <row r="51">
      <c r="A51" t="n">
        <v>38</v>
      </c>
      <c r="B51">
        <f>IF($H51="","",INDEX(Horario_Bach!$L$2:$L$1200,$H51))</f>
        <v/>
      </c>
      <c r="C51">
        <f>IF($H51="","",INDEX(Horario_Bach!$B$2:$B$1200,$H51))</f>
        <v/>
      </c>
      <c r="D51">
        <f>IF($H51="","",INDEX(Horario_Bach!$H$2:$H$1200,$H51))</f>
        <v/>
      </c>
      <c r="E51">
        <f>IF($H51="","",IF(INDEX(Horario_Bach!$F$2:$F$1200,$H51)="ENFASIS","Énfasis","Clase"))</f>
        <v/>
      </c>
      <c r="F51">
        <f>IF($H51="","",INDEX(Horario_Bach!$M$2:$M$1200,$H51))</f>
        <v/>
      </c>
      <c r="H51">
        <f>IFERROR(MATCH($L$7&amp;"|"&amp;A51,Horario_Bach!$P$2:$P$1200,0),"")</f>
        <v/>
      </c>
    </row>
    <row r="52">
      <c r="A52" t="n">
        <v>39</v>
      </c>
      <c r="B52">
        <f>IF($H52="","",INDEX(Horario_Bach!$L$2:$L$1200,$H52))</f>
        <v/>
      </c>
      <c r="C52">
        <f>IF($H52="","",INDEX(Horario_Bach!$B$2:$B$1200,$H52))</f>
        <v/>
      </c>
      <c r="D52">
        <f>IF($H52="","",INDEX(Horario_Bach!$H$2:$H$1200,$H52))</f>
        <v/>
      </c>
      <c r="E52">
        <f>IF($H52="","",IF(INDEX(Horario_Bach!$F$2:$F$1200,$H52)="ENFASIS","Énfasis","Clase"))</f>
        <v/>
      </c>
      <c r="F52">
        <f>IF($H52="","",INDEX(Horario_Bach!$M$2:$M$1200,$H52))</f>
        <v/>
      </c>
      <c r="H52">
        <f>IFERROR(MATCH($L$7&amp;"|"&amp;A52,Horario_Bach!$P$2:$P$1200,0),"")</f>
        <v/>
      </c>
    </row>
    <row r="53">
      <c r="A53" t="n">
        <v>40</v>
      </c>
      <c r="B53">
        <f>IF($H53="","",INDEX(Horario_Bach!$L$2:$L$1200,$H53))</f>
        <v/>
      </c>
      <c r="C53">
        <f>IF($H53="","",INDEX(Horario_Bach!$B$2:$B$1200,$H53))</f>
        <v/>
      </c>
      <c r="D53">
        <f>IF($H53="","",INDEX(Horario_Bach!$H$2:$H$1200,$H53))</f>
        <v/>
      </c>
      <c r="E53">
        <f>IF($H53="","",IF(INDEX(Horario_Bach!$F$2:$F$1200,$H53)="ENFASIS","Énfasis","Clase"))</f>
        <v/>
      </c>
      <c r="F53">
        <f>IF($H53="","",INDEX(Horario_Bach!$M$2:$M$1200,$H53))</f>
        <v/>
      </c>
      <c r="H53">
        <f>IFERROR(MATCH($L$7&amp;"|"&amp;A53,Horario_Bach!$P$2:$P$1200,0),"")</f>
        <v/>
      </c>
    </row>
    <row r="54">
      <c r="A54" t="n">
        <v>41</v>
      </c>
      <c r="B54">
        <f>IF($H54="","",INDEX(Horario_Bach!$L$2:$L$1200,$H54))</f>
        <v/>
      </c>
      <c r="C54">
        <f>IF($H54="","",INDEX(Horario_Bach!$B$2:$B$1200,$H54))</f>
        <v/>
      </c>
      <c r="D54">
        <f>IF($H54="","",INDEX(Horario_Bach!$H$2:$H$1200,$H54))</f>
        <v/>
      </c>
      <c r="E54">
        <f>IF($H54="","",IF(INDEX(Horario_Bach!$F$2:$F$1200,$H54)="ENFASIS","Énfasis","Clase"))</f>
        <v/>
      </c>
      <c r="F54">
        <f>IF($H54="","",INDEX(Horario_Bach!$M$2:$M$1200,$H54))</f>
        <v/>
      </c>
      <c r="H54">
        <f>IFERROR(MATCH($L$7&amp;"|"&amp;A54,Horario_Bach!$P$2:$P$1200,0),"")</f>
        <v/>
      </c>
    </row>
    <row r="55">
      <c r="A55" t="n">
        <v>42</v>
      </c>
      <c r="B55">
        <f>IF($H55="","",INDEX(Horario_Bach!$L$2:$L$1200,$H55))</f>
        <v/>
      </c>
      <c r="C55">
        <f>IF($H55="","",INDEX(Horario_Bach!$B$2:$B$1200,$H55))</f>
        <v/>
      </c>
      <c r="D55">
        <f>IF($H55="","",INDEX(Horario_Bach!$H$2:$H$1200,$H55))</f>
        <v/>
      </c>
      <c r="E55">
        <f>IF($H55="","",IF(INDEX(Horario_Bach!$F$2:$F$1200,$H55)="ENFASIS","Énfasis","Clase"))</f>
        <v/>
      </c>
      <c r="F55">
        <f>IF($H55="","",INDEX(Horario_Bach!$M$2:$M$1200,$H55))</f>
        <v/>
      </c>
      <c r="H55">
        <f>IFERROR(MATCH($L$7&amp;"|"&amp;A55,Horario_Bach!$P$2:$P$1200,0),"")</f>
        <v/>
      </c>
    </row>
    <row r="56">
      <c r="A56" t="n">
        <v>43</v>
      </c>
      <c r="B56">
        <f>IF($H56="","",INDEX(Horario_Bach!$L$2:$L$1200,$H56))</f>
        <v/>
      </c>
      <c r="C56">
        <f>IF($H56="","",INDEX(Horario_Bach!$B$2:$B$1200,$H56))</f>
        <v/>
      </c>
      <c r="D56">
        <f>IF($H56="","",INDEX(Horario_Bach!$H$2:$H$1200,$H56))</f>
        <v/>
      </c>
      <c r="E56">
        <f>IF($H56="","",IF(INDEX(Horario_Bach!$F$2:$F$1200,$H56)="ENFASIS","Énfasis","Clase"))</f>
        <v/>
      </c>
      <c r="F56">
        <f>IF($H56="","",INDEX(Horario_Bach!$M$2:$M$1200,$H56))</f>
        <v/>
      </c>
      <c r="H56">
        <f>IFERROR(MATCH($L$7&amp;"|"&amp;A56,Horario_Bach!$P$2:$P$1200,0),"")</f>
        <v/>
      </c>
    </row>
    <row r="57">
      <c r="A57" t="n">
        <v>44</v>
      </c>
      <c r="B57">
        <f>IF($H57="","",INDEX(Horario_Bach!$L$2:$L$1200,$H57))</f>
        <v/>
      </c>
      <c r="C57">
        <f>IF($H57="","",INDEX(Horario_Bach!$B$2:$B$1200,$H57))</f>
        <v/>
      </c>
      <c r="D57">
        <f>IF($H57="","",INDEX(Horario_Bach!$H$2:$H$1200,$H57))</f>
        <v/>
      </c>
      <c r="E57">
        <f>IF($H57="","",IF(INDEX(Horario_Bach!$F$2:$F$1200,$H57)="ENFASIS","Énfasis","Clase"))</f>
        <v/>
      </c>
      <c r="F57">
        <f>IF($H57="","",INDEX(Horario_Bach!$M$2:$M$1200,$H57))</f>
        <v/>
      </c>
      <c r="H57">
        <f>IFERROR(MATCH($L$7&amp;"|"&amp;A57,Horario_Bach!$P$2:$P$1200,0),"")</f>
        <v/>
      </c>
    </row>
    <row r="58">
      <c r="A58" t="n">
        <v>45</v>
      </c>
      <c r="B58">
        <f>IF($H58="","",INDEX(Horario_Bach!$L$2:$L$1200,$H58))</f>
        <v/>
      </c>
      <c r="C58">
        <f>IF($H58="","",INDEX(Horario_Bach!$B$2:$B$1200,$H58))</f>
        <v/>
      </c>
      <c r="D58">
        <f>IF($H58="","",INDEX(Horario_Bach!$H$2:$H$1200,$H58))</f>
        <v/>
      </c>
      <c r="E58">
        <f>IF($H58="","",IF(INDEX(Horario_Bach!$F$2:$F$1200,$H58)="ENFASIS","Énfasis","Clase"))</f>
        <v/>
      </c>
      <c r="F58">
        <f>IF($H58="","",INDEX(Horario_Bach!$M$2:$M$1200,$H58))</f>
        <v/>
      </c>
      <c r="H58">
        <f>IFERROR(MATCH($L$7&amp;"|"&amp;A58,Horario_Bach!$P$2:$P$1200,0),"")</f>
        <v/>
      </c>
    </row>
    <row r="59">
      <c r="A59" t="n">
        <v>46</v>
      </c>
      <c r="B59">
        <f>IF($H59="","",INDEX(Horario_Bach!$L$2:$L$1200,$H59))</f>
        <v/>
      </c>
      <c r="C59">
        <f>IF($H59="","",INDEX(Horario_Bach!$B$2:$B$1200,$H59))</f>
        <v/>
      </c>
      <c r="D59">
        <f>IF($H59="","",INDEX(Horario_Bach!$H$2:$H$1200,$H59))</f>
        <v/>
      </c>
      <c r="E59">
        <f>IF($H59="","",IF(INDEX(Horario_Bach!$F$2:$F$1200,$H59)="ENFASIS","Énfasis","Clase"))</f>
        <v/>
      </c>
      <c r="F59">
        <f>IF($H59="","",INDEX(Horario_Bach!$M$2:$M$1200,$H59))</f>
        <v/>
      </c>
      <c r="H59">
        <f>IFERROR(MATCH($L$7&amp;"|"&amp;A59,Horario_Bach!$P$2:$P$1200,0),"")</f>
        <v/>
      </c>
    </row>
    <row r="60">
      <c r="A60" t="n">
        <v>47</v>
      </c>
      <c r="B60">
        <f>IF($H60="","",INDEX(Horario_Bach!$L$2:$L$1200,$H60))</f>
        <v/>
      </c>
      <c r="C60">
        <f>IF($H60="","",INDEX(Horario_Bach!$B$2:$B$1200,$H60))</f>
        <v/>
      </c>
      <c r="D60">
        <f>IF($H60="","",INDEX(Horario_Bach!$H$2:$H$1200,$H60))</f>
        <v/>
      </c>
      <c r="E60">
        <f>IF($H60="","",IF(INDEX(Horario_Bach!$F$2:$F$1200,$H60)="ENFASIS","Énfasis","Clase"))</f>
        <v/>
      </c>
      <c r="F60">
        <f>IF($H60="","",INDEX(Horario_Bach!$M$2:$M$1200,$H60))</f>
        <v/>
      </c>
      <c r="H60">
        <f>IFERROR(MATCH($L$7&amp;"|"&amp;A60,Horario_Bach!$P$2:$P$1200,0),"")</f>
        <v/>
      </c>
    </row>
    <row r="61">
      <c r="A61" t="n">
        <v>48</v>
      </c>
      <c r="B61">
        <f>IF($H61="","",INDEX(Horario_Bach!$L$2:$L$1200,$H61))</f>
        <v/>
      </c>
      <c r="C61">
        <f>IF($H61="","",INDEX(Horario_Bach!$B$2:$B$1200,$H61))</f>
        <v/>
      </c>
      <c r="D61">
        <f>IF($H61="","",INDEX(Horario_Bach!$H$2:$H$1200,$H61))</f>
        <v/>
      </c>
      <c r="E61">
        <f>IF($H61="","",IF(INDEX(Horario_Bach!$F$2:$F$1200,$H61)="ENFASIS","Énfasis","Clase"))</f>
        <v/>
      </c>
      <c r="F61">
        <f>IF($H61="","",INDEX(Horario_Bach!$M$2:$M$1200,$H61))</f>
        <v/>
      </c>
      <c r="H61">
        <f>IFERROR(MATCH($L$7&amp;"|"&amp;A61,Horario_Bach!$P$2:$P$1200,0),"")</f>
        <v/>
      </c>
    </row>
    <row r="62">
      <c r="A62" t="n">
        <v>49</v>
      </c>
      <c r="B62">
        <f>IF($H62="","",INDEX(Horario_Bach!$L$2:$L$1200,$H62))</f>
        <v/>
      </c>
      <c r="C62">
        <f>IF($H62="","",INDEX(Horario_Bach!$B$2:$B$1200,$H62))</f>
        <v/>
      </c>
      <c r="D62">
        <f>IF($H62="","",INDEX(Horario_Bach!$H$2:$H$1200,$H62))</f>
        <v/>
      </c>
      <c r="E62">
        <f>IF($H62="","",IF(INDEX(Horario_Bach!$F$2:$F$1200,$H62)="ENFASIS","Énfasis","Clase"))</f>
        <v/>
      </c>
      <c r="F62">
        <f>IF($H62="","",INDEX(Horario_Bach!$M$2:$M$1200,$H62))</f>
        <v/>
      </c>
      <c r="H62">
        <f>IFERROR(MATCH($L$7&amp;"|"&amp;A62,Horario_Bach!$P$2:$P$1200,0),"")</f>
        <v/>
      </c>
    </row>
    <row r="63">
      <c r="A63" t="n">
        <v>50</v>
      </c>
      <c r="B63">
        <f>IF($H63="","",INDEX(Horario_Bach!$L$2:$L$1200,$H63))</f>
        <v/>
      </c>
      <c r="C63">
        <f>IF($H63="","",INDEX(Horario_Bach!$B$2:$B$1200,$H63))</f>
        <v/>
      </c>
      <c r="D63">
        <f>IF($H63="","",INDEX(Horario_Bach!$H$2:$H$1200,$H63))</f>
        <v/>
      </c>
      <c r="E63">
        <f>IF($H63="","",IF(INDEX(Horario_Bach!$F$2:$F$1200,$H63)="ENFASIS","Énfasis","Clase"))</f>
        <v/>
      </c>
      <c r="F63">
        <f>IF($H63="","",INDEX(Horario_Bach!$M$2:$M$1200,$H63))</f>
        <v/>
      </c>
      <c r="H63">
        <f>IFERROR(MATCH($L$7&amp;"|"&amp;A63,Horario_Bach!$P$2:$P$1200,0),"")</f>
        <v/>
      </c>
    </row>
    <row r="64">
      <c r="A64" t="n">
        <v>51</v>
      </c>
      <c r="B64">
        <f>IF($H64="","",INDEX(Horario_Bach!$L$2:$L$1200,$H64))</f>
        <v/>
      </c>
      <c r="C64">
        <f>IF($H64="","",INDEX(Horario_Bach!$B$2:$B$1200,$H64))</f>
        <v/>
      </c>
      <c r="D64">
        <f>IF($H64="","",INDEX(Horario_Bach!$H$2:$H$1200,$H64))</f>
        <v/>
      </c>
      <c r="E64">
        <f>IF($H64="","",IF(INDEX(Horario_Bach!$F$2:$F$1200,$H64)="ENFASIS","Énfasis","Clase"))</f>
        <v/>
      </c>
      <c r="F64">
        <f>IF($H64="","",INDEX(Horario_Bach!$M$2:$M$1200,$H64))</f>
        <v/>
      </c>
      <c r="H64">
        <f>IFERROR(MATCH($L$7&amp;"|"&amp;A64,Horario_Bach!$P$2:$P$1200,0),"")</f>
        <v/>
      </c>
    </row>
    <row r="65">
      <c r="A65" t="n">
        <v>52</v>
      </c>
      <c r="B65">
        <f>IF($H65="","",INDEX(Horario_Bach!$L$2:$L$1200,$H65))</f>
        <v/>
      </c>
      <c r="C65">
        <f>IF($H65="","",INDEX(Horario_Bach!$B$2:$B$1200,$H65))</f>
        <v/>
      </c>
      <c r="D65">
        <f>IF($H65="","",INDEX(Horario_Bach!$H$2:$H$1200,$H65))</f>
        <v/>
      </c>
      <c r="E65">
        <f>IF($H65="","",IF(INDEX(Horario_Bach!$F$2:$F$1200,$H65)="ENFASIS","Énfasis","Clase"))</f>
        <v/>
      </c>
      <c r="F65">
        <f>IF($H65="","",INDEX(Horario_Bach!$M$2:$M$1200,$H65))</f>
        <v/>
      </c>
      <c r="H65">
        <f>IFERROR(MATCH($L$7&amp;"|"&amp;A65,Horario_Bach!$P$2:$P$1200,0),"")</f>
        <v/>
      </c>
    </row>
    <row r="66">
      <c r="A66" t="n">
        <v>53</v>
      </c>
      <c r="B66">
        <f>IF($H66="","",INDEX(Horario_Bach!$L$2:$L$1200,$H66))</f>
        <v/>
      </c>
      <c r="C66">
        <f>IF($H66="","",INDEX(Horario_Bach!$B$2:$B$1200,$H66))</f>
        <v/>
      </c>
      <c r="D66">
        <f>IF($H66="","",INDEX(Horario_Bach!$H$2:$H$1200,$H66))</f>
        <v/>
      </c>
      <c r="E66">
        <f>IF($H66="","",IF(INDEX(Horario_Bach!$F$2:$F$1200,$H66)="ENFASIS","Énfasis","Clase"))</f>
        <v/>
      </c>
      <c r="F66">
        <f>IF($H66="","",INDEX(Horario_Bach!$M$2:$M$1200,$H66))</f>
        <v/>
      </c>
      <c r="H66">
        <f>IFERROR(MATCH($L$7&amp;"|"&amp;A66,Horario_Bach!$P$2:$P$1200,0),"")</f>
        <v/>
      </c>
    </row>
    <row r="67">
      <c r="A67" t="n">
        <v>54</v>
      </c>
      <c r="B67">
        <f>IF($H67="","",INDEX(Horario_Bach!$L$2:$L$1200,$H67))</f>
        <v/>
      </c>
      <c r="C67">
        <f>IF($H67="","",INDEX(Horario_Bach!$B$2:$B$1200,$H67))</f>
        <v/>
      </c>
      <c r="D67">
        <f>IF($H67="","",INDEX(Horario_Bach!$H$2:$H$1200,$H67))</f>
        <v/>
      </c>
      <c r="E67">
        <f>IF($H67="","",IF(INDEX(Horario_Bach!$F$2:$F$1200,$H67)="ENFASIS","Énfasis","Clase"))</f>
        <v/>
      </c>
      <c r="F67">
        <f>IF($H67="","",INDEX(Horario_Bach!$M$2:$M$1200,$H67))</f>
        <v/>
      </c>
      <c r="H67">
        <f>IFERROR(MATCH($L$7&amp;"|"&amp;A67,Horario_Bach!$P$2:$P$1200,0),"")</f>
        <v/>
      </c>
    </row>
    <row r="68">
      <c r="A68" t="n">
        <v>55</v>
      </c>
      <c r="B68">
        <f>IF($H68="","",INDEX(Horario_Bach!$L$2:$L$1200,$H68))</f>
        <v/>
      </c>
      <c r="C68">
        <f>IF($H68="","",INDEX(Horario_Bach!$B$2:$B$1200,$H68))</f>
        <v/>
      </c>
      <c r="D68">
        <f>IF($H68="","",INDEX(Horario_Bach!$H$2:$H$1200,$H68))</f>
        <v/>
      </c>
      <c r="E68">
        <f>IF($H68="","",IF(INDEX(Horario_Bach!$F$2:$F$1200,$H68)="ENFASIS","Énfasis","Clase"))</f>
        <v/>
      </c>
      <c r="F68">
        <f>IF($H68="","",INDEX(Horario_Bach!$M$2:$M$1200,$H68))</f>
        <v/>
      </c>
      <c r="H68">
        <f>IFERROR(MATCH($L$7&amp;"|"&amp;A68,Horario_Bach!$P$2:$P$1200,0),"")</f>
        <v/>
      </c>
    </row>
    <row r="69">
      <c r="A69" t="n">
        <v>56</v>
      </c>
      <c r="B69">
        <f>IF($H69="","",INDEX(Horario_Bach!$L$2:$L$1200,$H69))</f>
        <v/>
      </c>
      <c r="C69">
        <f>IF($H69="","",INDEX(Horario_Bach!$B$2:$B$1200,$H69))</f>
        <v/>
      </c>
      <c r="D69">
        <f>IF($H69="","",INDEX(Horario_Bach!$H$2:$H$1200,$H69))</f>
        <v/>
      </c>
      <c r="E69">
        <f>IF($H69="","",IF(INDEX(Horario_Bach!$F$2:$F$1200,$H69)="ENFASIS","Énfasis","Clase"))</f>
        <v/>
      </c>
      <c r="F69">
        <f>IF($H69="","",INDEX(Horario_Bach!$M$2:$M$1200,$H69))</f>
        <v/>
      </c>
      <c r="H69">
        <f>IFERROR(MATCH($L$7&amp;"|"&amp;A69,Horario_Bach!$P$2:$P$1200,0),"")</f>
        <v/>
      </c>
    </row>
    <row r="70">
      <c r="A70" t="n">
        <v>57</v>
      </c>
      <c r="B70">
        <f>IF($H70="","",INDEX(Horario_Bach!$L$2:$L$1200,$H70))</f>
        <v/>
      </c>
      <c r="C70">
        <f>IF($H70="","",INDEX(Horario_Bach!$B$2:$B$1200,$H70))</f>
        <v/>
      </c>
      <c r="D70">
        <f>IF($H70="","",INDEX(Horario_Bach!$H$2:$H$1200,$H70))</f>
        <v/>
      </c>
      <c r="E70">
        <f>IF($H70="","",IF(INDEX(Horario_Bach!$F$2:$F$1200,$H70)="ENFASIS","Énfasis","Clase"))</f>
        <v/>
      </c>
      <c r="F70">
        <f>IF($H70="","",INDEX(Horario_Bach!$M$2:$M$1200,$H70))</f>
        <v/>
      </c>
      <c r="H70">
        <f>IFERROR(MATCH($L$7&amp;"|"&amp;A70,Horario_Bach!$P$2:$P$1200,0),"")</f>
        <v/>
      </c>
    </row>
    <row r="71">
      <c r="A71" t="n">
        <v>58</v>
      </c>
      <c r="B71">
        <f>IF($H71="","",INDEX(Horario_Bach!$L$2:$L$1200,$H71))</f>
        <v/>
      </c>
      <c r="C71">
        <f>IF($H71="","",INDEX(Horario_Bach!$B$2:$B$1200,$H71))</f>
        <v/>
      </c>
      <c r="D71">
        <f>IF($H71="","",INDEX(Horario_Bach!$H$2:$H$1200,$H71))</f>
        <v/>
      </c>
      <c r="E71">
        <f>IF($H71="","",IF(INDEX(Horario_Bach!$F$2:$F$1200,$H71)="ENFASIS","Énfasis","Clase"))</f>
        <v/>
      </c>
      <c r="F71">
        <f>IF($H71="","",INDEX(Horario_Bach!$M$2:$M$1200,$H71))</f>
        <v/>
      </c>
      <c r="H71">
        <f>IFERROR(MATCH($L$7&amp;"|"&amp;A71,Horario_Bach!$P$2:$P$1200,0),"")</f>
        <v/>
      </c>
    </row>
    <row r="72">
      <c r="A72" t="n">
        <v>59</v>
      </c>
      <c r="B72">
        <f>IF($H72="","",INDEX(Horario_Bach!$L$2:$L$1200,$H72))</f>
        <v/>
      </c>
      <c r="C72">
        <f>IF($H72="","",INDEX(Horario_Bach!$B$2:$B$1200,$H72))</f>
        <v/>
      </c>
      <c r="D72">
        <f>IF($H72="","",INDEX(Horario_Bach!$H$2:$H$1200,$H72))</f>
        <v/>
      </c>
      <c r="E72">
        <f>IF($H72="","",IF(INDEX(Horario_Bach!$F$2:$F$1200,$H72)="ENFASIS","Énfasis","Clase"))</f>
        <v/>
      </c>
      <c r="F72">
        <f>IF($H72="","",INDEX(Horario_Bach!$M$2:$M$1200,$H72))</f>
        <v/>
      </c>
      <c r="H72">
        <f>IFERROR(MATCH($L$7&amp;"|"&amp;A72,Horario_Bach!$P$2:$P$1200,0),"")</f>
        <v/>
      </c>
    </row>
    <row r="73">
      <c r="A73" t="n">
        <v>60</v>
      </c>
      <c r="B73">
        <f>IF($H73="","",INDEX(Horario_Bach!$L$2:$L$1200,$H73))</f>
        <v/>
      </c>
      <c r="C73">
        <f>IF($H73="","",INDEX(Horario_Bach!$B$2:$B$1200,$H73))</f>
        <v/>
      </c>
      <c r="D73">
        <f>IF($H73="","",INDEX(Horario_Bach!$H$2:$H$1200,$H73))</f>
        <v/>
      </c>
      <c r="E73">
        <f>IF($H73="","",IF(INDEX(Horario_Bach!$F$2:$F$1200,$H73)="ENFASIS","Énfasis","Clase"))</f>
        <v/>
      </c>
      <c r="F73">
        <f>IF($H73="","",INDEX(Horario_Bach!$M$2:$M$1200,$H73))</f>
        <v/>
      </c>
      <c r="H73">
        <f>IFERROR(MATCH($L$7&amp;"|"&amp;A73,Horario_Bach!$P$2:$P$1200,0),"")</f>
        <v/>
      </c>
    </row>
  </sheetData>
  <conditionalFormatting sqref="A14:F73">
    <cfRule type="expression" priority="1" dxfId="0">
      <formula>$E14="Énfasis"</formula>
    </cfRule>
  </conditionalFormatting>
  <dataValidations count="3">
    <dataValidation sqref="B4" showDropDown="0" showInputMessage="0" showErrorMessage="0" allowBlank="1" type="list">
      <formula1>"1,2,3,4"</formula1>
    </dataValidation>
    <dataValidation sqref="B5" showDropDown="0" showInputMessage="0" showErrorMessage="0" allowBlank="1" type="list">
      <formula1>"1,2,3,4,5,6,7,8"</formula1>
    </dataValidation>
    <dataValidation sqref="B3" showDropDown="0" showInputMessage="0" showErrorMessage="0" allowBlank="1" error="Escriba una fecha de 2026 (dd/mm/aaaa)" type="date" operator="between">
      <formula1>DATE(2026,1,1)</formula1>
      <formula2>DATE(2026,12,31)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8" customWidth="1" min="1" max="1"/>
    <col width="40" customWidth="1" min="2" max="2"/>
    <col width="14" customWidth="1" min="3" max="3"/>
    <col width="10" customWidth="1" min="4" max="4"/>
    <col hidden="1" width="6" customWidth="1" min="5" max="5"/>
  </cols>
  <sheetData>
    <row r="1">
      <c r="A1" s="1" t="inlineStr">
        <is>
          <t>DÓNDE ESTÁ CADA DOCENTE · BACHILLERATO</t>
        </is>
      </c>
    </row>
    <row r="2">
      <c r="A2" s="2" t="inlineStr">
        <is>
          <t>Usa la misma fecha, bloque y sesión de la hoja Ubicacion.</t>
        </is>
      </c>
    </row>
    <row r="3">
      <c r="A3" s="3" t="inlineStr">
        <is>
          <t>Consulta</t>
        </is>
      </c>
      <c r="B3" s="7">
        <f>Ubicacion!B7</f>
        <v/>
      </c>
    </row>
    <row r="4">
      <c r="A4" s="3" t="inlineStr">
        <is>
          <t>Franja</t>
        </is>
      </c>
      <c r="B4" s="7">
        <f>Ubicacion!B8</f>
        <v/>
      </c>
    </row>
    <row r="5">
      <c r="A5" s="3" t="inlineStr">
        <is>
          <t>Estado</t>
        </is>
      </c>
      <c r="B5" s="7">
        <f>Ubicacion!B9</f>
        <v/>
      </c>
    </row>
    <row r="7">
      <c r="A7" s="8" t="inlineStr">
        <is>
          <t>Docente</t>
        </is>
      </c>
      <c r="B7" s="8" t="inlineStr">
        <is>
          <t>Dónde está (grupo)</t>
        </is>
      </c>
      <c r="C7" s="8" t="inlineStr">
        <is>
          <t>Área</t>
        </is>
      </c>
      <c r="D7" s="8" t="inlineStr">
        <is>
          <t>Tipo</t>
        </is>
      </c>
      <c r="E7" s="8" t="inlineStr">
        <is>
          <t>n</t>
        </is>
      </c>
    </row>
    <row r="8">
      <c r="A8" t="inlineStr">
        <is>
          <t>Aguirre Riascos Jorge Andrés</t>
        </is>
      </c>
      <c r="B8">
        <f>IF(NOT(ISNUMBER(Ubicacion!$L$6)),"—",IFERROR(INDEX(Horario_Bach!$L$2:$L$1200,MATCH(Ubicacion!$L$2&amp;"|"&amp;Ubicacion!$L$6&amp;"|"&amp;$E8,Horario_Bach!$Q$2:$Q$1200,0)),"Libre (sin clase)"))</f>
        <v/>
      </c>
      <c r="C8">
        <f>IF(NOT(ISNUMBER(Ubicacion!$L$6)),"",IFERROR(INDEX(Horario_Bach!$H$2:$H$1200,MATCH(Ubicacion!$L$2&amp;"|"&amp;Ubicacion!$L$6&amp;"|"&amp;$E8,Horario_Bach!$Q$2:$Q$1200,0)),""))</f>
        <v/>
      </c>
      <c r="D8">
        <f>IF(NOT(ISNUMBER(Ubicacion!$L$6)),"",IFERROR(IF(INDEX(Horario_Bach!$F$2:$F$1200,MATCH(Ubicacion!$L$2&amp;"|"&amp;Ubicacion!$L$6&amp;"|"&amp;$E8,Horario_Bach!$Q$2:$Q$1200,0))="ENFASIS","Énfasis","Clase"),""))</f>
        <v/>
      </c>
      <c r="E8" t="n">
        <v>1</v>
      </c>
    </row>
    <row r="9">
      <c r="A9" t="inlineStr">
        <is>
          <t>Angulo Lucero Andrés Mauricio</t>
        </is>
      </c>
      <c r="B9">
        <f>IF(NOT(ISNUMBER(Ubicacion!$L$6)),"—",IFERROR(INDEX(Horario_Bach!$L$2:$L$1200,MATCH(Ubicacion!$L$2&amp;"|"&amp;Ubicacion!$L$6&amp;"|"&amp;$E9,Horario_Bach!$Q$2:$Q$1200,0)),"Libre (sin clase)"))</f>
        <v/>
      </c>
      <c r="C9">
        <f>IF(NOT(ISNUMBER(Ubicacion!$L$6)),"",IFERROR(INDEX(Horario_Bach!$H$2:$H$1200,MATCH(Ubicacion!$L$2&amp;"|"&amp;Ubicacion!$L$6&amp;"|"&amp;$E9,Horario_Bach!$Q$2:$Q$1200,0)),""))</f>
        <v/>
      </c>
      <c r="D9">
        <f>IF(NOT(ISNUMBER(Ubicacion!$L$6)),"",IFERROR(IF(INDEX(Horario_Bach!$F$2:$F$1200,MATCH(Ubicacion!$L$2&amp;"|"&amp;Ubicacion!$L$6&amp;"|"&amp;$E9,Horario_Bach!$Q$2:$Q$1200,0))="ENFASIS","Énfasis","Clase"),""))</f>
        <v/>
      </c>
      <c r="E9" t="n">
        <v>2</v>
      </c>
    </row>
    <row r="10">
      <c r="A10" t="inlineStr">
        <is>
          <t>Arboleda Ortiz Luz América</t>
        </is>
      </c>
      <c r="B10">
        <f>IF(NOT(ISNUMBER(Ubicacion!$L$6)),"—",IFERROR(INDEX(Horario_Bach!$L$2:$L$1200,MATCH(Ubicacion!$L$2&amp;"|"&amp;Ubicacion!$L$6&amp;"|"&amp;$E10,Horario_Bach!$Q$2:$Q$1200,0)),"Libre (sin clase)"))</f>
        <v/>
      </c>
      <c r="C10">
        <f>IF(NOT(ISNUMBER(Ubicacion!$L$6)),"",IFERROR(INDEX(Horario_Bach!$H$2:$H$1200,MATCH(Ubicacion!$L$2&amp;"|"&amp;Ubicacion!$L$6&amp;"|"&amp;$E10,Horario_Bach!$Q$2:$Q$1200,0)),""))</f>
        <v/>
      </c>
      <c r="D10">
        <f>IF(NOT(ISNUMBER(Ubicacion!$L$6)),"",IFERROR(IF(INDEX(Horario_Bach!$F$2:$F$1200,MATCH(Ubicacion!$L$2&amp;"|"&amp;Ubicacion!$L$6&amp;"|"&amp;$E10,Horario_Bach!$Q$2:$Q$1200,0))="ENFASIS","Énfasis","Clase"),""))</f>
        <v/>
      </c>
      <c r="E10" t="n">
        <v>3</v>
      </c>
    </row>
    <row r="11">
      <c r="A11" t="inlineStr">
        <is>
          <t>Arizala Castro Roberto Carlos</t>
        </is>
      </c>
      <c r="B11">
        <f>IF(NOT(ISNUMBER(Ubicacion!$L$6)),"—",IFERROR(INDEX(Horario_Bach!$L$2:$L$1200,MATCH(Ubicacion!$L$2&amp;"|"&amp;Ubicacion!$L$6&amp;"|"&amp;$E11,Horario_Bach!$Q$2:$Q$1200,0)),"Libre (sin clase)"))</f>
        <v/>
      </c>
      <c r="C11">
        <f>IF(NOT(ISNUMBER(Ubicacion!$L$6)),"",IFERROR(INDEX(Horario_Bach!$H$2:$H$1200,MATCH(Ubicacion!$L$2&amp;"|"&amp;Ubicacion!$L$6&amp;"|"&amp;$E11,Horario_Bach!$Q$2:$Q$1200,0)),""))</f>
        <v/>
      </c>
      <c r="D11">
        <f>IF(NOT(ISNUMBER(Ubicacion!$L$6)),"",IFERROR(IF(INDEX(Horario_Bach!$F$2:$F$1200,MATCH(Ubicacion!$L$2&amp;"|"&amp;Ubicacion!$L$6&amp;"|"&amp;$E11,Horario_Bach!$Q$2:$Q$1200,0))="ENFASIS","Énfasis","Clase"),""))</f>
        <v/>
      </c>
      <c r="E11" t="n">
        <v>4</v>
      </c>
    </row>
    <row r="12">
      <c r="A12" t="inlineStr">
        <is>
          <t>Armero Dájome Jesús</t>
        </is>
      </c>
      <c r="B12">
        <f>IF(NOT(ISNUMBER(Ubicacion!$L$6)),"—",IFERROR(INDEX(Horario_Bach!$L$2:$L$1200,MATCH(Ubicacion!$L$2&amp;"|"&amp;Ubicacion!$L$6&amp;"|"&amp;$E12,Horario_Bach!$Q$2:$Q$1200,0)),"Libre (sin clase)"))</f>
        <v/>
      </c>
      <c r="C12">
        <f>IF(NOT(ISNUMBER(Ubicacion!$L$6)),"",IFERROR(INDEX(Horario_Bach!$H$2:$H$1200,MATCH(Ubicacion!$L$2&amp;"|"&amp;Ubicacion!$L$6&amp;"|"&amp;$E12,Horario_Bach!$Q$2:$Q$1200,0)),""))</f>
        <v/>
      </c>
      <c r="D12">
        <f>IF(NOT(ISNUMBER(Ubicacion!$L$6)),"",IFERROR(IF(INDEX(Horario_Bach!$F$2:$F$1200,MATCH(Ubicacion!$L$2&amp;"|"&amp;Ubicacion!$L$6&amp;"|"&amp;$E12,Horario_Bach!$Q$2:$Q$1200,0))="ENFASIS","Énfasis","Clase"),""))</f>
        <v/>
      </c>
      <c r="E12" t="n">
        <v>57</v>
      </c>
    </row>
    <row r="13">
      <c r="A13" t="inlineStr">
        <is>
          <t>Bastidas Valencia Zeneida Judith</t>
        </is>
      </c>
      <c r="B13">
        <f>IF(NOT(ISNUMBER(Ubicacion!$L$6)),"—",IFERROR(INDEX(Horario_Bach!$L$2:$L$1200,MATCH(Ubicacion!$L$2&amp;"|"&amp;Ubicacion!$L$6&amp;"|"&amp;$E13,Horario_Bach!$Q$2:$Q$1200,0)),"Libre (sin clase)"))</f>
        <v/>
      </c>
      <c r="C13">
        <f>IF(NOT(ISNUMBER(Ubicacion!$L$6)),"",IFERROR(INDEX(Horario_Bach!$H$2:$H$1200,MATCH(Ubicacion!$L$2&amp;"|"&amp;Ubicacion!$L$6&amp;"|"&amp;$E13,Horario_Bach!$Q$2:$Q$1200,0)),""))</f>
        <v/>
      </c>
      <c r="D13">
        <f>IF(NOT(ISNUMBER(Ubicacion!$L$6)),"",IFERROR(IF(INDEX(Horario_Bach!$F$2:$F$1200,MATCH(Ubicacion!$L$2&amp;"|"&amp;Ubicacion!$L$6&amp;"|"&amp;$E13,Horario_Bach!$Q$2:$Q$1200,0))="ENFASIS","Énfasis","Clase"),""))</f>
        <v/>
      </c>
      <c r="E13" t="n">
        <v>5</v>
      </c>
    </row>
    <row r="14">
      <c r="A14" t="inlineStr">
        <is>
          <t>Betancourth Ocampo Yohana Patricia</t>
        </is>
      </c>
      <c r="B14">
        <f>IF(NOT(ISNUMBER(Ubicacion!$L$6)),"—",IFERROR(INDEX(Horario_Bach!$L$2:$L$1200,MATCH(Ubicacion!$L$2&amp;"|"&amp;Ubicacion!$L$6&amp;"|"&amp;$E14,Horario_Bach!$Q$2:$Q$1200,0)),"Libre (sin clase)"))</f>
        <v/>
      </c>
      <c r="C14">
        <f>IF(NOT(ISNUMBER(Ubicacion!$L$6)),"",IFERROR(INDEX(Horario_Bach!$H$2:$H$1200,MATCH(Ubicacion!$L$2&amp;"|"&amp;Ubicacion!$L$6&amp;"|"&amp;$E14,Horario_Bach!$Q$2:$Q$1200,0)),""))</f>
        <v/>
      </c>
      <c r="D14">
        <f>IF(NOT(ISNUMBER(Ubicacion!$L$6)),"",IFERROR(IF(INDEX(Horario_Bach!$F$2:$F$1200,MATCH(Ubicacion!$L$2&amp;"|"&amp;Ubicacion!$L$6&amp;"|"&amp;$E14,Horario_Bach!$Q$2:$Q$1200,0))="ENFASIS","Énfasis","Clase"),""))</f>
        <v/>
      </c>
      <c r="E14" t="n">
        <v>6</v>
      </c>
    </row>
    <row r="15">
      <c r="A15" t="inlineStr">
        <is>
          <t>Casanova Quiñones Yoli del Carmen</t>
        </is>
      </c>
      <c r="B15">
        <f>IF(NOT(ISNUMBER(Ubicacion!$L$6)),"—",IFERROR(INDEX(Horario_Bach!$L$2:$L$1200,MATCH(Ubicacion!$L$2&amp;"|"&amp;Ubicacion!$L$6&amp;"|"&amp;$E15,Horario_Bach!$Q$2:$Q$1200,0)),"Libre (sin clase)"))</f>
        <v/>
      </c>
      <c r="C15">
        <f>IF(NOT(ISNUMBER(Ubicacion!$L$6)),"",IFERROR(INDEX(Horario_Bach!$H$2:$H$1200,MATCH(Ubicacion!$L$2&amp;"|"&amp;Ubicacion!$L$6&amp;"|"&amp;$E15,Horario_Bach!$Q$2:$Q$1200,0)),""))</f>
        <v/>
      </c>
      <c r="D15">
        <f>IF(NOT(ISNUMBER(Ubicacion!$L$6)),"",IFERROR(IF(INDEX(Horario_Bach!$F$2:$F$1200,MATCH(Ubicacion!$L$2&amp;"|"&amp;Ubicacion!$L$6&amp;"|"&amp;$E15,Horario_Bach!$Q$2:$Q$1200,0))="ENFASIS","Énfasis","Clase"),""))</f>
        <v/>
      </c>
      <c r="E15" t="n">
        <v>8</v>
      </c>
    </row>
    <row r="16">
      <c r="A16" t="inlineStr">
        <is>
          <t>Castillo Angulo Martha Cecilia</t>
        </is>
      </c>
      <c r="B16">
        <f>IF(NOT(ISNUMBER(Ubicacion!$L$6)),"—",IFERROR(INDEX(Horario_Bach!$L$2:$L$1200,MATCH(Ubicacion!$L$2&amp;"|"&amp;Ubicacion!$L$6&amp;"|"&amp;$E16,Horario_Bach!$Q$2:$Q$1200,0)),"Libre (sin clase)"))</f>
        <v/>
      </c>
      <c r="C16">
        <f>IF(NOT(ISNUMBER(Ubicacion!$L$6)),"",IFERROR(INDEX(Horario_Bach!$H$2:$H$1200,MATCH(Ubicacion!$L$2&amp;"|"&amp;Ubicacion!$L$6&amp;"|"&amp;$E16,Horario_Bach!$Q$2:$Q$1200,0)),""))</f>
        <v/>
      </c>
      <c r="D16">
        <f>IF(NOT(ISNUMBER(Ubicacion!$L$6)),"",IFERROR(IF(INDEX(Horario_Bach!$F$2:$F$1200,MATCH(Ubicacion!$L$2&amp;"|"&amp;Ubicacion!$L$6&amp;"|"&amp;$E16,Horario_Bach!$Q$2:$Q$1200,0))="ENFASIS","Énfasis","Clase"),""))</f>
        <v/>
      </c>
      <c r="E16" t="n">
        <v>9</v>
      </c>
    </row>
    <row r="17">
      <c r="A17" t="inlineStr">
        <is>
          <t>Castillo Cuero Daira Eneida</t>
        </is>
      </c>
      <c r="B17">
        <f>IF(NOT(ISNUMBER(Ubicacion!$L$6)),"—",IFERROR(INDEX(Horario_Bach!$L$2:$L$1200,MATCH(Ubicacion!$L$2&amp;"|"&amp;Ubicacion!$L$6&amp;"|"&amp;$E17,Horario_Bach!$Q$2:$Q$1200,0)),"Libre (sin clase)"))</f>
        <v/>
      </c>
      <c r="C17">
        <f>IF(NOT(ISNUMBER(Ubicacion!$L$6)),"",IFERROR(INDEX(Horario_Bach!$H$2:$H$1200,MATCH(Ubicacion!$L$2&amp;"|"&amp;Ubicacion!$L$6&amp;"|"&amp;$E17,Horario_Bach!$Q$2:$Q$1200,0)),""))</f>
        <v/>
      </c>
      <c r="D17">
        <f>IF(NOT(ISNUMBER(Ubicacion!$L$6)),"",IFERROR(IF(INDEX(Horario_Bach!$F$2:$F$1200,MATCH(Ubicacion!$L$2&amp;"|"&amp;Ubicacion!$L$6&amp;"|"&amp;$E17,Horario_Bach!$Q$2:$Q$1200,0))="ENFASIS","Énfasis","Clase"),""))</f>
        <v/>
      </c>
      <c r="E17" t="n">
        <v>10</v>
      </c>
    </row>
    <row r="18">
      <c r="A18" t="inlineStr">
        <is>
          <t>Chillambo Quiñones María Rocío</t>
        </is>
      </c>
      <c r="B18">
        <f>IF(NOT(ISNUMBER(Ubicacion!$L$6)),"—",IFERROR(INDEX(Horario_Bach!$L$2:$L$1200,MATCH(Ubicacion!$L$2&amp;"|"&amp;Ubicacion!$L$6&amp;"|"&amp;$E18,Horario_Bach!$Q$2:$Q$1200,0)),"Libre (sin clase)"))</f>
        <v/>
      </c>
      <c r="C18">
        <f>IF(NOT(ISNUMBER(Ubicacion!$L$6)),"",IFERROR(INDEX(Horario_Bach!$H$2:$H$1200,MATCH(Ubicacion!$L$2&amp;"|"&amp;Ubicacion!$L$6&amp;"|"&amp;$E18,Horario_Bach!$Q$2:$Q$1200,0)),""))</f>
        <v/>
      </c>
      <c r="D18">
        <f>IF(NOT(ISNUMBER(Ubicacion!$L$6)),"",IFERROR(IF(INDEX(Horario_Bach!$F$2:$F$1200,MATCH(Ubicacion!$L$2&amp;"|"&amp;Ubicacion!$L$6&amp;"|"&amp;$E18,Horario_Bach!$Q$2:$Q$1200,0))="ENFASIS","Énfasis","Clase"),""))</f>
        <v/>
      </c>
      <c r="E18" t="n">
        <v>12</v>
      </c>
    </row>
    <row r="19">
      <c r="A19" t="inlineStr">
        <is>
          <t>Cuero Bamba Berte Levi</t>
        </is>
      </c>
      <c r="B19">
        <f>IF(NOT(ISNUMBER(Ubicacion!$L$6)),"—",IFERROR(INDEX(Horario_Bach!$L$2:$L$1200,MATCH(Ubicacion!$L$2&amp;"|"&amp;Ubicacion!$L$6&amp;"|"&amp;$E19,Horario_Bach!$Q$2:$Q$1200,0)),"Libre (sin clase)"))</f>
        <v/>
      </c>
      <c r="C19">
        <f>IF(NOT(ISNUMBER(Ubicacion!$L$6)),"",IFERROR(INDEX(Horario_Bach!$H$2:$H$1200,MATCH(Ubicacion!$L$2&amp;"|"&amp;Ubicacion!$L$6&amp;"|"&amp;$E19,Horario_Bach!$Q$2:$Q$1200,0)),""))</f>
        <v/>
      </c>
      <c r="D19">
        <f>IF(NOT(ISNUMBER(Ubicacion!$L$6)),"",IFERROR(IF(INDEX(Horario_Bach!$F$2:$F$1200,MATCH(Ubicacion!$L$2&amp;"|"&amp;Ubicacion!$L$6&amp;"|"&amp;$E19,Horario_Bach!$Q$2:$Q$1200,0))="ENFASIS","Énfasis","Clase"),""))</f>
        <v/>
      </c>
      <c r="E19" t="n">
        <v>15</v>
      </c>
    </row>
    <row r="20">
      <c r="A20" t="inlineStr">
        <is>
          <t>Cuero Rincón Hernando Jesús</t>
        </is>
      </c>
      <c r="B20">
        <f>IF(NOT(ISNUMBER(Ubicacion!$L$6)),"—",IFERROR(INDEX(Horario_Bach!$L$2:$L$1200,MATCH(Ubicacion!$L$2&amp;"|"&amp;Ubicacion!$L$6&amp;"|"&amp;$E20,Horario_Bach!$Q$2:$Q$1200,0)),"Libre (sin clase)"))</f>
        <v/>
      </c>
      <c r="C20">
        <f>IF(NOT(ISNUMBER(Ubicacion!$L$6)),"",IFERROR(INDEX(Horario_Bach!$H$2:$H$1200,MATCH(Ubicacion!$L$2&amp;"|"&amp;Ubicacion!$L$6&amp;"|"&amp;$E20,Horario_Bach!$Q$2:$Q$1200,0)),""))</f>
        <v/>
      </c>
      <c r="D20">
        <f>IF(NOT(ISNUMBER(Ubicacion!$L$6)),"",IFERROR(IF(INDEX(Horario_Bach!$F$2:$F$1200,MATCH(Ubicacion!$L$2&amp;"|"&amp;Ubicacion!$L$6&amp;"|"&amp;$E20,Horario_Bach!$Q$2:$Q$1200,0))="ENFASIS","Énfasis","Clase"),""))</f>
        <v/>
      </c>
      <c r="E20" t="n">
        <v>16</v>
      </c>
    </row>
    <row r="21">
      <c r="A21" t="inlineStr">
        <is>
          <t>Estacio Estupiñán Rosario</t>
        </is>
      </c>
      <c r="B21">
        <f>IF(NOT(ISNUMBER(Ubicacion!$L$6)),"—",IFERROR(INDEX(Horario_Bach!$L$2:$L$1200,MATCH(Ubicacion!$L$2&amp;"|"&amp;Ubicacion!$L$6&amp;"|"&amp;$E21,Horario_Bach!$Q$2:$Q$1200,0)),"Libre (sin clase)"))</f>
        <v/>
      </c>
      <c r="C21">
        <f>IF(NOT(ISNUMBER(Ubicacion!$L$6)),"",IFERROR(INDEX(Horario_Bach!$H$2:$H$1200,MATCH(Ubicacion!$L$2&amp;"|"&amp;Ubicacion!$L$6&amp;"|"&amp;$E21,Horario_Bach!$Q$2:$Q$1200,0)),""))</f>
        <v/>
      </c>
      <c r="D21">
        <f>IF(NOT(ISNUMBER(Ubicacion!$L$6)),"",IFERROR(IF(INDEX(Horario_Bach!$F$2:$F$1200,MATCH(Ubicacion!$L$2&amp;"|"&amp;Ubicacion!$L$6&amp;"|"&amp;$E21,Horario_Bach!$Q$2:$Q$1200,0))="ENFASIS","Énfasis","Clase"),""))</f>
        <v/>
      </c>
      <c r="E21" t="n">
        <v>18</v>
      </c>
    </row>
    <row r="22">
      <c r="A22" t="inlineStr">
        <is>
          <t>Fernández Vélez Alfredo Enrique</t>
        </is>
      </c>
      <c r="B22">
        <f>IF(NOT(ISNUMBER(Ubicacion!$L$6)),"—",IFERROR(INDEX(Horario_Bach!$L$2:$L$1200,MATCH(Ubicacion!$L$2&amp;"|"&amp;Ubicacion!$L$6&amp;"|"&amp;$E22,Horario_Bach!$Q$2:$Q$1200,0)),"Libre (sin clase)"))</f>
        <v/>
      </c>
      <c r="C22">
        <f>IF(NOT(ISNUMBER(Ubicacion!$L$6)),"",IFERROR(INDEX(Horario_Bach!$H$2:$H$1200,MATCH(Ubicacion!$L$2&amp;"|"&amp;Ubicacion!$L$6&amp;"|"&amp;$E22,Horario_Bach!$Q$2:$Q$1200,0)),""))</f>
        <v/>
      </c>
      <c r="D22">
        <f>IF(NOT(ISNUMBER(Ubicacion!$L$6)),"",IFERROR(IF(INDEX(Horario_Bach!$F$2:$F$1200,MATCH(Ubicacion!$L$2&amp;"|"&amp;Ubicacion!$L$6&amp;"|"&amp;$E22,Horario_Bach!$Q$2:$Q$1200,0))="ENFASIS","Énfasis","Clase"),""))</f>
        <v/>
      </c>
      <c r="E22" t="n">
        <v>19</v>
      </c>
    </row>
    <row r="23">
      <c r="A23" t="inlineStr">
        <is>
          <t>García Gobea Saydi Magali</t>
        </is>
      </c>
      <c r="B23">
        <f>IF(NOT(ISNUMBER(Ubicacion!$L$6)),"—",IFERROR(INDEX(Horario_Bach!$L$2:$L$1200,MATCH(Ubicacion!$L$2&amp;"|"&amp;Ubicacion!$L$6&amp;"|"&amp;$E23,Horario_Bach!$Q$2:$Q$1200,0)),"Libre (sin clase)"))</f>
        <v/>
      </c>
      <c r="C23">
        <f>IF(NOT(ISNUMBER(Ubicacion!$L$6)),"",IFERROR(INDEX(Horario_Bach!$H$2:$H$1200,MATCH(Ubicacion!$L$2&amp;"|"&amp;Ubicacion!$L$6&amp;"|"&amp;$E23,Horario_Bach!$Q$2:$Q$1200,0)),""))</f>
        <v/>
      </c>
      <c r="D23">
        <f>IF(NOT(ISNUMBER(Ubicacion!$L$6)),"",IFERROR(IF(INDEX(Horario_Bach!$F$2:$F$1200,MATCH(Ubicacion!$L$2&amp;"|"&amp;Ubicacion!$L$6&amp;"|"&amp;$E23,Horario_Bach!$Q$2:$Q$1200,0))="ENFASIS","Énfasis","Clase"),""))</f>
        <v/>
      </c>
      <c r="E23" t="n">
        <v>20</v>
      </c>
    </row>
    <row r="24">
      <c r="A24" t="inlineStr">
        <is>
          <t>González Castillo Jólmer Jimy</t>
        </is>
      </c>
      <c r="B24">
        <f>IF(NOT(ISNUMBER(Ubicacion!$L$6)),"—",IFERROR(INDEX(Horario_Bach!$L$2:$L$1200,MATCH(Ubicacion!$L$2&amp;"|"&amp;Ubicacion!$L$6&amp;"|"&amp;$E24,Horario_Bach!$Q$2:$Q$1200,0)),"Libre (sin clase)"))</f>
        <v/>
      </c>
      <c r="C24">
        <f>IF(NOT(ISNUMBER(Ubicacion!$L$6)),"",IFERROR(INDEX(Horario_Bach!$H$2:$H$1200,MATCH(Ubicacion!$L$2&amp;"|"&amp;Ubicacion!$L$6&amp;"|"&amp;$E24,Horario_Bach!$Q$2:$Q$1200,0)),""))</f>
        <v/>
      </c>
      <c r="D24">
        <f>IF(NOT(ISNUMBER(Ubicacion!$L$6)),"",IFERROR(IF(INDEX(Horario_Bach!$F$2:$F$1200,MATCH(Ubicacion!$L$2&amp;"|"&amp;Ubicacion!$L$6&amp;"|"&amp;$E24,Horario_Bach!$Q$2:$Q$1200,0))="ENFASIS","Énfasis","Clase"),""))</f>
        <v/>
      </c>
      <c r="E24" t="n">
        <v>22</v>
      </c>
    </row>
    <row r="25">
      <c r="A25" t="inlineStr">
        <is>
          <t>Lemos Guancha Miriam</t>
        </is>
      </c>
      <c r="B25">
        <f>IF(NOT(ISNUMBER(Ubicacion!$L$6)),"—",IFERROR(INDEX(Horario_Bach!$L$2:$L$1200,MATCH(Ubicacion!$L$2&amp;"|"&amp;Ubicacion!$L$6&amp;"|"&amp;$E25,Horario_Bach!$Q$2:$Q$1200,0)),"Libre (sin clase)"))</f>
        <v/>
      </c>
      <c r="C25">
        <f>IF(NOT(ISNUMBER(Ubicacion!$L$6)),"",IFERROR(INDEX(Horario_Bach!$H$2:$H$1200,MATCH(Ubicacion!$L$2&amp;"|"&amp;Ubicacion!$L$6&amp;"|"&amp;$E25,Horario_Bach!$Q$2:$Q$1200,0)),""))</f>
        <v/>
      </c>
      <c r="D25">
        <f>IF(NOT(ISNUMBER(Ubicacion!$L$6)),"",IFERROR(IF(INDEX(Horario_Bach!$F$2:$F$1200,MATCH(Ubicacion!$L$2&amp;"|"&amp;Ubicacion!$L$6&amp;"|"&amp;$E25,Horario_Bach!$Q$2:$Q$1200,0))="ENFASIS","Énfasis","Clase"),""))</f>
        <v/>
      </c>
      <c r="E25" t="n">
        <v>25</v>
      </c>
    </row>
    <row r="26">
      <c r="A26" t="inlineStr">
        <is>
          <t>Lozano Torres Amanda Inés</t>
        </is>
      </c>
      <c r="B26">
        <f>IF(NOT(ISNUMBER(Ubicacion!$L$6)),"—",IFERROR(INDEX(Horario_Bach!$L$2:$L$1200,MATCH(Ubicacion!$L$2&amp;"|"&amp;Ubicacion!$L$6&amp;"|"&amp;$E26,Horario_Bach!$Q$2:$Q$1200,0)),"Libre (sin clase)"))</f>
        <v/>
      </c>
      <c r="C26">
        <f>IF(NOT(ISNUMBER(Ubicacion!$L$6)),"",IFERROR(INDEX(Horario_Bach!$H$2:$H$1200,MATCH(Ubicacion!$L$2&amp;"|"&amp;Ubicacion!$L$6&amp;"|"&amp;$E26,Horario_Bach!$Q$2:$Q$1200,0)),""))</f>
        <v/>
      </c>
      <c r="D26">
        <f>IF(NOT(ISNUMBER(Ubicacion!$L$6)),"",IFERROR(IF(INDEX(Horario_Bach!$F$2:$F$1200,MATCH(Ubicacion!$L$2&amp;"|"&amp;Ubicacion!$L$6&amp;"|"&amp;$E26,Horario_Bach!$Q$2:$Q$1200,0))="ENFASIS","Énfasis","Clase"),""))</f>
        <v/>
      </c>
      <c r="E26" t="n">
        <v>26</v>
      </c>
    </row>
    <row r="27">
      <c r="A27" t="inlineStr">
        <is>
          <t>Meza Banguera Gladys Alicia</t>
        </is>
      </c>
      <c r="B27">
        <f>IF(NOT(ISNUMBER(Ubicacion!$L$6)),"—",IFERROR(INDEX(Horario_Bach!$L$2:$L$1200,MATCH(Ubicacion!$L$2&amp;"|"&amp;Ubicacion!$L$6&amp;"|"&amp;$E27,Horario_Bach!$Q$2:$Q$1200,0)),"Libre (sin clase)"))</f>
        <v/>
      </c>
      <c r="C27">
        <f>IF(NOT(ISNUMBER(Ubicacion!$L$6)),"",IFERROR(INDEX(Horario_Bach!$H$2:$H$1200,MATCH(Ubicacion!$L$2&amp;"|"&amp;Ubicacion!$L$6&amp;"|"&amp;$E27,Horario_Bach!$Q$2:$Q$1200,0)),""))</f>
        <v/>
      </c>
      <c r="D27">
        <f>IF(NOT(ISNUMBER(Ubicacion!$L$6)),"",IFERROR(IF(INDEX(Horario_Bach!$F$2:$F$1200,MATCH(Ubicacion!$L$2&amp;"|"&amp;Ubicacion!$L$6&amp;"|"&amp;$E27,Horario_Bach!$Q$2:$Q$1200,0))="ENFASIS","Énfasis","Clase"),""))</f>
        <v/>
      </c>
      <c r="E27" t="n">
        <v>28</v>
      </c>
    </row>
    <row r="28">
      <c r="A28" t="inlineStr">
        <is>
          <t>Mindineros Satizábal John Jáver</t>
        </is>
      </c>
      <c r="B28">
        <f>IF(NOT(ISNUMBER(Ubicacion!$L$6)),"—",IFERROR(INDEX(Horario_Bach!$L$2:$L$1200,MATCH(Ubicacion!$L$2&amp;"|"&amp;Ubicacion!$L$6&amp;"|"&amp;$E28,Horario_Bach!$Q$2:$Q$1200,0)),"Libre (sin clase)"))</f>
        <v/>
      </c>
      <c r="C28">
        <f>IF(NOT(ISNUMBER(Ubicacion!$L$6)),"",IFERROR(INDEX(Horario_Bach!$H$2:$H$1200,MATCH(Ubicacion!$L$2&amp;"|"&amp;Ubicacion!$L$6&amp;"|"&amp;$E28,Horario_Bach!$Q$2:$Q$1200,0)),""))</f>
        <v/>
      </c>
      <c r="D28">
        <f>IF(NOT(ISNUMBER(Ubicacion!$L$6)),"",IFERROR(IF(INDEX(Horario_Bach!$F$2:$F$1200,MATCH(Ubicacion!$L$2&amp;"|"&amp;Ubicacion!$L$6&amp;"|"&amp;$E28,Horario_Bach!$Q$2:$Q$1200,0))="ENFASIS","Énfasis","Clase"),""))</f>
        <v/>
      </c>
      <c r="E28" t="n">
        <v>29</v>
      </c>
    </row>
    <row r="29">
      <c r="A29" t="inlineStr">
        <is>
          <t>Montaño Anchico Favio Héctor</t>
        </is>
      </c>
      <c r="B29">
        <f>IF(NOT(ISNUMBER(Ubicacion!$L$6)),"—",IFERROR(INDEX(Horario_Bach!$L$2:$L$1200,MATCH(Ubicacion!$L$2&amp;"|"&amp;Ubicacion!$L$6&amp;"|"&amp;$E29,Horario_Bach!$Q$2:$Q$1200,0)),"Libre (sin clase)"))</f>
        <v/>
      </c>
      <c r="C29">
        <f>IF(NOT(ISNUMBER(Ubicacion!$L$6)),"",IFERROR(INDEX(Horario_Bach!$H$2:$H$1200,MATCH(Ubicacion!$L$2&amp;"|"&amp;Ubicacion!$L$6&amp;"|"&amp;$E29,Horario_Bach!$Q$2:$Q$1200,0)),""))</f>
        <v/>
      </c>
      <c r="D29">
        <f>IF(NOT(ISNUMBER(Ubicacion!$L$6)),"",IFERROR(IF(INDEX(Horario_Bach!$F$2:$F$1200,MATCH(Ubicacion!$L$2&amp;"|"&amp;Ubicacion!$L$6&amp;"|"&amp;$E29,Horario_Bach!$Q$2:$Q$1200,0))="ENFASIS","Énfasis","Clase"),""))</f>
        <v/>
      </c>
      <c r="E29" t="n">
        <v>30</v>
      </c>
    </row>
    <row r="30">
      <c r="A30" t="inlineStr">
        <is>
          <t>Montaño Arizala Leidis Claudina</t>
        </is>
      </c>
      <c r="B30">
        <f>IF(NOT(ISNUMBER(Ubicacion!$L$6)),"—",IFERROR(INDEX(Horario_Bach!$L$2:$L$1200,MATCH(Ubicacion!$L$2&amp;"|"&amp;Ubicacion!$L$6&amp;"|"&amp;$E30,Horario_Bach!$Q$2:$Q$1200,0)),"Libre (sin clase)"))</f>
        <v/>
      </c>
      <c r="C30">
        <f>IF(NOT(ISNUMBER(Ubicacion!$L$6)),"",IFERROR(INDEX(Horario_Bach!$H$2:$H$1200,MATCH(Ubicacion!$L$2&amp;"|"&amp;Ubicacion!$L$6&amp;"|"&amp;$E30,Horario_Bach!$Q$2:$Q$1200,0)),""))</f>
        <v/>
      </c>
      <c r="D30">
        <f>IF(NOT(ISNUMBER(Ubicacion!$L$6)),"",IFERROR(IF(INDEX(Horario_Bach!$F$2:$F$1200,MATCH(Ubicacion!$L$2&amp;"|"&amp;Ubicacion!$L$6&amp;"|"&amp;$E30,Horario_Bach!$Q$2:$Q$1200,0))="ENFASIS","Énfasis","Clase"),""))</f>
        <v/>
      </c>
      <c r="E30" t="n">
        <v>31</v>
      </c>
    </row>
    <row r="31">
      <c r="A31" t="inlineStr">
        <is>
          <t>Ordóñez Tenorio Jaime Marcial</t>
        </is>
      </c>
      <c r="B31">
        <f>IF(NOT(ISNUMBER(Ubicacion!$L$6)),"—",IFERROR(INDEX(Horario_Bach!$L$2:$L$1200,MATCH(Ubicacion!$L$2&amp;"|"&amp;Ubicacion!$L$6&amp;"|"&amp;$E31,Horario_Bach!$Q$2:$Q$1200,0)),"Libre (sin clase)"))</f>
        <v/>
      </c>
      <c r="C31">
        <f>IF(NOT(ISNUMBER(Ubicacion!$L$6)),"",IFERROR(INDEX(Horario_Bach!$H$2:$H$1200,MATCH(Ubicacion!$L$2&amp;"|"&amp;Ubicacion!$L$6&amp;"|"&amp;$E31,Horario_Bach!$Q$2:$Q$1200,0)),""))</f>
        <v/>
      </c>
      <c r="D31">
        <f>IF(NOT(ISNUMBER(Ubicacion!$L$6)),"",IFERROR(IF(INDEX(Horario_Bach!$F$2:$F$1200,MATCH(Ubicacion!$L$2&amp;"|"&amp;Ubicacion!$L$6&amp;"|"&amp;$E31,Horario_Bach!$Q$2:$Q$1200,0))="ENFASIS","Énfasis","Clase"),""))</f>
        <v/>
      </c>
      <c r="E31" t="n">
        <v>34</v>
      </c>
    </row>
    <row r="32">
      <c r="A32" t="inlineStr">
        <is>
          <t>Ortiz Araujo Adiela Carlota</t>
        </is>
      </c>
      <c r="B32">
        <f>IF(NOT(ISNUMBER(Ubicacion!$L$6)),"—",IFERROR(INDEX(Horario_Bach!$L$2:$L$1200,MATCH(Ubicacion!$L$2&amp;"|"&amp;Ubicacion!$L$6&amp;"|"&amp;$E32,Horario_Bach!$Q$2:$Q$1200,0)),"Libre (sin clase)"))</f>
        <v/>
      </c>
      <c r="C32">
        <f>IF(NOT(ISNUMBER(Ubicacion!$L$6)),"",IFERROR(INDEX(Horario_Bach!$H$2:$H$1200,MATCH(Ubicacion!$L$2&amp;"|"&amp;Ubicacion!$L$6&amp;"|"&amp;$E32,Horario_Bach!$Q$2:$Q$1200,0)),""))</f>
        <v/>
      </c>
      <c r="D32">
        <f>IF(NOT(ISNUMBER(Ubicacion!$L$6)),"",IFERROR(IF(INDEX(Horario_Bach!$F$2:$F$1200,MATCH(Ubicacion!$L$2&amp;"|"&amp;Ubicacion!$L$6&amp;"|"&amp;$E32,Horario_Bach!$Q$2:$Q$1200,0))="ENFASIS","Énfasis","Clase"),""))</f>
        <v/>
      </c>
      <c r="E32" t="n">
        <v>35</v>
      </c>
    </row>
    <row r="33">
      <c r="A33" t="inlineStr">
        <is>
          <t>Prado Quiñones Genís Maribel</t>
        </is>
      </c>
      <c r="B33">
        <f>IF(NOT(ISNUMBER(Ubicacion!$L$6)),"—",IFERROR(INDEX(Horario_Bach!$L$2:$L$1200,MATCH(Ubicacion!$L$2&amp;"|"&amp;Ubicacion!$L$6&amp;"|"&amp;$E33,Horario_Bach!$Q$2:$Q$1200,0)),"Libre (sin clase)"))</f>
        <v/>
      </c>
      <c r="C33">
        <f>IF(NOT(ISNUMBER(Ubicacion!$L$6)),"",IFERROR(INDEX(Horario_Bach!$H$2:$H$1200,MATCH(Ubicacion!$L$2&amp;"|"&amp;Ubicacion!$L$6&amp;"|"&amp;$E33,Horario_Bach!$Q$2:$Q$1200,0)),""))</f>
        <v/>
      </c>
      <c r="D33">
        <f>IF(NOT(ISNUMBER(Ubicacion!$L$6)),"",IFERROR(IF(INDEX(Horario_Bach!$F$2:$F$1200,MATCH(Ubicacion!$L$2&amp;"|"&amp;Ubicacion!$L$6&amp;"|"&amp;$E33,Horario_Bach!$Q$2:$Q$1200,0))="ENFASIS","Énfasis","Clase"),""))</f>
        <v/>
      </c>
      <c r="E33" t="n">
        <v>37</v>
      </c>
    </row>
    <row r="34">
      <c r="A34" t="inlineStr">
        <is>
          <t>Preciado Torres Oleisa</t>
        </is>
      </c>
      <c r="B34">
        <f>IF(NOT(ISNUMBER(Ubicacion!$L$6)),"—",IFERROR(INDEX(Horario_Bach!$L$2:$L$1200,MATCH(Ubicacion!$L$2&amp;"|"&amp;Ubicacion!$L$6&amp;"|"&amp;$E34,Horario_Bach!$Q$2:$Q$1200,0)),"Libre (sin clase)"))</f>
        <v/>
      </c>
      <c r="C34">
        <f>IF(NOT(ISNUMBER(Ubicacion!$L$6)),"",IFERROR(INDEX(Horario_Bach!$H$2:$H$1200,MATCH(Ubicacion!$L$2&amp;"|"&amp;Ubicacion!$L$6&amp;"|"&amp;$E34,Horario_Bach!$Q$2:$Q$1200,0)),""))</f>
        <v/>
      </c>
      <c r="D34">
        <f>IF(NOT(ISNUMBER(Ubicacion!$L$6)),"",IFERROR(IF(INDEX(Horario_Bach!$F$2:$F$1200,MATCH(Ubicacion!$L$2&amp;"|"&amp;Ubicacion!$L$6&amp;"|"&amp;$E34,Horario_Bach!$Q$2:$Q$1200,0))="ENFASIS","Énfasis","Clase"),""))</f>
        <v/>
      </c>
      <c r="E34" t="n">
        <v>38</v>
      </c>
    </row>
    <row r="35">
      <c r="A35" t="inlineStr">
        <is>
          <t>Puches Ana Milena</t>
        </is>
      </c>
      <c r="B35">
        <f>IF(NOT(ISNUMBER(Ubicacion!$L$6)),"—",IFERROR(INDEX(Horario_Bach!$L$2:$L$1200,MATCH(Ubicacion!$L$2&amp;"|"&amp;Ubicacion!$L$6&amp;"|"&amp;$E35,Horario_Bach!$Q$2:$Q$1200,0)),"Libre (sin clase)"))</f>
        <v/>
      </c>
      <c r="C35">
        <f>IF(NOT(ISNUMBER(Ubicacion!$L$6)),"",IFERROR(INDEX(Horario_Bach!$H$2:$H$1200,MATCH(Ubicacion!$L$2&amp;"|"&amp;Ubicacion!$L$6&amp;"|"&amp;$E35,Horario_Bach!$Q$2:$Q$1200,0)),""))</f>
        <v/>
      </c>
      <c r="D35">
        <f>IF(NOT(ISNUMBER(Ubicacion!$L$6)),"",IFERROR(IF(INDEX(Horario_Bach!$F$2:$F$1200,MATCH(Ubicacion!$L$2&amp;"|"&amp;Ubicacion!$L$6&amp;"|"&amp;$E35,Horario_Bach!$Q$2:$Q$1200,0))="ENFASIS","Énfasis","Clase"),""))</f>
        <v/>
      </c>
      <c r="E35" t="n">
        <v>39</v>
      </c>
    </row>
    <row r="36">
      <c r="A36" t="inlineStr">
        <is>
          <t>Pulgarín Ortiz César Marino</t>
        </is>
      </c>
      <c r="B36">
        <f>IF(NOT(ISNUMBER(Ubicacion!$L$6)),"—",IFERROR(INDEX(Horario_Bach!$L$2:$L$1200,MATCH(Ubicacion!$L$2&amp;"|"&amp;Ubicacion!$L$6&amp;"|"&amp;$E36,Horario_Bach!$Q$2:$Q$1200,0)),"Libre (sin clase)"))</f>
        <v/>
      </c>
      <c r="C36">
        <f>IF(NOT(ISNUMBER(Ubicacion!$L$6)),"",IFERROR(INDEX(Horario_Bach!$H$2:$H$1200,MATCH(Ubicacion!$L$2&amp;"|"&amp;Ubicacion!$L$6&amp;"|"&amp;$E36,Horario_Bach!$Q$2:$Q$1200,0)),""))</f>
        <v/>
      </c>
      <c r="D36">
        <f>IF(NOT(ISNUMBER(Ubicacion!$L$6)),"",IFERROR(IF(INDEX(Horario_Bach!$F$2:$F$1200,MATCH(Ubicacion!$L$2&amp;"|"&amp;Ubicacion!$L$6&amp;"|"&amp;$E36,Horario_Bach!$Q$2:$Q$1200,0))="ENFASIS","Énfasis","Clase"),""))</f>
        <v/>
      </c>
      <c r="E36" t="n">
        <v>40</v>
      </c>
    </row>
    <row r="37">
      <c r="A37" t="inlineStr">
        <is>
          <t>Quintero Ramírez María del Carmen</t>
        </is>
      </c>
      <c r="B37">
        <f>IF(NOT(ISNUMBER(Ubicacion!$L$6)),"—",IFERROR(INDEX(Horario_Bach!$L$2:$L$1200,MATCH(Ubicacion!$L$2&amp;"|"&amp;Ubicacion!$L$6&amp;"|"&amp;$E37,Horario_Bach!$Q$2:$Q$1200,0)),"Libre (sin clase)"))</f>
        <v/>
      </c>
      <c r="C37">
        <f>IF(NOT(ISNUMBER(Ubicacion!$L$6)),"",IFERROR(INDEX(Horario_Bach!$H$2:$H$1200,MATCH(Ubicacion!$L$2&amp;"|"&amp;Ubicacion!$L$6&amp;"|"&amp;$E37,Horario_Bach!$Q$2:$Q$1200,0)),""))</f>
        <v/>
      </c>
      <c r="D37">
        <f>IF(NOT(ISNUMBER(Ubicacion!$L$6)),"",IFERROR(IF(INDEX(Horario_Bach!$F$2:$F$1200,MATCH(Ubicacion!$L$2&amp;"|"&amp;Ubicacion!$L$6&amp;"|"&amp;$E37,Horario_Bach!$Q$2:$Q$1200,0))="ENFASIS","Énfasis","Clase"),""))</f>
        <v/>
      </c>
      <c r="E37" t="n">
        <v>41</v>
      </c>
    </row>
    <row r="38">
      <c r="A38" t="inlineStr">
        <is>
          <t>Quiñones Cabezas Marcos Vidal</t>
        </is>
      </c>
      <c r="B38">
        <f>IF(NOT(ISNUMBER(Ubicacion!$L$6)),"—",IFERROR(INDEX(Horario_Bach!$L$2:$L$1200,MATCH(Ubicacion!$L$2&amp;"|"&amp;Ubicacion!$L$6&amp;"|"&amp;$E38,Horario_Bach!$Q$2:$Q$1200,0)),"Libre (sin clase)"))</f>
        <v/>
      </c>
      <c r="C38">
        <f>IF(NOT(ISNUMBER(Ubicacion!$L$6)),"",IFERROR(INDEX(Horario_Bach!$H$2:$H$1200,MATCH(Ubicacion!$L$2&amp;"|"&amp;Ubicacion!$L$6&amp;"|"&amp;$E38,Horario_Bach!$Q$2:$Q$1200,0)),""))</f>
        <v/>
      </c>
      <c r="D38">
        <f>IF(NOT(ISNUMBER(Ubicacion!$L$6)),"",IFERROR(IF(INDEX(Horario_Bach!$F$2:$F$1200,MATCH(Ubicacion!$L$2&amp;"|"&amp;Ubicacion!$L$6&amp;"|"&amp;$E38,Horario_Bach!$Q$2:$Q$1200,0))="ENFASIS","Énfasis","Clase"),""))</f>
        <v/>
      </c>
      <c r="E38" t="n">
        <v>42</v>
      </c>
    </row>
    <row r="39">
      <c r="A39" t="inlineStr">
        <is>
          <t>Ramírez Guerra Jimmy Eduardo</t>
        </is>
      </c>
      <c r="B39">
        <f>IF(NOT(ISNUMBER(Ubicacion!$L$6)),"—",IFERROR(INDEX(Horario_Bach!$L$2:$L$1200,MATCH(Ubicacion!$L$2&amp;"|"&amp;Ubicacion!$L$6&amp;"|"&amp;$E39,Horario_Bach!$Q$2:$Q$1200,0)),"Libre (sin clase)"))</f>
        <v/>
      </c>
      <c r="C39">
        <f>IF(NOT(ISNUMBER(Ubicacion!$L$6)),"",IFERROR(INDEX(Horario_Bach!$H$2:$H$1200,MATCH(Ubicacion!$L$2&amp;"|"&amp;Ubicacion!$L$6&amp;"|"&amp;$E39,Horario_Bach!$Q$2:$Q$1200,0)),""))</f>
        <v/>
      </c>
      <c r="D39">
        <f>IF(NOT(ISNUMBER(Ubicacion!$L$6)),"",IFERROR(IF(INDEX(Horario_Bach!$F$2:$F$1200,MATCH(Ubicacion!$L$2&amp;"|"&amp;Ubicacion!$L$6&amp;"|"&amp;$E39,Horario_Bach!$Q$2:$Q$1200,0))="ENFASIS","Énfasis","Clase"),""))</f>
        <v/>
      </c>
      <c r="E39" t="n">
        <v>43</v>
      </c>
    </row>
    <row r="40">
      <c r="A40" t="inlineStr">
        <is>
          <t>Samaniego Angulo Flor Mireya</t>
        </is>
      </c>
      <c r="B40">
        <f>IF(NOT(ISNUMBER(Ubicacion!$L$6)),"—",IFERROR(INDEX(Horario_Bach!$L$2:$L$1200,MATCH(Ubicacion!$L$2&amp;"|"&amp;Ubicacion!$L$6&amp;"|"&amp;$E40,Horario_Bach!$Q$2:$Q$1200,0)),"Libre (sin clase)"))</f>
        <v/>
      </c>
      <c r="C40">
        <f>IF(NOT(ISNUMBER(Ubicacion!$L$6)),"",IFERROR(INDEX(Horario_Bach!$H$2:$H$1200,MATCH(Ubicacion!$L$2&amp;"|"&amp;Ubicacion!$L$6&amp;"|"&amp;$E40,Horario_Bach!$Q$2:$Q$1200,0)),""))</f>
        <v/>
      </c>
      <c r="D40">
        <f>IF(NOT(ISNUMBER(Ubicacion!$L$6)),"",IFERROR(IF(INDEX(Horario_Bach!$F$2:$F$1200,MATCH(Ubicacion!$L$2&amp;"|"&amp;Ubicacion!$L$6&amp;"|"&amp;$E40,Horario_Bach!$Q$2:$Q$1200,0))="ENFASIS","Énfasis","Clase"),""))</f>
        <v/>
      </c>
      <c r="E40" t="n">
        <v>44</v>
      </c>
    </row>
    <row r="41">
      <c r="A41" t="inlineStr">
        <is>
          <t>Valencia Marínez Saidy Eufemia</t>
        </is>
      </c>
      <c r="B41">
        <f>IF(NOT(ISNUMBER(Ubicacion!$L$6)),"—",IFERROR(INDEX(Horario_Bach!$L$2:$L$1200,MATCH(Ubicacion!$L$2&amp;"|"&amp;Ubicacion!$L$6&amp;"|"&amp;$E41,Horario_Bach!$Q$2:$Q$1200,0)),"Libre (sin clase)"))</f>
        <v/>
      </c>
      <c r="C41">
        <f>IF(NOT(ISNUMBER(Ubicacion!$L$6)),"",IFERROR(INDEX(Horario_Bach!$H$2:$H$1200,MATCH(Ubicacion!$L$2&amp;"|"&amp;Ubicacion!$L$6&amp;"|"&amp;$E41,Horario_Bach!$Q$2:$Q$1200,0)),""))</f>
        <v/>
      </c>
      <c r="D41">
        <f>IF(NOT(ISNUMBER(Ubicacion!$L$6)),"",IFERROR(IF(INDEX(Horario_Bach!$F$2:$F$1200,MATCH(Ubicacion!$L$2&amp;"|"&amp;Ubicacion!$L$6&amp;"|"&amp;$E41,Horario_Bach!$Q$2:$Q$1200,0))="ENFASIS","Énfasis","Clase"),""))</f>
        <v/>
      </c>
      <c r="E41" t="n">
        <v>49</v>
      </c>
    </row>
    <row r="42">
      <c r="A42" t="inlineStr">
        <is>
          <t>Valverde Montaño María Teresa</t>
        </is>
      </c>
      <c r="B42">
        <f>IF(NOT(ISNUMBER(Ubicacion!$L$6)),"—",IFERROR(INDEX(Horario_Bach!$L$2:$L$1200,MATCH(Ubicacion!$L$2&amp;"|"&amp;Ubicacion!$L$6&amp;"|"&amp;$E42,Horario_Bach!$Q$2:$Q$1200,0)),"Libre (sin clase)"))</f>
        <v/>
      </c>
      <c r="C42">
        <f>IF(NOT(ISNUMBER(Ubicacion!$L$6)),"",IFERROR(INDEX(Horario_Bach!$H$2:$H$1200,MATCH(Ubicacion!$L$2&amp;"|"&amp;Ubicacion!$L$6&amp;"|"&amp;$E42,Horario_Bach!$Q$2:$Q$1200,0)),""))</f>
        <v/>
      </c>
      <c r="D42">
        <f>IF(NOT(ISNUMBER(Ubicacion!$L$6)),"",IFERROR(IF(INDEX(Horario_Bach!$F$2:$F$1200,MATCH(Ubicacion!$L$2&amp;"|"&amp;Ubicacion!$L$6&amp;"|"&amp;$E42,Horario_Bach!$Q$2:$Q$1200,0))="ENFASIS","Énfasis","Clase"),""))</f>
        <v/>
      </c>
      <c r="E42" t="n">
        <v>51</v>
      </c>
    </row>
    <row r="43">
      <c r="A43" t="inlineStr">
        <is>
          <t>Villota Rubio Héctor Hugo</t>
        </is>
      </c>
      <c r="B43">
        <f>IF(NOT(ISNUMBER(Ubicacion!$L$6)),"—",IFERROR(INDEX(Horario_Bach!$L$2:$L$1200,MATCH(Ubicacion!$L$2&amp;"|"&amp;Ubicacion!$L$6&amp;"|"&amp;$E43,Horario_Bach!$Q$2:$Q$1200,0)),"Libre (sin clase)"))</f>
        <v/>
      </c>
      <c r="C43">
        <f>IF(NOT(ISNUMBER(Ubicacion!$L$6)),"",IFERROR(INDEX(Horario_Bach!$H$2:$H$1200,MATCH(Ubicacion!$L$2&amp;"|"&amp;Ubicacion!$L$6&amp;"|"&amp;$E43,Horario_Bach!$Q$2:$Q$1200,0)),""))</f>
        <v/>
      </c>
      <c r="D43">
        <f>IF(NOT(ISNUMBER(Ubicacion!$L$6)),"",IFERROR(IF(INDEX(Horario_Bach!$F$2:$F$1200,MATCH(Ubicacion!$L$2&amp;"|"&amp;Ubicacion!$L$6&amp;"|"&amp;$E43,Horario_Bach!$Q$2:$Q$1200,0))="ENFASIS","Énfasis","Clase"),""))</f>
        <v/>
      </c>
      <c r="E43" t="n">
        <v>53</v>
      </c>
    </row>
    <row r="44">
      <c r="A44" t="inlineStr">
        <is>
          <t>Villota Rubio Janeth del Carmen</t>
        </is>
      </c>
      <c r="B44">
        <f>IF(NOT(ISNUMBER(Ubicacion!$L$6)),"—",IFERROR(INDEX(Horario_Bach!$L$2:$L$1200,MATCH(Ubicacion!$L$2&amp;"|"&amp;Ubicacion!$L$6&amp;"|"&amp;$E44,Horario_Bach!$Q$2:$Q$1200,0)),"Libre (sin clase)"))</f>
        <v/>
      </c>
      <c r="C44">
        <f>IF(NOT(ISNUMBER(Ubicacion!$L$6)),"",IFERROR(INDEX(Horario_Bach!$H$2:$H$1200,MATCH(Ubicacion!$L$2&amp;"|"&amp;Ubicacion!$L$6&amp;"|"&amp;$E44,Horario_Bach!$Q$2:$Q$1200,0)),""))</f>
        <v/>
      </c>
      <c r="D44">
        <f>IF(NOT(ISNUMBER(Ubicacion!$L$6)),"",IFERROR(IF(INDEX(Horario_Bach!$F$2:$F$1200,MATCH(Ubicacion!$L$2&amp;"|"&amp;Ubicacion!$L$6&amp;"|"&amp;$E44,Horario_Bach!$Q$2:$Q$1200,0))="ENFASIS","Énfasis","Clase"),""))</f>
        <v/>
      </c>
      <c r="E44" t="n">
        <v>54</v>
      </c>
    </row>
    <row r="45">
      <c r="A45" t="inlineStr">
        <is>
          <t>Vásquez Valencia Segundo Leoncio</t>
        </is>
      </c>
      <c r="B45">
        <f>IF(NOT(ISNUMBER(Ubicacion!$L$6)),"—",IFERROR(INDEX(Horario_Bach!$L$2:$L$1200,MATCH(Ubicacion!$L$2&amp;"|"&amp;Ubicacion!$L$6&amp;"|"&amp;$E45,Horario_Bach!$Q$2:$Q$1200,0)),"Libre (sin clase)"))</f>
        <v/>
      </c>
      <c r="C45">
        <f>IF(NOT(ISNUMBER(Ubicacion!$L$6)),"",IFERROR(INDEX(Horario_Bach!$H$2:$H$1200,MATCH(Ubicacion!$L$2&amp;"|"&amp;Ubicacion!$L$6&amp;"|"&amp;$E45,Horario_Bach!$Q$2:$Q$1200,0)),""))</f>
        <v/>
      </c>
      <c r="D45">
        <f>IF(NOT(ISNUMBER(Ubicacion!$L$6)),"",IFERROR(IF(INDEX(Horario_Bach!$F$2:$F$1200,MATCH(Ubicacion!$L$2&amp;"|"&amp;Ubicacion!$L$6&amp;"|"&amp;$E45,Horario_Bach!$Q$2:$Q$1200,0))="ENFASIS","Énfasis","Clase"),""))</f>
        <v/>
      </c>
      <c r="E45" t="n">
        <v>52</v>
      </c>
    </row>
  </sheetData>
  <autoFilter ref="A7:D45"/>
  <conditionalFormatting sqref="A8:D45">
    <cfRule type="expression" priority="1" dxfId="1">
      <formula>LEFT($B8,5)="Libre"</formula>
    </cfRule>
    <cfRule type="expression" priority="2" dxfId="0">
      <formula>$D8="Énfasis"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6" customWidth="1" min="2" max="2"/>
    <col width="8" customWidth="1" min="3" max="3"/>
    <col width="8" customWidth="1" min="4" max="4"/>
    <col width="8" customWidth="1" min="5" max="5"/>
    <col width="9" customWidth="1" min="6" max="6"/>
    <col width="8" customWidth="1" min="7" max="7"/>
    <col width="8" customWidth="1" min="8" max="8"/>
    <col width="16" customWidth="1" min="9" max="9"/>
    <col width="36" customWidth="1" min="10" max="10"/>
    <col width="36" customWidth="1" min="11" max="11"/>
    <col width="15" customWidth="1" min="12" max="12"/>
    <col width="36" customWidth="1" min="13" max="13"/>
    <col width="14" customWidth="1" min="14" max="14"/>
    <col width="24" customWidth="1" min="15" max="15"/>
    <col width="14" customWidth="1" min="16" max="16"/>
    <col width="22" customWidth="1" min="17" max="17"/>
  </cols>
  <sheetData>
    <row r="1">
      <c r="A1" s="8" t="inlineStr">
        <is>
          <t>docente_n</t>
        </is>
      </c>
      <c r="B1" s="8" t="inlineStr">
        <is>
          <t>docente</t>
        </is>
      </c>
      <c r="C1" s="8" t="inlineStr">
        <is>
          <t>dia</t>
        </is>
      </c>
      <c r="D1" s="8" t="inlineStr">
        <is>
          <t>sesion</t>
        </is>
      </c>
      <c r="E1" s="8" t="inlineStr">
        <is>
          <t>bloque</t>
        </is>
      </c>
      <c r="F1" s="8" t="inlineStr">
        <is>
          <t>tipo</t>
        </is>
      </c>
      <c r="G1" s="8" t="inlineStr">
        <is>
          <t>grupo</t>
        </is>
      </c>
      <c r="H1" s="8" t="inlineStr">
        <is>
          <t>area</t>
        </is>
      </c>
      <c r="I1" s="8" t="inlineStr">
        <is>
          <t>grupos_enfasis</t>
        </is>
      </c>
      <c r="J1" s="8" t="inlineStr">
        <is>
          <t>alternancia</t>
        </is>
      </c>
      <c r="K1" s="8" t="inlineStr">
        <is>
          <t>equipo_enfasis</t>
        </is>
      </c>
      <c r="L1" s="8" t="inlineStr">
        <is>
          <t>grupo_mostrar</t>
        </is>
      </c>
      <c r="M1" s="8" t="inlineStr">
        <is>
          <t>nota</t>
        </is>
      </c>
      <c r="N1" s="8" t="inlineStr">
        <is>
          <t>clave</t>
        </is>
      </c>
      <c r="O1" s="8" t="inlineStr">
        <is>
          <t>orden</t>
        </is>
      </c>
      <c r="P1" s="8" t="inlineStr">
        <is>
          <t>indice</t>
        </is>
      </c>
      <c r="Q1" s="8" t="inlineStr">
        <is>
          <t>clave_docente</t>
        </is>
      </c>
    </row>
    <row r="2">
      <c r="A2" t="n">
        <v>37</v>
      </c>
      <c r="B2" t="inlineStr">
        <is>
          <t>Prado Quiñones Genís Maribel</t>
        </is>
      </c>
      <c r="C2" t="inlineStr">
        <is>
          <t>LUNES</t>
        </is>
      </c>
      <c r="D2" t="n">
        <v>1</v>
      </c>
      <c r="E2" t="n">
        <v>1</v>
      </c>
      <c r="F2" t="inlineStr">
        <is>
          <t>CLASE</t>
        </is>
      </c>
      <c r="G2" t="inlineStr">
        <is>
          <t>0601</t>
        </is>
      </c>
      <c r="H2" t="inlineStr">
        <is>
          <t>ART</t>
        </is>
      </c>
      <c r="I2" t="inlineStr"/>
      <c r="J2" t="inlineStr"/>
      <c r="K2" t="inlineStr"/>
      <c r="L2" t="inlineStr">
        <is>
          <t>6°-1</t>
        </is>
      </c>
      <c r="M2" t="inlineStr"/>
      <c r="N2">
        <f>C2&amp;"|"&amp;D2</f>
        <v/>
      </c>
      <c r="O2">
        <f>COUNTIF($N$2:N2,N2)</f>
        <v/>
      </c>
      <c r="P2">
        <f>N2&amp;"|"&amp;O2</f>
        <v/>
      </c>
      <c r="Q2">
        <f>C2&amp;"|"&amp;D2&amp;"|"&amp;A2</f>
        <v/>
      </c>
    </row>
    <row r="3">
      <c r="A3" t="n">
        <v>26</v>
      </c>
      <c r="B3" t="inlineStr">
        <is>
          <t>Lozano Torres Amanda Inés</t>
        </is>
      </c>
      <c r="C3" t="inlineStr">
        <is>
          <t>LUNES</t>
        </is>
      </c>
      <c r="D3" t="n">
        <v>1</v>
      </c>
      <c r="E3" t="n">
        <v>1</v>
      </c>
      <c r="F3" t="inlineStr">
        <is>
          <t>CLASE</t>
        </is>
      </c>
      <c r="G3" t="inlineStr">
        <is>
          <t>0602</t>
        </is>
      </c>
      <c r="H3" t="inlineStr">
        <is>
          <t>ETR</t>
        </is>
      </c>
      <c r="I3" t="inlineStr"/>
      <c r="J3" t="inlineStr">
        <is>
          <t>Ética / Religión (alternan cada semana)</t>
        </is>
      </c>
      <c r="K3" t="inlineStr"/>
      <c r="L3" t="inlineStr">
        <is>
          <t>6°-2</t>
        </is>
      </c>
      <c r="M3" t="inlineStr">
        <is>
          <t>Ética / Religión (alternan cada semana)</t>
        </is>
      </c>
      <c r="N3">
        <f>C3&amp;"|"&amp;D3</f>
        <v/>
      </c>
      <c r="O3">
        <f>COUNTIF($N$2:N3,N3)</f>
        <v/>
      </c>
      <c r="P3">
        <f>N3&amp;"|"&amp;O3</f>
        <v/>
      </c>
      <c r="Q3">
        <f>C3&amp;"|"&amp;D3&amp;"|"&amp;A3</f>
        <v/>
      </c>
    </row>
    <row r="4">
      <c r="A4" t="n">
        <v>39</v>
      </c>
      <c r="B4" t="inlineStr">
        <is>
          <t>Puches Ana Milena</t>
        </is>
      </c>
      <c r="C4" t="inlineStr">
        <is>
          <t>LUNES</t>
        </is>
      </c>
      <c r="D4" t="n">
        <v>1</v>
      </c>
      <c r="E4" t="n">
        <v>1</v>
      </c>
      <c r="F4" t="inlineStr">
        <is>
          <t>CLASE</t>
        </is>
      </c>
      <c r="G4" t="inlineStr">
        <is>
          <t>0704</t>
        </is>
      </c>
      <c r="H4" t="inlineStr">
        <is>
          <t>ART</t>
        </is>
      </c>
      <c r="I4" t="inlineStr"/>
      <c r="J4" t="inlineStr"/>
      <c r="K4" t="inlineStr"/>
      <c r="L4" t="inlineStr">
        <is>
          <t>7°-4</t>
        </is>
      </c>
      <c r="M4" t="inlineStr"/>
      <c r="N4">
        <f>C4&amp;"|"&amp;D4</f>
        <v/>
      </c>
      <c r="O4">
        <f>COUNTIF($N$2:N4,N4)</f>
        <v/>
      </c>
      <c r="P4">
        <f>N4&amp;"|"&amp;O4</f>
        <v/>
      </c>
      <c r="Q4">
        <f>C4&amp;"|"&amp;D4&amp;"|"&amp;A4</f>
        <v/>
      </c>
    </row>
    <row r="5">
      <c r="A5" t="n">
        <v>35</v>
      </c>
      <c r="B5" t="inlineStr">
        <is>
          <t>Ortiz Araujo Adiela Carlota</t>
        </is>
      </c>
      <c r="C5" t="inlineStr">
        <is>
          <t>LUNES</t>
        </is>
      </c>
      <c r="D5" t="n">
        <v>1</v>
      </c>
      <c r="E5" t="n">
        <v>1</v>
      </c>
      <c r="F5" t="inlineStr">
        <is>
          <t>CLASE</t>
        </is>
      </c>
      <c r="G5" t="inlineStr">
        <is>
          <t>0801</t>
        </is>
      </c>
      <c r="H5" t="inlineStr">
        <is>
          <t>CSI</t>
        </is>
      </c>
      <c r="I5" t="inlineStr"/>
      <c r="J5" t="inlineStr">
        <is>
          <t>Sociales / Inglés (alternan cada semana)</t>
        </is>
      </c>
      <c r="K5" t="inlineStr"/>
      <c r="L5" t="inlineStr">
        <is>
          <t>8°-1</t>
        </is>
      </c>
      <c r="M5" t="inlineStr">
        <is>
          <t>Sociales / Inglés (alternan cada semana)</t>
        </is>
      </c>
      <c r="N5">
        <f>C5&amp;"|"&amp;D5</f>
        <v/>
      </c>
      <c r="O5">
        <f>COUNTIF($N$2:N5,N5)</f>
        <v/>
      </c>
      <c r="P5">
        <f>N5&amp;"|"&amp;O5</f>
        <v/>
      </c>
      <c r="Q5">
        <f>C5&amp;"|"&amp;D5&amp;"|"&amp;A5</f>
        <v/>
      </c>
    </row>
    <row r="6">
      <c r="A6" t="n">
        <v>15</v>
      </c>
      <c r="B6" t="inlineStr">
        <is>
          <t>Cuero Bamba Berte Levi</t>
        </is>
      </c>
      <c r="C6" t="inlineStr">
        <is>
          <t>LUNES</t>
        </is>
      </c>
      <c r="D6" t="n">
        <v>1</v>
      </c>
      <c r="E6" t="n">
        <v>1</v>
      </c>
      <c r="F6" t="inlineStr">
        <is>
          <t>CLASE</t>
        </is>
      </c>
      <c r="G6" t="inlineStr">
        <is>
          <t>0802</t>
        </is>
      </c>
      <c r="H6" t="inlineStr">
        <is>
          <t>ERD</t>
        </is>
      </c>
      <c r="I6" t="inlineStr"/>
      <c r="J6" t="inlineStr"/>
      <c r="K6" t="inlineStr"/>
      <c r="L6" t="inlineStr">
        <is>
          <t>8°-2</t>
        </is>
      </c>
      <c r="M6" t="inlineStr"/>
      <c r="N6">
        <f>C6&amp;"|"&amp;D6</f>
        <v/>
      </c>
      <c r="O6">
        <f>COUNTIF($N$2:N6,N6)</f>
        <v/>
      </c>
      <c r="P6">
        <f>N6&amp;"|"&amp;O6</f>
        <v/>
      </c>
      <c r="Q6">
        <f>C6&amp;"|"&amp;D6&amp;"|"&amp;A6</f>
        <v/>
      </c>
    </row>
    <row r="7">
      <c r="A7" t="n">
        <v>6</v>
      </c>
      <c r="B7" t="inlineStr">
        <is>
          <t>Betancourth Ocampo Yohana Patricia</t>
        </is>
      </c>
      <c r="C7" t="inlineStr">
        <is>
          <t>LUNES</t>
        </is>
      </c>
      <c r="D7" t="n">
        <v>1</v>
      </c>
      <c r="E7" t="n">
        <v>1</v>
      </c>
      <c r="F7" t="inlineStr">
        <is>
          <t>CLASE</t>
        </is>
      </c>
      <c r="G7" t="inlineStr">
        <is>
          <t>0901</t>
        </is>
      </c>
      <c r="H7" t="inlineStr">
        <is>
          <t>CSI</t>
        </is>
      </c>
      <c r="I7" t="inlineStr"/>
      <c r="J7" t="inlineStr">
        <is>
          <t>Sociales / Inglés (alternan cada semana)</t>
        </is>
      </c>
      <c r="K7" t="inlineStr"/>
      <c r="L7" t="inlineStr">
        <is>
          <t>9°-1</t>
        </is>
      </c>
      <c r="M7" t="inlineStr">
        <is>
          <t>Sociales / Inglés (alternan cada semana)</t>
        </is>
      </c>
      <c r="N7">
        <f>C7&amp;"|"&amp;D7</f>
        <v/>
      </c>
      <c r="O7">
        <f>COUNTIF($N$2:N7,N7)</f>
        <v/>
      </c>
      <c r="P7">
        <f>N7&amp;"|"&amp;O7</f>
        <v/>
      </c>
      <c r="Q7">
        <f>C7&amp;"|"&amp;D7&amp;"|"&amp;A7</f>
        <v/>
      </c>
    </row>
    <row r="8">
      <c r="A8" t="n">
        <v>49</v>
      </c>
      <c r="B8" t="inlineStr">
        <is>
          <t>Valencia Marínez Saidy Eufemia</t>
        </is>
      </c>
      <c r="C8" t="inlineStr">
        <is>
          <t>LUNES</t>
        </is>
      </c>
      <c r="D8" t="n">
        <v>1</v>
      </c>
      <c r="E8" t="n">
        <v>1</v>
      </c>
      <c r="F8" t="inlineStr">
        <is>
          <t>CLASE</t>
        </is>
      </c>
      <c r="G8" t="inlineStr">
        <is>
          <t>0902</t>
        </is>
      </c>
      <c r="H8" t="inlineStr">
        <is>
          <t>ART</t>
        </is>
      </c>
      <c r="I8" t="inlineStr"/>
      <c r="J8" t="inlineStr"/>
      <c r="K8" t="inlineStr"/>
      <c r="L8" t="inlineStr">
        <is>
          <t>9°-2</t>
        </is>
      </c>
      <c r="M8" t="inlineStr"/>
      <c r="N8">
        <f>C8&amp;"|"&amp;D8</f>
        <v/>
      </c>
      <c r="O8">
        <f>COUNTIF($N$2:N8,N8)</f>
        <v/>
      </c>
      <c r="P8">
        <f>N8&amp;"|"&amp;O8</f>
        <v/>
      </c>
      <c r="Q8">
        <f>C8&amp;"|"&amp;D8&amp;"|"&amp;A8</f>
        <v/>
      </c>
    </row>
    <row r="9">
      <c r="A9" t="n">
        <v>31</v>
      </c>
      <c r="B9" t="inlineStr">
        <is>
          <t>Montaño Arizala Leidis Claudina</t>
        </is>
      </c>
      <c r="C9" t="inlineStr">
        <is>
          <t>LUNES</t>
        </is>
      </c>
      <c r="D9" t="n">
        <v>1</v>
      </c>
      <c r="E9" t="n">
        <v>1</v>
      </c>
      <c r="F9" t="inlineStr">
        <is>
          <t>CLASE</t>
        </is>
      </c>
      <c r="G9" t="inlineStr">
        <is>
          <t>1002</t>
        </is>
      </c>
      <c r="H9" t="inlineStr">
        <is>
          <t>ETR</t>
        </is>
      </c>
      <c r="I9" t="inlineStr"/>
      <c r="J9" t="inlineStr">
        <is>
          <t>Ética / Religión (alternan cada semana)</t>
        </is>
      </c>
      <c r="K9" t="inlineStr"/>
      <c r="L9" t="inlineStr">
        <is>
          <t>10°-2</t>
        </is>
      </c>
      <c r="M9" t="inlineStr">
        <is>
          <t>Ética / Religión (alternan cada semana)</t>
        </is>
      </c>
      <c r="N9">
        <f>C9&amp;"|"&amp;D9</f>
        <v/>
      </c>
      <c r="O9">
        <f>COUNTIF($N$2:N9,N9)</f>
        <v/>
      </c>
      <c r="P9">
        <f>N9&amp;"|"&amp;O9</f>
        <v/>
      </c>
      <c r="Q9">
        <f>C9&amp;"|"&amp;D9&amp;"|"&amp;A9</f>
        <v/>
      </c>
    </row>
    <row r="10">
      <c r="A10" t="n">
        <v>2</v>
      </c>
      <c r="B10" t="inlineStr">
        <is>
          <t>Angulo Lucero Andrés Mauricio</t>
        </is>
      </c>
      <c r="C10" t="inlineStr">
        <is>
          <t>LUNES</t>
        </is>
      </c>
      <c r="D10" t="n">
        <v>1</v>
      </c>
      <c r="E10" t="n">
        <v>1</v>
      </c>
      <c r="F10" t="inlineStr">
        <is>
          <t>CLASE</t>
        </is>
      </c>
      <c r="G10" t="inlineStr">
        <is>
          <t>1101</t>
        </is>
      </c>
      <c r="H10" t="inlineStr">
        <is>
          <t>TEI</t>
        </is>
      </c>
      <c r="I10" t="inlineStr"/>
      <c r="J10" t="inlineStr"/>
      <c r="K10" t="inlineStr"/>
      <c r="L10" t="inlineStr">
        <is>
          <t>11°-1</t>
        </is>
      </c>
      <c r="M10" t="inlineStr"/>
      <c r="N10">
        <f>C10&amp;"|"&amp;D10</f>
        <v/>
      </c>
      <c r="O10">
        <f>COUNTIF($N$2:N10,N10)</f>
        <v/>
      </c>
      <c r="P10">
        <f>N10&amp;"|"&amp;O10</f>
        <v/>
      </c>
      <c r="Q10">
        <f>C10&amp;"|"&amp;D10&amp;"|"&amp;A10</f>
        <v/>
      </c>
    </row>
    <row r="11">
      <c r="A11" t="n">
        <v>40</v>
      </c>
      <c r="B11" t="inlineStr">
        <is>
          <t>Pulgarín Ortiz César Marino</t>
        </is>
      </c>
      <c r="C11" t="inlineStr">
        <is>
          <t>LUNES</t>
        </is>
      </c>
      <c r="D11" t="n">
        <v>1</v>
      </c>
      <c r="E11" t="n">
        <v>1</v>
      </c>
      <c r="F11" t="inlineStr">
        <is>
          <t>CLASE</t>
        </is>
      </c>
      <c r="G11" t="inlineStr">
        <is>
          <t>1102</t>
        </is>
      </c>
      <c r="H11" t="inlineStr">
        <is>
          <t>CSI</t>
        </is>
      </c>
      <c r="I11" t="inlineStr"/>
      <c r="J11" t="inlineStr">
        <is>
          <t>Sociales / Inglés (alternan cada semana)</t>
        </is>
      </c>
      <c r="K11" t="inlineStr"/>
      <c r="L11" t="inlineStr">
        <is>
          <t>11°-2</t>
        </is>
      </c>
      <c r="M11" t="inlineStr">
        <is>
          <t>Sociales / Inglés (alternan cada semana)</t>
        </is>
      </c>
      <c r="N11">
        <f>C11&amp;"|"&amp;D11</f>
        <v/>
      </c>
      <c r="O11">
        <f>COUNTIF($N$2:N11,N11)</f>
        <v/>
      </c>
      <c r="P11">
        <f>N11&amp;"|"&amp;O11</f>
        <v/>
      </c>
      <c r="Q11">
        <f>C11&amp;"|"&amp;D11&amp;"|"&amp;A11</f>
        <v/>
      </c>
    </row>
    <row r="12">
      <c r="A12" t="n">
        <v>16</v>
      </c>
      <c r="B12" t="inlineStr">
        <is>
          <t>Cuero Rincón Hernando Jesús</t>
        </is>
      </c>
      <c r="C12" t="inlineStr">
        <is>
          <t>LUNES</t>
        </is>
      </c>
      <c r="D12" t="n">
        <v>1</v>
      </c>
      <c r="E12" t="n">
        <v>1</v>
      </c>
      <c r="F12" t="inlineStr">
        <is>
          <t>CLASE</t>
        </is>
      </c>
      <c r="G12" t="inlineStr">
        <is>
          <t>CS101</t>
        </is>
      </c>
      <c r="H12" t="inlineStr">
        <is>
          <t>CAS</t>
        </is>
      </c>
      <c r="I12" t="inlineStr"/>
      <c r="J12" t="inlineStr"/>
      <c r="K12" t="inlineStr"/>
      <c r="L12" t="inlineStr">
        <is>
          <t>CS 1-1</t>
        </is>
      </c>
      <c r="M12" t="inlineStr"/>
      <c r="N12">
        <f>C12&amp;"|"&amp;D12</f>
        <v/>
      </c>
      <c r="O12">
        <f>COUNTIF($N$2:N12,N12)</f>
        <v/>
      </c>
      <c r="P12">
        <f>N12&amp;"|"&amp;O12</f>
        <v/>
      </c>
      <c r="Q12">
        <f>C12&amp;"|"&amp;D12&amp;"|"&amp;A12</f>
        <v/>
      </c>
    </row>
    <row r="13">
      <c r="A13" t="n">
        <v>42</v>
      </c>
      <c r="B13" t="inlineStr">
        <is>
          <t>Quiñones Cabezas Marcos Vidal</t>
        </is>
      </c>
      <c r="C13" t="inlineStr">
        <is>
          <t>LUNES</t>
        </is>
      </c>
      <c r="D13" t="n">
        <v>1</v>
      </c>
      <c r="E13" t="n">
        <v>1</v>
      </c>
      <c r="F13" t="inlineStr">
        <is>
          <t>CLASE</t>
        </is>
      </c>
      <c r="G13" t="inlineStr">
        <is>
          <t>CS102</t>
        </is>
      </c>
      <c r="H13" t="inlineStr">
        <is>
          <t>TEI</t>
        </is>
      </c>
      <c r="I13" t="inlineStr"/>
      <c r="J13" t="inlineStr"/>
      <c r="K13" t="inlineStr"/>
      <c r="L13" t="inlineStr">
        <is>
          <t>CS 1-2</t>
        </is>
      </c>
      <c r="M13" t="inlineStr"/>
      <c r="N13">
        <f>C13&amp;"|"&amp;D13</f>
        <v/>
      </c>
      <c r="O13">
        <f>COUNTIF($N$2:N13,N13)</f>
        <v/>
      </c>
      <c r="P13">
        <f>N13&amp;"|"&amp;O13</f>
        <v/>
      </c>
      <c r="Q13">
        <f>C13&amp;"|"&amp;D13&amp;"|"&amp;A13</f>
        <v/>
      </c>
    </row>
    <row r="14">
      <c r="A14" t="n">
        <v>19</v>
      </c>
      <c r="B14" t="inlineStr">
        <is>
          <t>Fernández Vélez Alfredo Enrique</t>
        </is>
      </c>
      <c r="C14" t="inlineStr">
        <is>
          <t>LUNES</t>
        </is>
      </c>
      <c r="D14" t="n">
        <v>1</v>
      </c>
      <c r="E14" t="n">
        <v>1</v>
      </c>
      <c r="F14" t="inlineStr">
        <is>
          <t>CLASE</t>
        </is>
      </c>
      <c r="G14" t="inlineStr">
        <is>
          <t>CS201</t>
        </is>
      </c>
      <c r="H14" t="inlineStr">
        <is>
          <t>TEI</t>
        </is>
      </c>
      <c r="I14" t="inlineStr"/>
      <c r="J14" t="inlineStr"/>
      <c r="K14" t="inlineStr"/>
      <c r="L14" t="inlineStr">
        <is>
          <t>CS 2-1</t>
        </is>
      </c>
      <c r="M14" t="inlineStr"/>
      <c r="N14">
        <f>C14&amp;"|"&amp;D14</f>
        <v/>
      </c>
      <c r="O14">
        <f>COUNTIF($N$2:N14,N14)</f>
        <v/>
      </c>
      <c r="P14">
        <f>N14&amp;"|"&amp;O14</f>
        <v/>
      </c>
      <c r="Q14">
        <f>C14&amp;"|"&amp;D14&amp;"|"&amp;A14</f>
        <v/>
      </c>
    </row>
    <row r="15">
      <c r="A15" t="n">
        <v>12</v>
      </c>
      <c r="B15" t="inlineStr">
        <is>
          <t>Chillambo Quiñones María Rocío</t>
        </is>
      </c>
      <c r="C15" t="inlineStr">
        <is>
          <t>LUNES</t>
        </is>
      </c>
      <c r="D15" t="n">
        <v>1</v>
      </c>
      <c r="E15" t="n">
        <v>1</v>
      </c>
      <c r="F15" t="inlineStr">
        <is>
          <t>CLASE</t>
        </is>
      </c>
      <c r="G15" t="inlineStr">
        <is>
          <t>CS202</t>
        </is>
      </c>
      <c r="H15" t="inlineStr">
        <is>
          <t>CNA</t>
        </is>
      </c>
      <c r="I15" t="inlineStr"/>
      <c r="J15" t="inlineStr"/>
      <c r="K15" t="inlineStr"/>
      <c r="L15" t="inlineStr">
        <is>
          <t>CS 2-2</t>
        </is>
      </c>
      <c r="M15" t="inlineStr"/>
      <c r="N15">
        <f>C15&amp;"|"&amp;D15</f>
        <v/>
      </c>
      <c r="O15">
        <f>COUNTIF($N$2:N15,N15)</f>
        <v/>
      </c>
      <c r="P15">
        <f>N15&amp;"|"&amp;O15</f>
        <v/>
      </c>
      <c r="Q15">
        <f>C15&amp;"|"&amp;D15&amp;"|"&amp;A15</f>
        <v/>
      </c>
    </row>
    <row r="16">
      <c r="A16" t="n">
        <v>44</v>
      </c>
      <c r="B16" t="inlineStr">
        <is>
          <t>Samaniego Angulo Flor Mireya</t>
        </is>
      </c>
      <c r="C16" t="inlineStr">
        <is>
          <t>LUNES</t>
        </is>
      </c>
      <c r="D16" t="n">
        <v>1</v>
      </c>
      <c r="E16" t="n">
        <v>1</v>
      </c>
      <c r="F16" t="inlineStr">
        <is>
          <t>ENFASIS</t>
        </is>
      </c>
      <c r="G16" t="inlineStr"/>
      <c r="H16" t="inlineStr">
        <is>
          <t>ART</t>
        </is>
      </c>
      <c r="I16" t="inlineStr">
        <is>
          <t>0701</t>
        </is>
      </c>
      <c r="J16" t="inlineStr">
        <is>
          <t>PAREJA: comparten el énfasis y alternan por semana</t>
        </is>
      </c>
      <c r="K16" t="inlineStr">
        <is>
          <t>Valverde Montaño María Teresa (CAS)</t>
        </is>
      </c>
      <c r="L16" t="inlineStr">
        <is>
          <t>ÉNFASIS 7°-1</t>
        </is>
      </c>
      <c r="M16" t="inlineStr">
        <is>
          <t>PAREJA: comparten el énfasis y alternan por semana · Con: Valverde Montaño María Teresa (CAS)</t>
        </is>
      </c>
      <c r="N16">
        <f>C16&amp;"|"&amp;D16</f>
        <v/>
      </c>
      <c r="O16">
        <f>COUNTIF($N$2:N16,N16)</f>
        <v/>
      </c>
      <c r="P16">
        <f>N16&amp;"|"&amp;O16</f>
        <v/>
      </c>
      <c r="Q16">
        <f>C16&amp;"|"&amp;D16&amp;"|"&amp;A16</f>
        <v/>
      </c>
    </row>
    <row r="17">
      <c r="A17" t="n">
        <v>51</v>
      </c>
      <c r="B17" t="inlineStr">
        <is>
          <t>Valverde Montaño María Teresa</t>
        </is>
      </c>
      <c r="C17" t="inlineStr">
        <is>
          <t>LUNES</t>
        </is>
      </c>
      <c r="D17" t="n">
        <v>1</v>
      </c>
      <c r="E17" t="n">
        <v>1</v>
      </c>
      <c r="F17" t="inlineStr">
        <is>
          <t>ENFASIS</t>
        </is>
      </c>
      <c r="G17" t="inlineStr"/>
      <c r="H17" t="inlineStr">
        <is>
          <t>CAS</t>
        </is>
      </c>
      <c r="I17" t="inlineStr">
        <is>
          <t>0701</t>
        </is>
      </c>
      <c r="J17" t="inlineStr">
        <is>
          <t>PAREJA: comparten el énfasis y alternan por semana</t>
        </is>
      </c>
      <c r="K17" t="inlineStr">
        <is>
          <t>Samaniego Angulo Flor Mireya (ART)</t>
        </is>
      </c>
      <c r="L17" t="inlineStr">
        <is>
          <t>ÉNFASIS 7°-1</t>
        </is>
      </c>
      <c r="M17" t="inlineStr">
        <is>
          <t>PAREJA: comparten el énfasis y alternan por semana · Con: Samaniego Angulo Flor Mireya (ART)</t>
        </is>
      </c>
      <c r="N17">
        <f>C17&amp;"|"&amp;D17</f>
        <v/>
      </c>
      <c r="O17">
        <f>COUNTIF($N$2:N17,N17)</f>
        <v/>
      </c>
      <c r="P17">
        <f>N17&amp;"|"&amp;O17</f>
        <v/>
      </c>
      <c r="Q17">
        <f>C17&amp;"|"&amp;D17&amp;"|"&amp;A17</f>
        <v/>
      </c>
    </row>
    <row r="18">
      <c r="A18" t="n">
        <v>34</v>
      </c>
      <c r="B18" t="inlineStr">
        <is>
          <t>Ordóñez Tenorio Jaime Marcial</t>
        </is>
      </c>
      <c r="C18" t="inlineStr">
        <is>
          <t>LUNES</t>
        </is>
      </c>
      <c r="D18" t="n">
        <v>1</v>
      </c>
      <c r="E18" t="n">
        <v>1</v>
      </c>
      <c r="F18" t="inlineStr">
        <is>
          <t>ENFASIS</t>
        </is>
      </c>
      <c r="G18" t="inlineStr"/>
      <c r="H18" t="inlineStr">
        <is>
          <t>CNA</t>
        </is>
      </c>
      <c r="I18" t="inlineStr">
        <is>
          <t>0702</t>
        </is>
      </c>
      <c r="J18" t="inlineStr">
        <is>
          <t>PAREJA: comparten el énfasis y alternan por semana</t>
        </is>
      </c>
      <c r="K18" t="inlineStr">
        <is>
          <t>Armero Dájome Jesús (ERD)</t>
        </is>
      </c>
      <c r="L18" t="inlineStr">
        <is>
          <t>ÉNFASIS 7°-2</t>
        </is>
      </c>
      <c r="M18" t="inlineStr">
        <is>
          <t>PAREJA: comparten el énfasis y alternan por semana · Con: Armero Dájome Jesús (ERD)</t>
        </is>
      </c>
      <c r="N18">
        <f>C18&amp;"|"&amp;D18</f>
        <v/>
      </c>
      <c r="O18">
        <f>COUNTIF($N$2:N18,N18)</f>
        <v/>
      </c>
      <c r="P18">
        <f>N18&amp;"|"&amp;O18</f>
        <v/>
      </c>
      <c r="Q18">
        <f>C18&amp;"|"&amp;D18&amp;"|"&amp;A18</f>
        <v/>
      </c>
    </row>
    <row r="19">
      <c r="A19" t="n">
        <v>4</v>
      </c>
      <c r="B19" t="inlineStr">
        <is>
          <t>Arizala Castro Roberto Carlos</t>
        </is>
      </c>
      <c r="C19" t="inlineStr">
        <is>
          <t>LUNES</t>
        </is>
      </c>
      <c r="D19" t="n">
        <v>1</v>
      </c>
      <c r="E19" t="n">
        <v>1</v>
      </c>
      <c r="F19" t="inlineStr">
        <is>
          <t>ENFASIS</t>
        </is>
      </c>
      <c r="G19" t="inlineStr"/>
      <c r="H19" t="inlineStr">
        <is>
          <t>ERD</t>
        </is>
      </c>
      <c r="I19" t="inlineStr">
        <is>
          <t>0702</t>
        </is>
      </c>
      <c r="J19" t="inlineStr">
        <is>
          <t>PAREJA: comparten el énfasis y alternan por semana</t>
        </is>
      </c>
      <c r="K19" t="inlineStr">
        <is>
          <t>Ordóñez Tenorio Jaime Marcial (CNA)</t>
        </is>
      </c>
      <c r="L19" t="inlineStr">
        <is>
          <t>ÉNFASIS 7°-2</t>
        </is>
      </c>
      <c r="M19" t="inlineStr">
        <is>
          <t>PAREJA: comparten el énfasis y alternan por semana · Con: Ordóñez Tenorio Jaime Marcial (CNA)</t>
        </is>
      </c>
      <c r="N19">
        <f>C19&amp;"|"&amp;D19</f>
        <v/>
      </c>
      <c r="O19">
        <f>COUNTIF($N$2:N19,N19)</f>
        <v/>
      </c>
      <c r="P19">
        <f>N19&amp;"|"&amp;O19</f>
        <v/>
      </c>
      <c r="Q19">
        <f>C19&amp;"|"&amp;D19&amp;"|"&amp;A19</f>
        <v/>
      </c>
    </row>
    <row r="20">
      <c r="A20" t="n">
        <v>8</v>
      </c>
      <c r="B20" t="inlineStr">
        <is>
          <t>Casanova Quiñones Yoli del Carmen</t>
        </is>
      </c>
      <c r="C20" t="inlineStr">
        <is>
          <t>LUNES</t>
        </is>
      </c>
      <c r="D20" t="n">
        <v>1</v>
      </c>
      <c r="E20" t="n">
        <v>1</v>
      </c>
      <c r="F20" t="inlineStr">
        <is>
          <t>ENFASIS</t>
        </is>
      </c>
      <c r="G20" t="inlineStr"/>
      <c r="H20" t="inlineStr">
        <is>
          <t>ETR</t>
        </is>
      </c>
      <c r="I20" t="inlineStr">
        <is>
          <t>0703</t>
        </is>
      </c>
      <c r="J20" t="inlineStr">
        <is>
          <t>PAREJA: comparten el énfasis y alternan por semana</t>
        </is>
      </c>
      <c r="K20" t="inlineStr">
        <is>
          <t>Quintero Ramírez María del Carmen (CSI)</t>
        </is>
      </c>
      <c r="L20" t="inlineStr">
        <is>
          <t>ÉNFASIS 7°-3</t>
        </is>
      </c>
      <c r="M20" t="inlineStr">
        <is>
          <t>PAREJA: comparten el énfasis y alternan por semana · Con: Quintero Ramírez María del Carmen (CSI)</t>
        </is>
      </c>
      <c r="N20">
        <f>C20&amp;"|"&amp;D20</f>
        <v/>
      </c>
      <c r="O20">
        <f>COUNTIF($N$2:N20,N20)</f>
        <v/>
      </c>
      <c r="P20">
        <f>N20&amp;"|"&amp;O20</f>
        <v/>
      </c>
      <c r="Q20">
        <f>C20&amp;"|"&amp;D20&amp;"|"&amp;A20</f>
        <v/>
      </c>
    </row>
    <row r="21">
      <c r="A21" t="n">
        <v>41</v>
      </c>
      <c r="B21" t="inlineStr">
        <is>
          <t>Quintero Ramírez María del Carmen</t>
        </is>
      </c>
      <c r="C21" t="inlineStr">
        <is>
          <t>LUNES</t>
        </is>
      </c>
      <c r="D21" t="n">
        <v>1</v>
      </c>
      <c r="E21" t="n">
        <v>1</v>
      </c>
      <c r="F21" t="inlineStr">
        <is>
          <t>ENFASIS</t>
        </is>
      </c>
      <c r="G21" t="inlineStr"/>
      <c r="H21" t="inlineStr">
        <is>
          <t>CSI</t>
        </is>
      </c>
      <c r="I21" t="inlineStr">
        <is>
          <t>0703</t>
        </is>
      </c>
      <c r="J21" t="inlineStr">
        <is>
          <t>PAREJA: comparten el énfasis y alternan por semana</t>
        </is>
      </c>
      <c r="K21" t="inlineStr">
        <is>
          <t>Casanova Quiñones Yoli del Carmen (ETR)</t>
        </is>
      </c>
      <c r="L21" t="inlineStr">
        <is>
          <t>ÉNFASIS 7°-3</t>
        </is>
      </c>
      <c r="M21" t="inlineStr">
        <is>
          <t>PAREJA: comparten el énfasis y alternan por semana · Con: Casanova Quiñones Yoli del Carmen (ETR)</t>
        </is>
      </c>
      <c r="N21">
        <f>C21&amp;"|"&amp;D21</f>
        <v/>
      </c>
      <c r="O21">
        <f>COUNTIF($N$2:N21,N21)</f>
        <v/>
      </c>
      <c r="P21">
        <f>N21&amp;"|"&amp;O21</f>
        <v/>
      </c>
      <c r="Q21">
        <f>C21&amp;"|"&amp;D21&amp;"|"&amp;A21</f>
        <v/>
      </c>
    </row>
    <row r="22">
      <c r="A22" t="n">
        <v>3</v>
      </c>
      <c r="B22" t="inlineStr">
        <is>
          <t>Arboleda Ortiz Luz América</t>
        </is>
      </c>
      <c r="C22" t="inlineStr">
        <is>
          <t>LUNES</t>
        </is>
      </c>
      <c r="D22" t="n">
        <v>1</v>
      </c>
      <c r="E22" t="n">
        <v>1</v>
      </c>
      <c r="F22" t="inlineStr">
        <is>
          <t>ENFASIS</t>
        </is>
      </c>
      <c r="G22" t="inlineStr"/>
      <c r="H22" t="inlineStr">
        <is>
          <t>ART</t>
        </is>
      </c>
      <c r="I22" t="inlineStr">
        <is>
          <t>1001</t>
        </is>
      </c>
      <c r="J22" t="inlineStr">
        <is>
          <t>EQUIPO DE 4: cada docente atiende un grupo de estudiantes en su área</t>
        </is>
      </c>
      <c r="K22" t="inlineStr">
        <is>
          <t>Montaño Anchico Favio Héctor (CAS); Ramírez Guerra Jimmy Eduardo (ERD); Villota Rubio Héctor Hugo (CNA)</t>
        </is>
      </c>
      <c r="L22" t="inlineStr">
        <is>
          <t>ÉNFASIS 10°-1</t>
        </is>
      </c>
      <c r="M22" t="inlineStr">
        <is>
          <t>EQUIPO DE 4: cada docente atiende un grupo de estudiantes en su área · Con: Montaño Anchico Favio Héctor (CAS); Ramírez Guerra Jimmy Eduardo (ERD); Villota Rubio Héctor Hugo (CNA)</t>
        </is>
      </c>
      <c r="N22">
        <f>C22&amp;"|"&amp;D22</f>
        <v/>
      </c>
      <c r="O22">
        <f>COUNTIF($N$2:N22,N22)</f>
        <v/>
      </c>
      <c r="P22">
        <f>N22&amp;"|"&amp;O22</f>
        <v/>
      </c>
      <c r="Q22">
        <f>C22&amp;"|"&amp;D22&amp;"|"&amp;A22</f>
        <v/>
      </c>
    </row>
    <row r="23">
      <c r="A23" t="n">
        <v>30</v>
      </c>
      <c r="B23" t="inlineStr">
        <is>
          <t>Montaño Anchico Favio Héctor</t>
        </is>
      </c>
      <c r="C23" t="inlineStr">
        <is>
          <t>LUNES</t>
        </is>
      </c>
      <c r="D23" t="n">
        <v>1</v>
      </c>
      <c r="E23" t="n">
        <v>1</v>
      </c>
      <c r="F23" t="inlineStr">
        <is>
          <t>ENFASIS</t>
        </is>
      </c>
      <c r="G23" t="inlineStr"/>
      <c r="H23" t="inlineStr">
        <is>
          <t>CAS</t>
        </is>
      </c>
      <c r="I23" t="inlineStr">
        <is>
          <t>1001</t>
        </is>
      </c>
      <c r="J23" t="inlineStr">
        <is>
          <t>EQUIPO DE 4: cada docente atiende un grupo de estudiantes en su área</t>
        </is>
      </c>
      <c r="K23" t="inlineStr">
        <is>
          <t>Arboleda Ortiz Luz América (ART); Ramírez Guerra Jimmy Eduardo (ERD); Villota Rubio Héctor Hugo (CNA)</t>
        </is>
      </c>
      <c r="L23" t="inlineStr">
        <is>
          <t>ÉNFASIS 10°-1</t>
        </is>
      </c>
      <c r="M23" t="inlineStr">
        <is>
          <t>EQUIPO DE 4: cada docente atiende un grupo de estudiantes en su área · Con: Arboleda Ortiz Luz América (ART); Ramírez Guerra Jimmy Eduardo (ERD); Villota Rubio Héctor Hugo (CNA)</t>
        </is>
      </c>
      <c r="N23">
        <f>C23&amp;"|"&amp;D23</f>
        <v/>
      </c>
      <c r="O23">
        <f>COUNTIF($N$2:N23,N23)</f>
        <v/>
      </c>
      <c r="P23">
        <f>N23&amp;"|"&amp;O23</f>
        <v/>
      </c>
      <c r="Q23">
        <f>C23&amp;"|"&amp;D23&amp;"|"&amp;A23</f>
        <v/>
      </c>
    </row>
    <row r="24">
      <c r="A24" t="n">
        <v>43</v>
      </c>
      <c r="B24" t="inlineStr">
        <is>
          <t>Ramírez Guerra Jimmy Eduardo</t>
        </is>
      </c>
      <c r="C24" t="inlineStr">
        <is>
          <t>LUNES</t>
        </is>
      </c>
      <c r="D24" t="n">
        <v>1</v>
      </c>
      <c r="E24" t="n">
        <v>1</v>
      </c>
      <c r="F24" t="inlineStr">
        <is>
          <t>ENFASIS</t>
        </is>
      </c>
      <c r="G24" t="inlineStr"/>
      <c r="H24" t="inlineStr">
        <is>
          <t>ERD</t>
        </is>
      </c>
      <c r="I24" t="inlineStr">
        <is>
          <t>1001</t>
        </is>
      </c>
      <c r="J24" t="inlineStr">
        <is>
          <t>EQUIPO DE 4: cada docente atiende un grupo de estudiantes en su área</t>
        </is>
      </c>
      <c r="K24" t="inlineStr">
        <is>
          <t>Arboleda Ortiz Luz América (ART); Montaño Anchico Favio Héctor (CAS); Villota Rubio Héctor Hugo (CNA)</t>
        </is>
      </c>
      <c r="L24" t="inlineStr">
        <is>
          <t>ÉNFASIS 10°-1</t>
        </is>
      </c>
      <c r="M24" t="inlineStr">
        <is>
          <t>EQUIPO DE 4: cada docente atiende un grupo de estudiantes en su área · Con: Arboleda Ortiz Luz América (ART); Montaño Anchico Favio Héctor (CAS); Villota Rubio Héctor Hugo (CNA)</t>
        </is>
      </c>
      <c r="N24">
        <f>C24&amp;"|"&amp;D24</f>
        <v/>
      </c>
      <c r="O24">
        <f>COUNTIF($N$2:N24,N24)</f>
        <v/>
      </c>
      <c r="P24">
        <f>N24&amp;"|"&amp;O24</f>
        <v/>
      </c>
      <c r="Q24">
        <f>C24&amp;"|"&amp;D24&amp;"|"&amp;A24</f>
        <v/>
      </c>
    </row>
    <row r="25">
      <c r="A25" t="n">
        <v>53</v>
      </c>
      <c r="B25" t="inlineStr">
        <is>
          <t>Villota Rubio Héctor Hugo</t>
        </is>
      </c>
      <c r="C25" t="inlineStr">
        <is>
          <t>LUNES</t>
        </is>
      </c>
      <c r="D25" t="n">
        <v>1</v>
      </c>
      <c r="E25" t="n">
        <v>1</v>
      </c>
      <c r="F25" t="inlineStr">
        <is>
          <t>ENFASIS</t>
        </is>
      </c>
      <c r="G25" t="inlineStr"/>
      <c r="H25" t="inlineStr">
        <is>
          <t>CNA</t>
        </is>
      </c>
      <c r="I25" t="inlineStr">
        <is>
          <t>1001</t>
        </is>
      </c>
      <c r="J25" t="inlineStr">
        <is>
          <t>EQUIPO DE 4: cada docente atiende un grupo de estudiantes en su área</t>
        </is>
      </c>
      <c r="K25" t="inlineStr">
        <is>
          <t>Arboleda Ortiz Luz América (ART); Montaño Anchico Favio Héctor (CAS); Ramírez Guerra Jimmy Eduardo (ERD)</t>
        </is>
      </c>
      <c r="L25" t="inlineStr">
        <is>
          <t>ÉNFASIS 10°-1</t>
        </is>
      </c>
      <c r="M25" t="inlineStr">
        <is>
          <t>EQUIPO DE 4: cada docente atiende un grupo de estudiantes en su área · Con: Arboleda Ortiz Luz América (ART); Montaño Anchico Favio Héctor (CAS); Ramírez Guerra Jimmy Eduardo (ERD)</t>
        </is>
      </c>
      <c r="N25">
        <f>C25&amp;"|"&amp;D25</f>
        <v/>
      </c>
      <c r="O25">
        <f>COUNTIF($N$2:N25,N25)</f>
        <v/>
      </c>
      <c r="P25">
        <f>N25&amp;"|"&amp;O25</f>
        <v/>
      </c>
      <c r="Q25">
        <f>C25&amp;"|"&amp;D25&amp;"|"&amp;A25</f>
        <v/>
      </c>
    </row>
    <row r="26">
      <c r="A26" t="n">
        <v>37</v>
      </c>
      <c r="B26" t="inlineStr">
        <is>
          <t>Prado Quiñones Genís Maribel</t>
        </is>
      </c>
      <c r="C26" t="inlineStr">
        <is>
          <t>LUNES</t>
        </is>
      </c>
      <c r="D26" t="n">
        <v>2</v>
      </c>
      <c r="E26" t="n">
        <v>1</v>
      </c>
      <c r="F26" t="inlineStr">
        <is>
          <t>CLASE</t>
        </is>
      </c>
      <c r="G26" t="inlineStr">
        <is>
          <t>0601</t>
        </is>
      </c>
      <c r="H26" t="inlineStr">
        <is>
          <t>ART</t>
        </is>
      </c>
      <c r="I26" t="inlineStr"/>
      <c r="J26" t="inlineStr"/>
      <c r="K26" t="inlineStr"/>
      <c r="L26" t="inlineStr">
        <is>
          <t>6°-1</t>
        </is>
      </c>
      <c r="M26" t="inlineStr"/>
      <c r="N26">
        <f>C26&amp;"|"&amp;D26</f>
        <v/>
      </c>
      <c r="O26">
        <f>COUNTIF($N$2:N26,N26)</f>
        <v/>
      </c>
      <c r="P26">
        <f>N26&amp;"|"&amp;O26</f>
        <v/>
      </c>
      <c r="Q26">
        <f>C26&amp;"|"&amp;D26&amp;"|"&amp;A26</f>
        <v/>
      </c>
    </row>
    <row r="27">
      <c r="A27" t="n">
        <v>26</v>
      </c>
      <c r="B27" t="inlineStr">
        <is>
          <t>Lozano Torres Amanda Inés</t>
        </is>
      </c>
      <c r="C27" t="inlineStr">
        <is>
          <t>LUNES</t>
        </is>
      </c>
      <c r="D27" t="n">
        <v>2</v>
      </c>
      <c r="E27" t="n">
        <v>1</v>
      </c>
      <c r="F27" t="inlineStr">
        <is>
          <t>CLASE</t>
        </is>
      </c>
      <c r="G27" t="inlineStr">
        <is>
          <t>0602</t>
        </is>
      </c>
      <c r="H27" t="inlineStr">
        <is>
          <t>ETR</t>
        </is>
      </c>
      <c r="I27" t="inlineStr"/>
      <c r="J27" t="inlineStr">
        <is>
          <t>Ética / Religión (alternan cada semana)</t>
        </is>
      </c>
      <c r="K27" t="inlineStr"/>
      <c r="L27" t="inlineStr">
        <is>
          <t>6°-2</t>
        </is>
      </c>
      <c r="M27" t="inlineStr">
        <is>
          <t>Ética / Religión (alternan cada semana)</t>
        </is>
      </c>
      <c r="N27">
        <f>C27&amp;"|"&amp;D27</f>
        <v/>
      </c>
      <c r="O27">
        <f>COUNTIF($N$2:N27,N27)</f>
        <v/>
      </c>
      <c r="P27">
        <f>N27&amp;"|"&amp;O27</f>
        <v/>
      </c>
      <c r="Q27">
        <f>C27&amp;"|"&amp;D27&amp;"|"&amp;A27</f>
        <v/>
      </c>
    </row>
    <row r="28">
      <c r="A28" t="n">
        <v>39</v>
      </c>
      <c r="B28" t="inlineStr">
        <is>
          <t>Puches Ana Milena</t>
        </is>
      </c>
      <c r="C28" t="inlineStr">
        <is>
          <t>LUNES</t>
        </is>
      </c>
      <c r="D28" t="n">
        <v>2</v>
      </c>
      <c r="E28" t="n">
        <v>1</v>
      </c>
      <c r="F28" t="inlineStr">
        <is>
          <t>CLASE</t>
        </is>
      </c>
      <c r="G28" t="inlineStr">
        <is>
          <t>0704</t>
        </is>
      </c>
      <c r="H28" t="inlineStr">
        <is>
          <t>ART</t>
        </is>
      </c>
      <c r="I28" t="inlineStr"/>
      <c r="J28" t="inlineStr"/>
      <c r="K28" t="inlineStr"/>
      <c r="L28" t="inlineStr">
        <is>
          <t>7°-4</t>
        </is>
      </c>
      <c r="M28" t="inlineStr"/>
      <c r="N28">
        <f>C28&amp;"|"&amp;D28</f>
        <v/>
      </c>
      <c r="O28">
        <f>COUNTIF($N$2:N28,N28)</f>
        <v/>
      </c>
      <c r="P28">
        <f>N28&amp;"|"&amp;O28</f>
        <v/>
      </c>
      <c r="Q28">
        <f>C28&amp;"|"&amp;D28&amp;"|"&amp;A28</f>
        <v/>
      </c>
    </row>
    <row r="29">
      <c r="A29" t="n">
        <v>35</v>
      </c>
      <c r="B29" t="inlineStr">
        <is>
          <t>Ortiz Araujo Adiela Carlota</t>
        </is>
      </c>
      <c r="C29" t="inlineStr">
        <is>
          <t>LUNES</t>
        </is>
      </c>
      <c r="D29" t="n">
        <v>2</v>
      </c>
      <c r="E29" t="n">
        <v>1</v>
      </c>
      <c r="F29" t="inlineStr">
        <is>
          <t>CLASE</t>
        </is>
      </c>
      <c r="G29" t="inlineStr">
        <is>
          <t>0801</t>
        </is>
      </c>
      <c r="H29" t="inlineStr">
        <is>
          <t>CSI</t>
        </is>
      </c>
      <c r="I29" t="inlineStr"/>
      <c r="J29" t="inlineStr">
        <is>
          <t>Sociales / Inglés (alternan cada semana)</t>
        </is>
      </c>
      <c r="K29" t="inlineStr"/>
      <c r="L29" t="inlineStr">
        <is>
          <t>8°-1</t>
        </is>
      </c>
      <c r="M29" t="inlineStr">
        <is>
          <t>Sociales / Inglés (alternan cada semana)</t>
        </is>
      </c>
      <c r="N29">
        <f>C29&amp;"|"&amp;D29</f>
        <v/>
      </c>
      <c r="O29">
        <f>COUNTIF($N$2:N29,N29)</f>
        <v/>
      </c>
      <c r="P29">
        <f>N29&amp;"|"&amp;O29</f>
        <v/>
      </c>
      <c r="Q29">
        <f>C29&amp;"|"&amp;D29&amp;"|"&amp;A29</f>
        <v/>
      </c>
    </row>
    <row r="30">
      <c r="A30" t="n">
        <v>15</v>
      </c>
      <c r="B30" t="inlineStr">
        <is>
          <t>Cuero Bamba Berte Levi</t>
        </is>
      </c>
      <c r="C30" t="inlineStr">
        <is>
          <t>LUNES</t>
        </is>
      </c>
      <c r="D30" t="n">
        <v>2</v>
      </c>
      <c r="E30" t="n">
        <v>1</v>
      </c>
      <c r="F30" t="inlineStr">
        <is>
          <t>CLASE</t>
        </is>
      </c>
      <c r="G30" t="inlineStr">
        <is>
          <t>0802</t>
        </is>
      </c>
      <c r="H30" t="inlineStr">
        <is>
          <t>ERD</t>
        </is>
      </c>
      <c r="I30" t="inlineStr"/>
      <c r="J30" t="inlineStr"/>
      <c r="K30" t="inlineStr"/>
      <c r="L30" t="inlineStr">
        <is>
          <t>8°-2</t>
        </is>
      </c>
      <c r="M30" t="inlineStr"/>
      <c r="N30">
        <f>C30&amp;"|"&amp;D30</f>
        <v/>
      </c>
      <c r="O30">
        <f>COUNTIF($N$2:N30,N30)</f>
        <v/>
      </c>
      <c r="P30">
        <f>N30&amp;"|"&amp;O30</f>
        <v/>
      </c>
      <c r="Q30">
        <f>C30&amp;"|"&amp;D30&amp;"|"&amp;A30</f>
        <v/>
      </c>
    </row>
    <row r="31">
      <c r="A31" t="n">
        <v>6</v>
      </c>
      <c r="B31" t="inlineStr">
        <is>
          <t>Betancourth Ocampo Yohana Patricia</t>
        </is>
      </c>
      <c r="C31" t="inlineStr">
        <is>
          <t>LUNES</t>
        </is>
      </c>
      <c r="D31" t="n">
        <v>2</v>
      </c>
      <c r="E31" t="n">
        <v>1</v>
      </c>
      <c r="F31" t="inlineStr">
        <is>
          <t>CLASE</t>
        </is>
      </c>
      <c r="G31" t="inlineStr">
        <is>
          <t>0901</t>
        </is>
      </c>
      <c r="H31" t="inlineStr">
        <is>
          <t>CSI</t>
        </is>
      </c>
      <c r="I31" t="inlineStr"/>
      <c r="J31" t="inlineStr">
        <is>
          <t>Sociales / Inglés (alternan cada semana)</t>
        </is>
      </c>
      <c r="K31" t="inlineStr"/>
      <c r="L31" t="inlineStr">
        <is>
          <t>9°-1</t>
        </is>
      </c>
      <c r="M31" t="inlineStr">
        <is>
          <t>Sociales / Inglés (alternan cada semana)</t>
        </is>
      </c>
      <c r="N31">
        <f>C31&amp;"|"&amp;D31</f>
        <v/>
      </c>
      <c r="O31">
        <f>COUNTIF($N$2:N31,N31)</f>
        <v/>
      </c>
      <c r="P31">
        <f>N31&amp;"|"&amp;O31</f>
        <v/>
      </c>
      <c r="Q31">
        <f>C31&amp;"|"&amp;D31&amp;"|"&amp;A31</f>
        <v/>
      </c>
    </row>
    <row r="32">
      <c r="A32" t="n">
        <v>49</v>
      </c>
      <c r="B32" t="inlineStr">
        <is>
          <t>Valencia Marínez Saidy Eufemia</t>
        </is>
      </c>
      <c r="C32" t="inlineStr">
        <is>
          <t>LUNES</t>
        </is>
      </c>
      <c r="D32" t="n">
        <v>2</v>
      </c>
      <c r="E32" t="n">
        <v>1</v>
      </c>
      <c r="F32" t="inlineStr">
        <is>
          <t>CLASE</t>
        </is>
      </c>
      <c r="G32" t="inlineStr">
        <is>
          <t>0902</t>
        </is>
      </c>
      <c r="H32" t="inlineStr">
        <is>
          <t>ART</t>
        </is>
      </c>
      <c r="I32" t="inlineStr"/>
      <c r="J32" t="inlineStr"/>
      <c r="K32" t="inlineStr"/>
      <c r="L32" t="inlineStr">
        <is>
          <t>9°-2</t>
        </is>
      </c>
      <c r="M32" t="inlineStr"/>
      <c r="N32">
        <f>C32&amp;"|"&amp;D32</f>
        <v/>
      </c>
      <c r="O32">
        <f>COUNTIF($N$2:N32,N32)</f>
        <v/>
      </c>
      <c r="P32">
        <f>N32&amp;"|"&amp;O32</f>
        <v/>
      </c>
      <c r="Q32">
        <f>C32&amp;"|"&amp;D32&amp;"|"&amp;A32</f>
        <v/>
      </c>
    </row>
    <row r="33">
      <c r="A33" t="n">
        <v>31</v>
      </c>
      <c r="B33" t="inlineStr">
        <is>
          <t>Montaño Arizala Leidis Claudina</t>
        </is>
      </c>
      <c r="C33" t="inlineStr">
        <is>
          <t>LUNES</t>
        </is>
      </c>
      <c r="D33" t="n">
        <v>2</v>
      </c>
      <c r="E33" t="n">
        <v>1</v>
      </c>
      <c r="F33" t="inlineStr">
        <is>
          <t>CLASE</t>
        </is>
      </c>
      <c r="G33" t="inlineStr">
        <is>
          <t>1002</t>
        </is>
      </c>
      <c r="H33" t="inlineStr">
        <is>
          <t>ETR</t>
        </is>
      </c>
      <c r="I33" t="inlineStr"/>
      <c r="J33" t="inlineStr">
        <is>
          <t>Ética / Religión (alternan cada semana)</t>
        </is>
      </c>
      <c r="K33" t="inlineStr"/>
      <c r="L33" t="inlineStr">
        <is>
          <t>10°-2</t>
        </is>
      </c>
      <c r="M33" t="inlineStr">
        <is>
          <t>Ética / Religión (alternan cada semana)</t>
        </is>
      </c>
      <c r="N33">
        <f>C33&amp;"|"&amp;D33</f>
        <v/>
      </c>
      <c r="O33">
        <f>COUNTIF($N$2:N33,N33)</f>
        <v/>
      </c>
      <c r="P33">
        <f>N33&amp;"|"&amp;O33</f>
        <v/>
      </c>
      <c r="Q33">
        <f>C33&amp;"|"&amp;D33&amp;"|"&amp;A33</f>
        <v/>
      </c>
    </row>
    <row r="34">
      <c r="A34" t="n">
        <v>2</v>
      </c>
      <c r="B34" t="inlineStr">
        <is>
          <t>Angulo Lucero Andrés Mauricio</t>
        </is>
      </c>
      <c r="C34" t="inlineStr">
        <is>
          <t>LUNES</t>
        </is>
      </c>
      <c r="D34" t="n">
        <v>2</v>
      </c>
      <c r="E34" t="n">
        <v>1</v>
      </c>
      <c r="F34" t="inlineStr">
        <is>
          <t>CLASE</t>
        </is>
      </c>
      <c r="G34" t="inlineStr">
        <is>
          <t>1101</t>
        </is>
      </c>
      <c r="H34" t="inlineStr">
        <is>
          <t>TEI</t>
        </is>
      </c>
      <c r="I34" t="inlineStr"/>
      <c r="J34" t="inlineStr"/>
      <c r="K34" t="inlineStr"/>
      <c r="L34" t="inlineStr">
        <is>
          <t>11°-1</t>
        </is>
      </c>
      <c r="M34" t="inlineStr"/>
      <c r="N34">
        <f>C34&amp;"|"&amp;D34</f>
        <v/>
      </c>
      <c r="O34">
        <f>COUNTIF($N$2:N34,N34)</f>
        <v/>
      </c>
      <c r="P34">
        <f>N34&amp;"|"&amp;O34</f>
        <v/>
      </c>
      <c r="Q34">
        <f>C34&amp;"|"&amp;D34&amp;"|"&amp;A34</f>
        <v/>
      </c>
    </row>
    <row r="35">
      <c r="A35" t="n">
        <v>40</v>
      </c>
      <c r="B35" t="inlineStr">
        <is>
          <t>Pulgarín Ortiz César Marino</t>
        </is>
      </c>
      <c r="C35" t="inlineStr">
        <is>
          <t>LUNES</t>
        </is>
      </c>
      <c r="D35" t="n">
        <v>2</v>
      </c>
      <c r="E35" t="n">
        <v>1</v>
      </c>
      <c r="F35" t="inlineStr">
        <is>
          <t>CLASE</t>
        </is>
      </c>
      <c r="G35" t="inlineStr">
        <is>
          <t>1102</t>
        </is>
      </c>
      <c r="H35" t="inlineStr">
        <is>
          <t>CSI</t>
        </is>
      </c>
      <c r="I35" t="inlineStr"/>
      <c r="J35" t="inlineStr">
        <is>
          <t>Sociales / Inglés (alternan cada semana)</t>
        </is>
      </c>
      <c r="K35" t="inlineStr"/>
      <c r="L35" t="inlineStr">
        <is>
          <t>11°-2</t>
        </is>
      </c>
      <c r="M35" t="inlineStr">
        <is>
          <t>Sociales / Inglés (alternan cada semana)</t>
        </is>
      </c>
      <c r="N35">
        <f>C35&amp;"|"&amp;D35</f>
        <v/>
      </c>
      <c r="O35">
        <f>COUNTIF($N$2:N35,N35)</f>
        <v/>
      </c>
      <c r="P35">
        <f>N35&amp;"|"&amp;O35</f>
        <v/>
      </c>
      <c r="Q35">
        <f>C35&amp;"|"&amp;D35&amp;"|"&amp;A35</f>
        <v/>
      </c>
    </row>
    <row r="36">
      <c r="A36" t="n">
        <v>16</v>
      </c>
      <c r="B36" t="inlineStr">
        <is>
          <t>Cuero Rincón Hernando Jesús</t>
        </is>
      </c>
      <c r="C36" t="inlineStr">
        <is>
          <t>LUNES</t>
        </is>
      </c>
      <c r="D36" t="n">
        <v>2</v>
      </c>
      <c r="E36" t="n">
        <v>1</v>
      </c>
      <c r="F36" t="inlineStr">
        <is>
          <t>CLASE</t>
        </is>
      </c>
      <c r="G36" t="inlineStr">
        <is>
          <t>CS101</t>
        </is>
      </c>
      <c r="H36" t="inlineStr">
        <is>
          <t>CAS</t>
        </is>
      </c>
      <c r="I36" t="inlineStr"/>
      <c r="J36" t="inlineStr"/>
      <c r="K36" t="inlineStr"/>
      <c r="L36" t="inlineStr">
        <is>
          <t>CS 1-1</t>
        </is>
      </c>
      <c r="M36" t="inlineStr"/>
      <c r="N36">
        <f>C36&amp;"|"&amp;D36</f>
        <v/>
      </c>
      <c r="O36">
        <f>COUNTIF($N$2:N36,N36)</f>
        <v/>
      </c>
      <c r="P36">
        <f>N36&amp;"|"&amp;O36</f>
        <v/>
      </c>
      <c r="Q36">
        <f>C36&amp;"|"&amp;D36&amp;"|"&amp;A36</f>
        <v/>
      </c>
    </row>
    <row r="37">
      <c r="A37" t="n">
        <v>42</v>
      </c>
      <c r="B37" t="inlineStr">
        <is>
          <t>Quiñones Cabezas Marcos Vidal</t>
        </is>
      </c>
      <c r="C37" t="inlineStr">
        <is>
          <t>LUNES</t>
        </is>
      </c>
      <c r="D37" t="n">
        <v>2</v>
      </c>
      <c r="E37" t="n">
        <v>1</v>
      </c>
      <c r="F37" t="inlineStr">
        <is>
          <t>CLASE</t>
        </is>
      </c>
      <c r="G37" t="inlineStr">
        <is>
          <t>CS102</t>
        </is>
      </c>
      <c r="H37" t="inlineStr">
        <is>
          <t>TEI</t>
        </is>
      </c>
      <c r="I37" t="inlineStr"/>
      <c r="J37" t="inlineStr"/>
      <c r="K37" t="inlineStr"/>
      <c r="L37" t="inlineStr">
        <is>
          <t>CS 1-2</t>
        </is>
      </c>
      <c r="M37" t="inlineStr"/>
      <c r="N37">
        <f>C37&amp;"|"&amp;D37</f>
        <v/>
      </c>
      <c r="O37">
        <f>COUNTIF($N$2:N37,N37)</f>
        <v/>
      </c>
      <c r="P37">
        <f>N37&amp;"|"&amp;O37</f>
        <v/>
      </c>
      <c r="Q37">
        <f>C37&amp;"|"&amp;D37&amp;"|"&amp;A37</f>
        <v/>
      </c>
    </row>
    <row r="38">
      <c r="A38" t="n">
        <v>19</v>
      </c>
      <c r="B38" t="inlineStr">
        <is>
          <t>Fernández Vélez Alfredo Enrique</t>
        </is>
      </c>
      <c r="C38" t="inlineStr">
        <is>
          <t>LUNES</t>
        </is>
      </c>
      <c r="D38" t="n">
        <v>2</v>
      </c>
      <c r="E38" t="n">
        <v>1</v>
      </c>
      <c r="F38" t="inlineStr">
        <is>
          <t>CLASE</t>
        </is>
      </c>
      <c r="G38" t="inlineStr">
        <is>
          <t>CS201</t>
        </is>
      </c>
      <c r="H38" t="inlineStr">
        <is>
          <t>TEI</t>
        </is>
      </c>
      <c r="I38" t="inlineStr"/>
      <c r="J38" t="inlineStr"/>
      <c r="K38" t="inlineStr"/>
      <c r="L38" t="inlineStr">
        <is>
          <t>CS 2-1</t>
        </is>
      </c>
      <c r="M38" t="inlineStr"/>
      <c r="N38">
        <f>C38&amp;"|"&amp;D38</f>
        <v/>
      </c>
      <c r="O38">
        <f>COUNTIF($N$2:N38,N38)</f>
        <v/>
      </c>
      <c r="P38">
        <f>N38&amp;"|"&amp;O38</f>
        <v/>
      </c>
      <c r="Q38">
        <f>C38&amp;"|"&amp;D38&amp;"|"&amp;A38</f>
        <v/>
      </c>
    </row>
    <row r="39">
      <c r="A39" t="n">
        <v>12</v>
      </c>
      <c r="B39" t="inlineStr">
        <is>
          <t>Chillambo Quiñones María Rocío</t>
        </is>
      </c>
      <c r="C39" t="inlineStr">
        <is>
          <t>LUNES</t>
        </is>
      </c>
      <c r="D39" t="n">
        <v>2</v>
      </c>
      <c r="E39" t="n">
        <v>1</v>
      </c>
      <c r="F39" t="inlineStr">
        <is>
          <t>CLASE</t>
        </is>
      </c>
      <c r="G39" t="inlineStr">
        <is>
          <t>CS202</t>
        </is>
      </c>
      <c r="H39" t="inlineStr">
        <is>
          <t>CNA</t>
        </is>
      </c>
      <c r="I39" t="inlineStr"/>
      <c r="J39" t="inlineStr"/>
      <c r="K39" t="inlineStr"/>
      <c r="L39" t="inlineStr">
        <is>
          <t>CS 2-2</t>
        </is>
      </c>
      <c r="M39" t="inlineStr"/>
      <c r="N39">
        <f>C39&amp;"|"&amp;D39</f>
        <v/>
      </c>
      <c r="O39">
        <f>COUNTIF($N$2:N39,N39)</f>
        <v/>
      </c>
      <c r="P39">
        <f>N39&amp;"|"&amp;O39</f>
        <v/>
      </c>
      <c r="Q39">
        <f>C39&amp;"|"&amp;D39&amp;"|"&amp;A39</f>
        <v/>
      </c>
    </row>
    <row r="40">
      <c r="A40" t="n">
        <v>44</v>
      </c>
      <c r="B40" t="inlineStr">
        <is>
          <t>Samaniego Angulo Flor Mireya</t>
        </is>
      </c>
      <c r="C40" t="inlineStr">
        <is>
          <t>LUNES</t>
        </is>
      </c>
      <c r="D40" t="n">
        <v>2</v>
      </c>
      <c r="E40" t="n">
        <v>1</v>
      </c>
      <c r="F40" t="inlineStr">
        <is>
          <t>ENFASIS</t>
        </is>
      </c>
      <c r="G40" t="inlineStr"/>
      <c r="H40" t="inlineStr">
        <is>
          <t>ART</t>
        </is>
      </c>
      <c r="I40" t="inlineStr">
        <is>
          <t>0701</t>
        </is>
      </c>
      <c r="J40" t="inlineStr">
        <is>
          <t>PAREJA: comparten el énfasis y alternan por semana</t>
        </is>
      </c>
      <c r="K40" t="inlineStr">
        <is>
          <t>Valverde Montaño María Teresa (CAS)</t>
        </is>
      </c>
      <c r="L40" t="inlineStr">
        <is>
          <t>ÉNFASIS 7°-1</t>
        </is>
      </c>
      <c r="M40" t="inlineStr">
        <is>
          <t>PAREJA: comparten el énfasis y alternan por semana · Con: Valverde Montaño María Teresa (CAS)</t>
        </is>
      </c>
      <c r="N40">
        <f>C40&amp;"|"&amp;D40</f>
        <v/>
      </c>
      <c r="O40">
        <f>COUNTIF($N$2:N40,N40)</f>
        <v/>
      </c>
      <c r="P40">
        <f>N40&amp;"|"&amp;O40</f>
        <v/>
      </c>
      <c r="Q40">
        <f>C40&amp;"|"&amp;D40&amp;"|"&amp;A40</f>
        <v/>
      </c>
    </row>
    <row r="41">
      <c r="A41" t="n">
        <v>51</v>
      </c>
      <c r="B41" t="inlineStr">
        <is>
          <t>Valverde Montaño María Teresa</t>
        </is>
      </c>
      <c r="C41" t="inlineStr">
        <is>
          <t>LUNES</t>
        </is>
      </c>
      <c r="D41" t="n">
        <v>2</v>
      </c>
      <c r="E41" t="n">
        <v>1</v>
      </c>
      <c r="F41" t="inlineStr">
        <is>
          <t>ENFASIS</t>
        </is>
      </c>
      <c r="G41" t="inlineStr"/>
      <c r="H41" t="inlineStr">
        <is>
          <t>CAS</t>
        </is>
      </c>
      <c r="I41" t="inlineStr">
        <is>
          <t>0701</t>
        </is>
      </c>
      <c r="J41" t="inlineStr">
        <is>
          <t>PAREJA: comparten el énfasis y alternan por semana</t>
        </is>
      </c>
      <c r="K41" t="inlineStr">
        <is>
          <t>Samaniego Angulo Flor Mireya (ART)</t>
        </is>
      </c>
      <c r="L41" t="inlineStr">
        <is>
          <t>ÉNFASIS 7°-1</t>
        </is>
      </c>
      <c r="M41" t="inlineStr">
        <is>
          <t>PAREJA: comparten el énfasis y alternan por semana · Con: Samaniego Angulo Flor Mireya (ART)</t>
        </is>
      </c>
      <c r="N41">
        <f>C41&amp;"|"&amp;D41</f>
        <v/>
      </c>
      <c r="O41">
        <f>COUNTIF($N$2:N41,N41)</f>
        <v/>
      </c>
      <c r="P41">
        <f>N41&amp;"|"&amp;O41</f>
        <v/>
      </c>
      <c r="Q41">
        <f>C41&amp;"|"&amp;D41&amp;"|"&amp;A41</f>
        <v/>
      </c>
    </row>
    <row r="42">
      <c r="A42" t="n">
        <v>34</v>
      </c>
      <c r="B42" t="inlineStr">
        <is>
          <t>Ordóñez Tenorio Jaime Marcial</t>
        </is>
      </c>
      <c r="C42" t="inlineStr">
        <is>
          <t>LUNES</t>
        </is>
      </c>
      <c r="D42" t="n">
        <v>2</v>
      </c>
      <c r="E42" t="n">
        <v>1</v>
      </c>
      <c r="F42" t="inlineStr">
        <is>
          <t>ENFASIS</t>
        </is>
      </c>
      <c r="G42" t="inlineStr"/>
      <c r="H42" t="inlineStr">
        <is>
          <t>CNA</t>
        </is>
      </c>
      <c r="I42" t="inlineStr">
        <is>
          <t>0702</t>
        </is>
      </c>
      <c r="J42" t="inlineStr">
        <is>
          <t>PAREJA: comparten el énfasis y alternan por semana</t>
        </is>
      </c>
      <c r="K42" t="inlineStr">
        <is>
          <t>Armero Dájome Jesús (ERD)</t>
        </is>
      </c>
      <c r="L42" t="inlineStr">
        <is>
          <t>ÉNFASIS 7°-2</t>
        </is>
      </c>
      <c r="M42" t="inlineStr">
        <is>
          <t>PAREJA: comparten el énfasis y alternan por semana · Con: Armero Dájome Jesús (ERD)</t>
        </is>
      </c>
      <c r="N42">
        <f>C42&amp;"|"&amp;D42</f>
        <v/>
      </c>
      <c r="O42">
        <f>COUNTIF($N$2:N42,N42)</f>
        <v/>
      </c>
      <c r="P42">
        <f>N42&amp;"|"&amp;O42</f>
        <v/>
      </c>
      <c r="Q42">
        <f>C42&amp;"|"&amp;D42&amp;"|"&amp;A42</f>
        <v/>
      </c>
    </row>
    <row r="43">
      <c r="A43" t="n">
        <v>4</v>
      </c>
      <c r="B43" t="inlineStr">
        <is>
          <t>Arizala Castro Roberto Carlos</t>
        </is>
      </c>
      <c r="C43" t="inlineStr">
        <is>
          <t>LUNES</t>
        </is>
      </c>
      <c r="D43" t="n">
        <v>2</v>
      </c>
      <c r="E43" t="n">
        <v>1</v>
      </c>
      <c r="F43" t="inlineStr">
        <is>
          <t>ENFASIS</t>
        </is>
      </c>
      <c r="G43" t="inlineStr"/>
      <c r="H43" t="inlineStr">
        <is>
          <t>ERD</t>
        </is>
      </c>
      <c r="I43" t="inlineStr">
        <is>
          <t>0702</t>
        </is>
      </c>
      <c r="J43" t="inlineStr">
        <is>
          <t>PAREJA: comparten el énfasis y alternan por semana</t>
        </is>
      </c>
      <c r="K43" t="inlineStr">
        <is>
          <t>Ordóñez Tenorio Jaime Marcial (CNA)</t>
        </is>
      </c>
      <c r="L43" t="inlineStr">
        <is>
          <t>ÉNFASIS 7°-2</t>
        </is>
      </c>
      <c r="M43" t="inlineStr">
        <is>
          <t>PAREJA: comparten el énfasis y alternan por semana · Con: Ordóñez Tenorio Jaime Marcial (CNA)</t>
        </is>
      </c>
      <c r="N43">
        <f>C43&amp;"|"&amp;D43</f>
        <v/>
      </c>
      <c r="O43">
        <f>COUNTIF($N$2:N43,N43)</f>
        <v/>
      </c>
      <c r="P43">
        <f>N43&amp;"|"&amp;O43</f>
        <v/>
      </c>
      <c r="Q43">
        <f>C43&amp;"|"&amp;D43&amp;"|"&amp;A43</f>
        <v/>
      </c>
    </row>
    <row r="44">
      <c r="A44" t="n">
        <v>8</v>
      </c>
      <c r="B44" t="inlineStr">
        <is>
          <t>Casanova Quiñones Yoli del Carmen</t>
        </is>
      </c>
      <c r="C44" t="inlineStr">
        <is>
          <t>LUNES</t>
        </is>
      </c>
      <c r="D44" t="n">
        <v>2</v>
      </c>
      <c r="E44" t="n">
        <v>1</v>
      </c>
      <c r="F44" t="inlineStr">
        <is>
          <t>ENFASIS</t>
        </is>
      </c>
      <c r="G44" t="inlineStr"/>
      <c r="H44" t="inlineStr">
        <is>
          <t>ETR</t>
        </is>
      </c>
      <c r="I44" t="inlineStr">
        <is>
          <t>0703</t>
        </is>
      </c>
      <c r="J44" t="inlineStr">
        <is>
          <t>PAREJA: comparten el énfasis y alternan por semana</t>
        </is>
      </c>
      <c r="K44" t="inlineStr">
        <is>
          <t>Quintero Ramírez María del Carmen (CSI)</t>
        </is>
      </c>
      <c r="L44" t="inlineStr">
        <is>
          <t>ÉNFASIS 7°-3</t>
        </is>
      </c>
      <c r="M44" t="inlineStr">
        <is>
          <t>PAREJA: comparten el énfasis y alternan por semana · Con: Quintero Ramírez María del Carmen (CSI)</t>
        </is>
      </c>
      <c r="N44">
        <f>C44&amp;"|"&amp;D44</f>
        <v/>
      </c>
      <c r="O44">
        <f>COUNTIF($N$2:N44,N44)</f>
        <v/>
      </c>
      <c r="P44">
        <f>N44&amp;"|"&amp;O44</f>
        <v/>
      </c>
      <c r="Q44">
        <f>C44&amp;"|"&amp;D44&amp;"|"&amp;A44</f>
        <v/>
      </c>
    </row>
    <row r="45">
      <c r="A45" t="n">
        <v>41</v>
      </c>
      <c r="B45" t="inlineStr">
        <is>
          <t>Quintero Ramírez María del Carmen</t>
        </is>
      </c>
      <c r="C45" t="inlineStr">
        <is>
          <t>LUNES</t>
        </is>
      </c>
      <c r="D45" t="n">
        <v>2</v>
      </c>
      <c r="E45" t="n">
        <v>1</v>
      </c>
      <c r="F45" t="inlineStr">
        <is>
          <t>ENFASIS</t>
        </is>
      </c>
      <c r="G45" t="inlineStr"/>
      <c r="H45" t="inlineStr">
        <is>
          <t>CSI</t>
        </is>
      </c>
      <c r="I45" t="inlineStr">
        <is>
          <t>0703</t>
        </is>
      </c>
      <c r="J45" t="inlineStr">
        <is>
          <t>PAREJA: comparten el énfasis y alternan por semana</t>
        </is>
      </c>
      <c r="K45" t="inlineStr">
        <is>
          <t>Casanova Quiñones Yoli del Carmen (ETR)</t>
        </is>
      </c>
      <c r="L45" t="inlineStr">
        <is>
          <t>ÉNFASIS 7°-3</t>
        </is>
      </c>
      <c r="M45" t="inlineStr">
        <is>
          <t>PAREJA: comparten el énfasis y alternan por semana · Con: Casanova Quiñones Yoli del Carmen (ETR)</t>
        </is>
      </c>
      <c r="N45">
        <f>C45&amp;"|"&amp;D45</f>
        <v/>
      </c>
      <c r="O45">
        <f>COUNTIF($N$2:N45,N45)</f>
        <v/>
      </c>
      <c r="P45">
        <f>N45&amp;"|"&amp;O45</f>
        <v/>
      </c>
      <c r="Q45">
        <f>C45&amp;"|"&amp;D45&amp;"|"&amp;A45</f>
        <v/>
      </c>
    </row>
    <row r="46">
      <c r="A46" t="n">
        <v>3</v>
      </c>
      <c r="B46" t="inlineStr">
        <is>
          <t>Arboleda Ortiz Luz América</t>
        </is>
      </c>
      <c r="C46" t="inlineStr">
        <is>
          <t>LUNES</t>
        </is>
      </c>
      <c r="D46" t="n">
        <v>2</v>
      </c>
      <c r="E46" t="n">
        <v>1</v>
      </c>
      <c r="F46" t="inlineStr">
        <is>
          <t>ENFASIS</t>
        </is>
      </c>
      <c r="G46" t="inlineStr"/>
      <c r="H46" t="inlineStr">
        <is>
          <t>ART</t>
        </is>
      </c>
      <c r="I46" t="inlineStr">
        <is>
          <t>1001</t>
        </is>
      </c>
      <c r="J46" t="inlineStr">
        <is>
          <t>EQUIPO DE 4: cada docente atiende un grupo de estudiantes en su área</t>
        </is>
      </c>
      <c r="K46" t="inlineStr">
        <is>
          <t>Montaño Anchico Favio Héctor (CAS); Ramírez Guerra Jimmy Eduardo (ERD); Villota Rubio Héctor Hugo (CNA)</t>
        </is>
      </c>
      <c r="L46" t="inlineStr">
        <is>
          <t>ÉNFASIS 10°-1</t>
        </is>
      </c>
      <c r="M46" t="inlineStr">
        <is>
          <t>EQUIPO DE 4: cada docente atiende un grupo de estudiantes en su área · Con: Montaño Anchico Favio Héctor (CAS); Ramírez Guerra Jimmy Eduardo (ERD); Villota Rubio Héctor Hugo (CNA)</t>
        </is>
      </c>
      <c r="N46">
        <f>C46&amp;"|"&amp;D46</f>
        <v/>
      </c>
      <c r="O46">
        <f>COUNTIF($N$2:N46,N46)</f>
        <v/>
      </c>
      <c r="P46">
        <f>N46&amp;"|"&amp;O46</f>
        <v/>
      </c>
      <c r="Q46">
        <f>C46&amp;"|"&amp;D46&amp;"|"&amp;A46</f>
        <v/>
      </c>
    </row>
    <row r="47">
      <c r="A47" t="n">
        <v>30</v>
      </c>
      <c r="B47" t="inlineStr">
        <is>
          <t>Montaño Anchico Favio Héctor</t>
        </is>
      </c>
      <c r="C47" t="inlineStr">
        <is>
          <t>LUNES</t>
        </is>
      </c>
      <c r="D47" t="n">
        <v>2</v>
      </c>
      <c r="E47" t="n">
        <v>1</v>
      </c>
      <c r="F47" t="inlineStr">
        <is>
          <t>ENFASIS</t>
        </is>
      </c>
      <c r="G47" t="inlineStr"/>
      <c r="H47" t="inlineStr">
        <is>
          <t>CAS</t>
        </is>
      </c>
      <c r="I47" t="inlineStr">
        <is>
          <t>1001</t>
        </is>
      </c>
      <c r="J47" t="inlineStr">
        <is>
          <t>EQUIPO DE 4: cada docente atiende un grupo de estudiantes en su área</t>
        </is>
      </c>
      <c r="K47" t="inlineStr">
        <is>
          <t>Arboleda Ortiz Luz América (ART); Ramírez Guerra Jimmy Eduardo (ERD); Villota Rubio Héctor Hugo (CNA)</t>
        </is>
      </c>
      <c r="L47" t="inlineStr">
        <is>
          <t>ÉNFASIS 10°-1</t>
        </is>
      </c>
      <c r="M47" t="inlineStr">
        <is>
          <t>EQUIPO DE 4: cada docente atiende un grupo de estudiantes en su área · Con: Arboleda Ortiz Luz América (ART); Ramírez Guerra Jimmy Eduardo (ERD); Villota Rubio Héctor Hugo (CNA)</t>
        </is>
      </c>
      <c r="N47">
        <f>C47&amp;"|"&amp;D47</f>
        <v/>
      </c>
      <c r="O47">
        <f>COUNTIF($N$2:N47,N47)</f>
        <v/>
      </c>
      <c r="P47">
        <f>N47&amp;"|"&amp;O47</f>
        <v/>
      </c>
      <c r="Q47">
        <f>C47&amp;"|"&amp;D47&amp;"|"&amp;A47</f>
        <v/>
      </c>
    </row>
    <row r="48">
      <c r="A48" t="n">
        <v>43</v>
      </c>
      <c r="B48" t="inlineStr">
        <is>
          <t>Ramírez Guerra Jimmy Eduardo</t>
        </is>
      </c>
      <c r="C48" t="inlineStr">
        <is>
          <t>LUNES</t>
        </is>
      </c>
      <c r="D48" t="n">
        <v>2</v>
      </c>
      <c r="E48" t="n">
        <v>1</v>
      </c>
      <c r="F48" t="inlineStr">
        <is>
          <t>ENFASIS</t>
        </is>
      </c>
      <c r="G48" t="inlineStr"/>
      <c r="H48" t="inlineStr">
        <is>
          <t>ERD</t>
        </is>
      </c>
      <c r="I48" t="inlineStr">
        <is>
          <t>1001</t>
        </is>
      </c>
      <c r="J48" t="inlineStr">
        <is>
          <t>EQUIPO DE 4: cada docente atiende un grupo de estudiantes en su área</t>
        </is>
      </c>
      <c r="K48" t="inlineStr">
        <is>
          <t>Arboleda Ortiz Luz América (ART); Montaño Anchico Favio Héctor (CAS); Villota Rubio Héctor Hugo (CNA)</t>
        </is>
      </c>
      <c r="L48" t="inlineStr">
        <is>
          <t>ÉNFASIS 10°-1</t>
        </is>
      </c>
      <c r="M48" t="inlineStr">
        <is>
          <t>EQUIPO DE 4: cada docente atiende un grupo de estudiantes en su área · Con: Arboleda Ortiz Luz América (ART); Montaño Anchico Favio Héctor (CAS); Villota Rubio Héctor Hugo (CNA)</t>
        </is>
      </c>
      <c r="N48">
        <f>C48&amp;"|"&amp;D48</f>
        <v/>
      </c>
      <c r="O48">
        <f>COUNTIF($N$2:N48,N48)</f>
        <v/>
      </c>
      <c r="P48">
        <f>N48&amp;"|"&amp;O48</f>
        <v/>
      </c>
      <c r="Q48">
        <f>C48&amp;"|"&amp;D48&amp;"|"&amp;A48</f>
        <v/>
      </c>
    </row>
    <row r="49">
      <c r="A49" t="n">
        <v>53</v>
      </c>
      <c r="B49" t="inlineStr">
        <is>
          <t>Villota Rubio Héctor Hugo</t>
        </is>
      </c>
      <c r="C49" t="inlineStr">
        <is>
          <t>LUNES</t>
        </is>
      </c>
      <c r="D49" t="n">
        <v>2</v>
      </c>
      <c r="E49" t="n">
        <v>1</v>
      </c>
      <c r="F49" t="inlineStr">
        <is>
          <t>ENFASIS</t>
        </is>
      </c>
      <c r="G49" t="inlineStr"/>
      <c r="H49" t="inlineStr">
        <is>
          <t>CNA</t>
        </is>
      </c>
      <c r="I49" t="inlineStr">
        <is>
          <t>1001</t>
        </is>
      </c>
      <c r="J49" t="inlineStr">
        <is>
          <t>EQUIPO DE 4: cada docente atiende un grupo de estudiantes en su área</t>
        </is>
      </c>
      <c r="K49" t="inlineStr">
        <is>
          <t>Arboleda Ortiz Luz América (ART); Montaño Anchico Favio Héctor (CAS); Ramírez Guerra Jimmy Eduardo (ERD)</t>
        </is>
      </c>
      <c r="L49" t="inlineStr">
        <is>
          <t>ÉNFASIS 10°-1</t>
        </is>
      </c>
      <c r="M49" t="inlineStr">
        <is>
          <t>EQUIPO DE 4: cada docente atiende un grupo de estudiantes en su área · Con: Arboleda Ortiz Luz América (ART); Montaño Anchico Favio Héctor (CAS); Ramírez Guerra Jimmy Eduardo (ERD)</t>
        </is>
      </c>
      <c r="N49">
        <f>C49&amp;"|"&amp;D49</f>
        <v/>
      </c>
      <c r="O49">
        <f>COUNTIF($N$2:N49,N49)</f>
        <v/>
      </c>
      <c r="P49">
        <f>N49&amp;"|"&amp;O49</f>
        <v/>
      </c>
      <c r="Q49">
        <f>C49&amp;"|"&amp;D49&amp;"|"&amp;A49</f>
        <v/>
      </c>
    </row>
    <row r="50">
      <c r="A50" t="n">
        <v>16</v>
      </c>
      <c r="B50" t="inlineStr">
        <is>
          <t>Cuero Rincón Hernando Jesús</t>
        </is>
      </c>
      <c r="C50" t="inlineStr">
        <is>
          <t>LUNES</t>
        </is>
      </c>
      <c r="D50" t="n">
        <v>3</v>
      </c>
      <c r="E50" t="n">
        <v>2</v>
      </c>
      <c r="F50" t="inlineStr">
        <is>
          <t>CLASE</t>
        </is>
      </c>
      <c r="G50" t="inlineStr">
        <is>
          <t>0601</t>
        </is>
      </c>
      <c r="H50" t="inlineStr">
        <is>
          <t>CAS</t>
        </is>
      </c>
      <c r="I50" t="inlineStr"/>
      <c r="J50" t="inlineStr"/>
      <c r="K50" t="inlineStr"/>
      <c r="L50" t="inlineStr">
        <is>
          <t>6°-1</t>
        </is>
      </c>
      <c r="M50" t="inlineStr"/>
      <c r="N50">
        <f>C50&amp;"|"&amp;D50</f>
        <v/>
      </c>
      <c r="O50">
        <f>COUNTIF($N$2:N50,N50)</f>
        <v/>
      </c>
      <c r="P50">
        <f>N50&amp;"|"&amp;O50</f>
        <v/>
      </c>
      <c r="Q50">
        <f>C50&amp;"|"&amp;D50&amp;"|"&amp;A50</f>
        <v/>
      </c>
    </row>
    <row r="51">
      <c r="A51" t="n">
        <v>37</v>
      </c>
      <c r="B51" t="inlineStr">
        <is>
          <t>Prado Quiñones Genís Maribel</t>
        </is>
      </c>
      <c r="C51" t="inlineStr">
        <is>
          <t>LUNES</t>
        </is>
      </c>
      <c r="D51" t="n">
        <v>3</v>
      </c>
      <c r="E51" t="n">
        <v>2</v>
      </c>
      <c r="F51" t="inlineStr">
        <is>
          <t>CLASE</t>
        </is>
      </c>
      <c r="G51" t="inlineStr">
        <is>
          <t>0602</t>
        </is>
      </c>
      <c r="H51" t="inlineStr">
        <is>
          <t>ART</t>
        </is>
      </c>
      <c r="I51" t="inlineStr"/>
      <c r="J51" t="inlineStr"/>
      <c r="K51" t="inlineStr"/>
      <c r="L51" t="inlineStr">
        <is>
          <t>6°-2</t>
        </is>
      </c>
      <c r="M51" t="inlineStr"/>
      <c r="N51">
        <f>C51&amp;"|"&amp;D51</f>
        <v/>
      </c>
      <c r="O51">
        <f>COUNTIF($N$2:N51,N51)</f>
        <v/>
      </c>
      <c r="P51">
        <f>N51&amp;"|"&amp;O51</f>
        <v/>
      </c>
      <c r="Q51">
        <f>C51&amp;"|"&amp;D51&amp;"|"&amp;A51</f>
        <v/>
      </c>
    </row>
    <row r="52">
      <c r="A52" t="n">
        <v>52</v>
      </c>
      <c r="B52" t="inlineStr">
        <is>
          <t>Vásquez Valencia Segundo Leoncio</t>
        </is>
      </c>
      <c r="C52" t="inlineStr">
        <is>
          <t>LUNES</t>
        </is>
      </c>
      <c r="D52" t="n">
        <v>3</v>
      </c>
      <c r="E52" t="n">
        <v>2</v>
      </c>
      <c r="F52" t="inlineStr">
        <is>
          <t>CLASE</t>
        </is>
      </c>
      <c r="G52" t="inlineStr">
        <is>
          <t>0701</t>
        </is>
      </c>
      <c r="H52" t="inlineStr">
        <is>
          <t>MAT</t>
        </is>
      </c>
      <c r="I52" t="inlineStr"/>
      <c r="J52" t="inlineStr"/>
      <c r="K52" t="inlineStr"/>
      <c r="L52" t="inlineStr">
        <is>
          <t>7°-1</t>
        </is>
      </c>
      <c r="M52" t="inlineStr"/>
      <c r="N52">
        <f>C52&amp;"|"&amp;D52</f>
        <v/>
      </c>
      <c r="O52">
        <f>COUNTIF($N$2:N52,N52)</f>
        <v/>
      </c>
      <c r="P52">
        <f>N52&amp;"|"&amp;O52</f>
        <v/>
      </c>
      <c r="Q52">
        <f>C52&amp;"|"&amp;D52&amp;"|"&amp;A52</f>
        <v/>
      </c>
    </row>
    <row r="53">
      <c r="A53" t="n">
        <v>4</v>
      </c>
      <c r="B53" t="inlineStr">
        <is>
          <t>Arizala Castro Roberto Carlos</t>
        </is>
      </c>
      <c r="C53" t="inlineStr">
        <is>
          <t>LUNES</t>
        </is>
      </c>
      <c r="D53" t="n">
        <v>3</v>
      </c>
      <c r="E53" t="n">
        <v>2</v>
      </c>
      <c r="F53" t="inlineStr">
        <is>
          <t>CLASE</t>
        </is>
      </c>
      <c r="G53" t="inlineStr">
        <is>
          <t>0702</t>
        </is>
      </c>
      <c r="H53" t="inlineStr">
        <is>
          <t>ERD</t>
        </is>
      </c>
      <c r="I53" t="inlineStr"/>
      <c r="J53" t="inlineStr"/>
      <c r="K53" t="inlineStr"/>
      <c r="L53" t="inlineStr">
        <is>
          <t>7°-2</t>
        </is>
      </c>
      <c r="M53" t="inlineStr"/>
      <c r="N53">
        <f>C53&amp;"|"&amp;D53</f>
        <v/>
      </c>
      <c r="O53">
        <f>COUNTIF($N$2:N53,N53)</f>
        <v/>
      </c>
      <c r="P53">
        <f>N53&amp;"|"&amp;O53</f>
        <v/>
      </c>
      <c r="Q53">
        <f>C53&amp;"|"&amp;D53&amp;"|"&amp;A53</f>
        <v/>
      </c>
    </row>
    <row r="54">
      <c r="A54" t="n">
        <v>34</v>
      </c>
      <c r="B54" t="inlineStr">
        <is>
          <t>Ordóñez Tenorio Jaime Marcial</t>
        </is>
      </c>
      <c r="C54" t="inlineStr">
        <is>
          <t>LUNES</t>
        </is>
      </c>
      <c r="D54" t="n">
        <v>3</v>
      </c>
      <c r="E54" t="n">
        <v>2</v>
      </c>
      <c r="F54" t="inlineStr">
        <is>
          <t>CLASE</t>
        </is>
      </c>
      <c r="G54" t="inlineStr">
        <is>
          <t>0703</t>
        </is>
      </c>
      <c r="H54" t="inlineStr">
        <is>
          <t>CNA</t>
        </is>
      </c>
      <c r="I54" t="inlineStr"/>
      <c r="J54" t="inlineStr"/>
      <c r="K54" t="inlineStr"/>
      <c r="L54" t="inlineStr">
        <is>
          <t>7°-3</t>
        </is>
      </c>
      <c r="M54" t="inlineStr"/>
      <c r="N54">
        <f>C54&amp;"|"&amp;D54</f>
        <v/>
      </c>
      <c r="O54">
        <f>COUNTIF($N$2:N54,N54)</f>
        <v/>
      </c>
      <c r="P54">
        <f>N54&amp;"|"&amp;O54</f>
        <v/>
      </c>
      <c r="Q54">
        <f>C54&amp;"|"&amp;D54&amp;"|"&amp;A54</f>
        <v/>
      </c>
    </row>
    <row r="55">
      <c r="A55" t="n">
        <v>8</v>
      </c>
      <c r="B55" t="inlineStr">
        <is>
          <t>Casanova Quiñones Yoli del Carmen</t>
        </is>
      </c>
      <c r="C55" t="inlineStr">
        <is>
          <t>LUNES</t>
        </is>
      </c>
      <c r="D55" t="n">
        <v>3</v>
      </c>
      <c r="E55" t="n">
        <v>2</v>
      </c>
      <c r="F55" t="inlineStr">
        <is>
          <t>CLASE</t>
        </is>
      </c>
      <c r="G55" t="inlineStr">
        <is>
          <t>0704</t>
        </is>
      </c>
      <c r="H55" t="inlineStr">
        <is>
          <t>ETR</t>
        </is>
      </c>
      <c r="I55" t="inlineStr"/>
      <c r="J55" t="inlineStr">
        <is>
          <t>Ética / Religión (alternan cada semana)</t>
        </is>
      </c>
      <c r="K55" t="inlineStr"/>
      <c r="L55" t="inlineStr">
        <is>
          <t>7°-4</t>
        </is>
      </c>
      <c r="M55" t="inlineStr">
        <is>
          <t>Ética / Religión (alternan cada semana)</t>
        </is>
      </c>
      <c r="N55">
        <f>C55&amp;"|"&amp;D55</f>
        <v/>
      </c>
      <c r="O55">
        <f>COUNTIF($N$2:N55,N55)</f>
        <v/>
      </c>
      <c r="P55">
        <f>N55&amp;"|"&amp;O55</f>
        <v/>
      </c>
      <c r="Q55">
        <f>C55&amp;"|"&amp;D55&amp;"|"&amp;A55</f>
        <v/>
      </c>
    </row>
    <row r="56">
      <c r="A56" t="n">
        <v>19</v>
      </c>
      <c r="B56" t="inlineStr">
        <is>
          <t>Fernández Vélez Alfredo Enrique</t>
        </is>
      </c>
      <c r="C56" t="inlineStr">
        <is>
          <t>LUNES</t>
        </is>
      </c>
      <c r="D56" t="n">
        <v>3</v>
      </c>
      <c r="E56" t="n">
        <v>2</v>
      </c>
      <c r="F56" t="inlineStr">
        <is>
          <t>CLASE</t>
        </is>
      </c>
      <c r="G56" t="inlineStr">
        <is>
          <t>0801</t>
        </is>
      </c>
      <c r="H56" t="inlineStr">
        <is>
          <t>TEI</t>
        </is>
      </c>
      <c r="I56" t="inlineStr"/>
      <c r="J56" t="inlineStr"/>
      <c r="K56" t="inlineStr"/>
      <c r="L56" t="inlineStr">
        <is>
          <t>8°-1</t>
        </is>
      </c>
      <c r="M56" t="inlineStr"/>
      <c r="N56">
        <f>C56&amp;"|"&amp;D56</f>
        <v/>
      </c>
      <c r="O56">
        <f>COUNTIF($N$2:N56,N56)</f>
        <v/>
      </c>
      <c r="P56">
        <f>N56&amp;"|"&amp;O56</f>
        <v/>
      </c>
      <c r="Q56">
        <f>C56&amp;"|"&amp;D56&amp;"|"&amp;A56</f>
        <v/>
      </c>
    </row>
    <row r="57">
      <c r="A57" t="n">
        <v>51</v>
      </c>
      <c r="B57" t="inlineStr">
        <is>
          <t>Valverde Montaño María Teresa</t>
        </is>
      </c>
      <c r="C57" t="inlineStr">
        <is>
          <t>LUNES</t>
        </is>
      </c>
      <c r="D57" t="n">
        <v>3</v>
      </c>
      <c r="E57" t="n">
        <v>2</v>
      </c>
      <c r="F57" t="inlineStr">
        <is>
          <t>CLASE</t>
        </is>
      </c>
      <c r="G57" t="inlineStr">
        <is>
          <t>0802</t>
        </is>
      </c>
      <c r="H57" t="inlineStr">
        <is>
          <t>CAS</t>
        </is>
      </c>
      <c r="I57" t="inlineStr"/>
      <c r="J57" t="inlineStr"/>
      <c r="K57" t="inlineStr"/>
      <c r="L57" t="inlineStr">
        <is>
          <t>8°-2</t>
        </is>
      </c>
      <c r="M57" t="inlineStr"/>
      <c r="N57">
        <f>C57&amp;"|"&amp;D57</f>
        <v/>
      </c>
      <c r="O57">
        <f>COUNTIF($N$2:N57,N57)</f>
        <v/>
      </c>
      <c r="P57">
        <f>N57&amp;"|"&amp;O57</f>
        <v/>
      </c>
      <c r="Q57">
        <f>C57&amp;"|"&amp;D57&amp;"|"&amp;A57</f>
        <v/>
      </c>
    </row>
    <row r="58">
      <c r="A58" t="n">
        <v>29</v>
      </c>
      <c r="B58" t="inlineStr">
        <is>
          <t>Mindineros Satizábal John Jáver</t>
        </is>
      </c>
      <c r="C58" t="inlineStr">
        <is>
          <t>LUNES</t>
        </is>
      </c>
      <c r="D58" t="n">
        <v>3</v>
      </c>
      <c r="E58" t="n">
        <v>2</v>
      </c>
      <c r="F58" t="inlineStr">
        <is>
          <t>CLASE</t>
        </is>
      </c>
      <c r="G58" t="inlineStr">
        <is>
          <t>0902</t>
        </is>
      </c>
      <c r="H58" t="inlineStr">
        <is>
          <t>TEI</t>
        </is>
      </c>
      <c r="I58" t="inlineStr"/>
      <c r="J58" t="inlineStr"/>
      <c r="K58" t="inlineStr"/>
      <c r="L58" t="inlineStr">
        <is>
          <t>9°-2</t>
        </is>
      </c>
      <c r="M58" t="inlineStr"/>
      <c r="N58">
        <f>C58&amp;"|"&amp;D58</f>
        <v/>
      </c>
      <c r="O58">
        <f>COUNTIF($N$2:N58,N58)</f>
        <v/>
      </c>
      <c r="P58">
        <f>N58&amp;"|"&amp;O58</f>
        <v/>
      </c>
      <c r="Q58">
        <f>C58&amp;"|"&amp;D58&amp;"|"&amp;A58</f>
        <v/>
      </c>
    </row>
    <row r="59">
      <c r="A59" t="n">
        <v>6</v>
      </c>
      <c r="B59" t="inlineStr">
        <is>
          <t>Betancourth Ocampo Yohana Patricia</t>
        </is>
      </c>
      <c r="C59" t="inlineStr">
        <is>
          <t>LUNES</t>
        </is>
      </c>
      <c r="D59" t="n">
        <v>3</v>
      </c>
      <c r="E59" t="n">
        <v>2</v>
      </c>
      <c r="F59" t="inlineStr">
        <is>
          <t>CLASE</t>
        </is>
      </c>
      <c r="G59" t="inlineStr">
        <is>
          <t>1001</t>
        </is>
      </c>
      <c r="H59" t="inlineStr">
        <is>
          <t>CSI</t>
        </is>
      </c>
      <c r="I59" t="inlineStr"/>
      <c r="J59" t="inlineStr">
        <is>
          <t>Sociales / Inglés (alternan cada semana)</t>
        </is>
      </c>
      <c r="K59" t="inlineStr"/>
      <c r="L59" t="inlineStr">
        <is>
          <t>10°-1</t>
        </is>
      </c>
      <c r="M59" t="inlineStr">
        <is>
          <t>Sociales / Inglés (alternan cada semana)</t>
        </is>
      </c>
      <c r="N59">
        <f>C59&amp;"|"&amp;D59</f>
        <v/>
      </c>
      <c r="O59">
        <f>COUNTIF($N$2:N59,N59)</f>
        <v/>
      </c>
      <c r="P59">
        <f>N59&amp;"|"&amp;O59</f>
        <v/>
      </c>
      <c r="Q59">
        <f>C59&amp;"|"&amp;D59&amp;"|"&amp;A59</f>
        <v/>
      </c>
    </row>
    <row r="60">
      <c r="A60" t="n">
        <v>3</v>
      </c>
      <c r="B60" t="inlineStr">
        <is>
          <t>Arboleda Ortiz Luz América</t>
        </is>
      </c>
      <c r="C60" t="inlineStr">
        <is>
          <t>LUNES</t>
        </is>
      </c>
      <c r="D60" t="n">
        <v>3</v>
      </c>
      <c r="E60" t="n">
        <v>2</v>
      </c>
      <c r="F60" t="inlineStr">
        <is>
          <t>CLASE</t>
        </is>
      </c>
      <c r="G60" t="inlineStr">
        <is>
          <t>1002</t>
        </is>
      </c>
      <c r="H60" t="inlineStr">
        <is>
          <t>ART</t>
        </is>
      </c>
      <c r="I60" t="inlineStr"/>
      <c r="J60" t="inlineStr"/>
      <c r="K60" t="inlineStr"/>
      <c r="L60" t="inlineStr">
        <is>
          <t>10°-2</t>
        </is>
      </c>
      <c r="M60" t="inlineStr"/>
      <c r="N60">
        <f>C60&amp;"|"&amp;D60</f>
        <v/>
      </c>
      <c r="O60">
        <f>COUNTIF($N$2:N60,N60)</f>
        <v/>
      </c>
      <c r="P60">
        <f>N60&amp;"|"&amp;O60</f>
        <v/>
      </c>
      <c r="Q60">
        <f>C60&amp;"|"&amp;D60&amp;"|"&amp;A60</f>
        <v/>
      </c>
    </row>
    <row r="61">
      <c r="A61" t="n">
        <v>53</v>
      </c>
      <c r="B61" t="inlineStr">
        <is>
          <t>Villota Rubio Héctor Hugo</t>
        </is>
      </c>
      <c r="C61" t="inlineStr">
        <is>
          <t>LUNES</t>
        </is>
      </c>
      <c r="D61" t="n">
        <v>3</v>
      </c>
      <c r="E61" t="n">
        <v>2</v>
      </c>
      <c r="F61" t="inlineStr">
        <is>
          <t>CLASE</t>
        </is>
      </c>
      <c r="G61" t="inlineStr">
        <is>
          <t>1101</t>
        </is>
      </c>
      <c r="H61" t="inlineStr">
        <is>
          <t>CNA</t>
        </is>
      </c>
      <c r="I61" t="inlineStr"/>
      <c r="J61" t="inlineStr"/>
      <c r="K61" t="inlineStr"/>
      <c r="L61" t="inlineStr">
        <is>
          <t>11°-1</t>
        </is>
      </c>
      <c r="M61" t="inlineStr"/>
      <c r="N61">
        <f>C61&amp;"|"&amp;D61</f>
        <v/>
      </c>
      <c r="O61">
        <f>COUNTIF($N$2:N61,N61)</f>
        <v/>
      </c>
      <c r="P61">
        <f>N61&amp;"|"&amp;O61</f>
        <v/>
      </c>
      <c r="Q61">
        <f>C61&amp;"|"&amp;D61&amp;"|"&amp;A61</f>
        <v/>
      </c>
    </row>
    <row r="62">
      <c r="A62" t="n">
        <v>26</v>
      </c>
      <c r="B62" t="inlineStr">
        <is>
          <t>Lozano Torres Amanda Inés</t>
        </is>
      </c>
      <c r="C62" t="inlineStr">
        <is>
          <t>LUNES</t>
        </is>
      </c>
      <c r="D62" t="n">
        <v>3</v>
      </c>
      <c r="E62" t="n">
        <v>2</v>
      </c>
      <c r="F62" t="inlineStr">
        <is>
          <t>CLASE</t>
        </is>
      </c>
      <c r="G62" t="inlineStr">
        <is>
          <t>CS101</t>
        </is>
      </c>
      <c r="H62" t="inlineStr">
        <is>
          <t>ETR</t>
        </is>
      </c>
      <c r="I62" t="inlineStr"/>
      <c r="J62" t="inlineStr">
        <is>
          <t>Ética / Religión (alternan cada semana)</t>
        </is>
      </c>
      <c r="K62" t="inlineStr"/>
      <c r="L62" t="inlineStr">
        <is>
          <t>CS 1-1</t>
        </is>
      </c>
      <c r="M62" t="inlineStr">
        <is>
          <t>Ética / Religión (alternan cada semana)</t>
        </is>
      </c>
      <c r="N62">
        <f>C62&amp;"|"&amp;D62</f>
        <v/>
      </c>
      <c r="O62">
        <f>COUNTIF($N$2:N62,N62)</f>
        <v/>
      </c>
      <c r="P62">
        <f>N62&amp;"|"&amp;O62</f>
        <v/>
      </c>
      <c r="Q62">
        <f>C62&amp;"|"&amp;D62&amp;"|"&amp;A62</f>
        <v/>
      </c>
    </row>
    <row r="63">
      <c r="A63" t="n">
        <v>57</v>
      </c>
      <c r="B63" t="inlineStr">
        <is>
          <t>Armero Dájome Jesús</t>
        </is>
      </c>
      <c r="C63" t="inlineStr">
        <is>
          <t>LUNES</t>
        </is>
      </c>
      <c r="D63" t="n">
        <v>3</v>
      </c>
      <c r="E63" t="n">
        <v>2</v>
      </c>
      <c r="F63" t="inlineStr">
        <is>
          <t>CLASE</t>
        </is>
      </c>
      <c r="G63" t="inlineStr">
        <is>
          <t>CS102</t>
        </is>
      </c>
      <c r="H63" t="inlineStr">
        <is>
          <t>ERD</t>
        </is>
      </c>
      <c r="I63" t="inlineStr"/>
      <c r="J63" t="inlineStr"/>
      <c r="K63" t="inlineStr"/>
      <c r="L63" t="inlineStr">
        <is>
          <t>CS 1-2</t>
        </is>
      </c>
      <c r="M63" t="inlineStr"/>
      <c r="N63">
        <f>C63&amp;"|"&amp;D63</f>
        <v/>
      </c>
      <c r="O63">
        <f>COUNTIF($N$2:N63,N63)</f>
        <v/>
      </c>
      <c r="P63">
        <f>N63&amp;"|"&amp;O63</f>
        <v/>
      </c>
      <c r="Q63">
        <f>C63&amp;"|"&amp;D63&amp;"|"&amp;A63</f>
        <v/>
      </c>
    </row>
    <row r="64">
      <c r="A64" t="n">
        <v>44</v>
      </c>
      <c r="B64" t="inlineStr">
        <is>
          <t>Samaniego Angulo Flor Mireya</t>
        </is>
      </c>
      <c r="C64" t="inlineStr">
        <is>
          <t>LUNES</t>
        </is>
      </c>
      <c r="D64" t="n">
        <v>3</v>
      </c>
      <c r="E64" t="n">
        <v>2</v>
      </c>
      <c r="F64" t="inlineStr">
        <is>
          <t>CLASE</t>
        </is>
      </c>
      <c r="G64" t="inlineStr">
        <is>
          <t>CS201</t>
        </is>
      </c>
      <c r="H64" t="inlineStr">
        <is>
          <t>ART</t>
        </is>
      </c>
      <c r="I64" t="inlineStr"/>
      <c r="J64" t="inlineStr"/>
      <c r="K64" t="inlineStr"/>
      <c r="L64" t="inlineStr">
        <is>
          <t>CS 2-1</t>
        </is>
      </c>
      <c r="M64" t="inlineStr"/>
      <c r="N64">
        <f>C64&amp;"|"&amp;D64</f>
        <v/>
      </c>
      <c r="O64">
        <f>COUNTIF($N$2:N64,N64)</f>
        <v/>
      </c>
      <c r="P64">
        <f>N64&amp;"|"&amp;O64</f>
        <v/>
      </c>
      <c r="Q64">
        <f>C64&amp;"|"&amp;D64&amp;"|"&amp;A64</f>
        <v/>
      </c>
    </row>
    <row r="65">
      <c r="A65" t="n">
        <v>38</v>
      </c>
      <c r="B65" t="inlineStr">
        <is>
          <t>Preciado Torres Oleisa</t>
        </is>
      </c>
      <c r="C65" t="inlineStr">
        <is>
          <t>LUNES</t>
        </is>
      </c>
      <c r="D65" t="n">
        <v>3</v>
      </c>
      <c r="E65" t="n">
        <v>2</v>
      </c>
      <c r="F65" t="inlineStr">
        <is>
          <t>CLASE</t>
        </is>
      </c>
      <c r="G65" t="inlineStr">
        <is>
          <t>CS202</t>
        </is>
      </c>
      <c r="H65" t="inlineStr">
        <is>
          <t>MAT</t>
        </is>
      </c>
      <c r="I65" t="inlineStr"/>
      <c r="J65" t="inlineStr"/>
      <c r="K65" t="inlineStr"/>
      <c r="L65" t="inlineStr">
        <is>
          <t>CS 2-2</t>
        </is>
      </c>
      <c r="M65" t="inlineStr"/>
      <c r="N65">
        <f>C65&amp;"|"&amp;D65</f>
        <v/>
      </c>
      <c r="O65">
        <f>COUNTIF($N$2:N65,N65)</f>
        <v/>
      </c>
      <c r="P65">
        <f>N65&amp;"|"&amp;O65</f>
        <v/>
      </c>
      <c r="Q65">
        <f>C65&amp;"|"&amp;D65&amp;"|"&amp;A65</f>
        <v/>
      </c>
    </row>
    <row r="66">
      <c r="A66" t="n">
        <v>22</v>
      </c>
      <c r="B66" t="inlineStr">
        <is>
          <t>González Castillo Jólmer Jimy</t>
        </is>
      </c>
      <c r="C66" t="inlineStr">
        <is>
          <t>LUNES</t>
        </is>
      </c>
      <c r="D66" t="n">
        <v>3</v>
      </c>
      <c r="E66" t="n">
        <v>2</v>
      </c>
      <c r="F66" t="inlineStr">
        <is>
          <t>ENFASIS</t>
        </is>
      </c>
      <c r="G66" t="inlineStr"/>
      <c r="H66" t="inlineStr">
        <is>
          <t>ERD</t>
        </is>
      </c>
      <c r="I66" t="inlineStr">
        <is>
          <t>0901</t>
        </is>
      </c>
      <c r="J66" t="inlineStr">
        <is>
          <t>EQUIPO DE 4: cada docente atiende un grupo de estudiantes en su área</t>
        </is>
      </c>
      <c r="K66" t="inlineStr">
        <is>
          <t>Valencia Marínez Saidy Eufemia (ART); Meza Banguera Gladys Alicia (CAS); Lemos Guancha Miriam (CNA)</t>
        </is>
      </c>
      <c r="L66" t="inlineStr">
        <is>
          <t>ÉNFASIS 9°-1</t>
        </is>
      </c>
      <c r="M66" t="inlineStr">
        <is>
          <t>EQUIPO DE 4: cada docente atiende un grupo de estudiantes en su área · Con: Valencia Marínez Saidy Eufemia (ART); Meza Banguera Gladys Alicia (CAS); Lemos Guancha Miriam (CNA)</t>
        </is>
      </c>
      <c r="N66">
        <f>C66&amp;"|"&amp;D66</f>
        <v/>
      </c>
      <c r="O66">
        <f>COUNTIF($N$2:N66,N66)</f>
        <v/>
      </c>
      <c r="P66">
        <f>N66&amp;"|"&amp;O66</f>
        <v/>
      </c>
      <c r="Q66">
        <f>C66&amp;"|"&amp;D66&amp;"|"&amp;A66</f>
        <v/>
      </c>
    </row>
    <row r="67">
      <c r="A67" t="n">
        <v>25</v>
      </c>
      <c r="B67" t="inlineStr">
        <is>
          <t>Lemos Guancha Miriam</t>
        </is>
      </c>
      <c r="C67" t="inlineStr">
        <is>
          <t>LUNES</t>
        </is>
      </c>
      <c r="D67" t="n">
        <v>3</v>
      </c>
      <c r="E67" t="n">
        <v>2</v>
      </c>
      <c r="F67" t="inlineStr">
        <is>
          <t>ENFASIS</t>
        </is>
      </c>
      <c r="G67" t="inlineStr"/>
      <c r="H67" t="inlineStr">
        <is>
          <t>CNA</t>
        </is>
      </c>
      <c r="I67" t="inlineStr">
        <is>
          <t>0901</t>
        </is>
      </c>
      <c r="J67" t="inlineStr">
        <is>
          <t>EQUIPO DE 4: cada docente atiende un grupo de estudiantes en su área</t>
        </is>
      </c>
      <c r="K67" t="inlineStr">
        <is>
          <t>Valencia Marínez Saidy Eufemia (ART); Meza Banguera Gladys Alicia (CAS); González Castillo Jólmer Jimy (ERD)</t>
        </is>
      </c>
      <c r="L67" t="inlineStr">
        <is>
          <t>ÉNFASIS 9°-1</t>
        </is>
      </c>
      <c r="M67" t="inlineStr">
        <is>
          <t>EQUIPO DE 4: cada docente atiende un grupo de estudiantes en su área · Con: Valencia Marínez Saidy Eufemia (ART); Meza Banguera Gladys Alicia (CAS); González Castillo Jólmer Jimy (ERD)</t>
        </is>
      </c>
      <c r="N67">
        <f>C67&amp;"|"&amp;D67</f>
        <v/>
      </c>
      <c r="O67">
        <f>COUNTIF($N$2:N67,N67)</f>
        <v/>
      </c>
      <c r="P67">
        <f>N67&amp;"|"&amp;O67</f>
        <v/>
      </c>
      <c r="Q67">
        <f>C67&amp;"|"&amp;D67&amp;"|"&amp;A67</f>
        <v/>
      </c>
    </row>
    <row r="68">
      <c r="A68" t="n">
        <v>28</v>
      </c>
      <c r="B68" t="inlineStr">
        <is>
          <t>Meza Banguera Gladys Alicia</t>
        </is>
      </c>
      <c r="C68" t="inlineStr">
        <is>
          <t>LUNES</t>
        </is>
      </c>
      <c r="D68" t="n">
        <v>3</v>
      </c>
      <c r="E68" t="n">
        <v>2</v>
      </c>
      <c r="F68" t="inlineStr">
        <is>
          <t>ENFASIS</t>
        </is>
      </c>
      <c r="G68" t="inlineStr"/>
      <c r="H68" t="inlineStr">
        <is>
          <t>CAS</t>
        </is>
      </c>
      <c r="I68" t="inlineStr">
        <is>
          <t>0901</t>
        </is>
      </c>
      <c r="J68" t="inlineStr">
        <is>
          <t>EQUIPO DE 4: cada docente atiende un grupo de estudiantes en su área</t>
        </is>
      </c>
      <c r="K68" t="inlineStr">
        <is>
          <t>Valencia Marínez Saidy Eufemia (ART); González Castillo Jólmer Jimy (ERD); Lemos Guancha Miriam (CNA)</t>
        </is>
      </c>
      <c r="L68" t="inlineStr">
        <is>
          <t>ÉNFASIS 9°-1</t>
        </is>
      </c>
      <c r="M68" t="inlineStr">
        <is>
          <t>EQUIPO DE 4: cada docente atiende un grupo de estudiantes en su área · Con: Valencia Marínez Saidy Eufemia (ART); González Castillo Jólmer Jimy (ERD); Lemos Guancha Miriam (CNA)</t>
        </is>
      </c>
      <c r="N68">
        <f>C68&amp;"|"&amp;D68</f>
        <v/>
      </c>
      <c r="O68">
        <f>COUNTIF($N$2:N68,N68)</f>
        <v/>
      </c>
      <c r="P68">
        <f>N68&amp;"|"&amp;O68</f>
        <v/>
      </c>
      <c r="Q68">
        <f>C68&amp;"|"&amp;D68&amp;"|"&amp;A68</f>
        <v/>
      </c>
    </row>
    <row r="69">
      <c r="A69" t="n">
        <v>49</v>
      </c>
      <c r="B69" t="inlineStr">
        <is>
          <t>Valencia Marínez Saidy Eufemia</t>
        </is>
      </c>
      <c r="C69" t="inlineStr">
        <is>
          <t>LUNES</t>
        </is>
      </c>
      <c r="D69" t="n">
        <v>3</v>
      </c>
      <c r="E69" t="n">
        <v>2</v>
      </c>
      <c r="F69" t="inlineStr">
        <is>
          <t>ENFASIS</t>
        </is>
      </c>
      <c r="G69" t="inlineStr"/>
      <c r="H69" t="inlineStr">
        <is>
          <t>ART</t>
        </is>
      </c>
      <c r="I69" t="inlineStr">
        <is>
          <t>0901</t>
        </is>
      </c>
      <c r="J69" t="inlineStr">
        <is>
          <t>EQUIPO DE 4: cada docente atiende un grupo de estudiantes en su área</t>
        </is>
      </c>
      <c r="K69" t="inlineStr">
        <is>
          <t>Meza Banguera Gladys Alicia (CAS); González Castillo Jólmer Jimy (ERD); Lemos Guancha Miriam (CNA)</t>
        </is>
      </c>
      <c r="L69" t="inlineStr">
        <is>
          <t>ÉNFASIS 9°-1</t>
        </is>
      </c>
      <c r="M69" t="inlineStr">
        <is>
          <t>EQUIPO DE 4: cada docente atiende un grupo de estudiantes en su área · Con: Meza Banguera Gladys Alicia (CAS); González Castillo Jólmer Jimy (ERD); Lemos Guancha Miriam (CNA)</t>
        </is>
      </c>
      <c r="N69">
        <f>C69&amp;"|"&amp;D69</f>
        <v/>
      </c>
      <c r="O69">
        <f>COUNTIF($N$2:N69,N69)</f>
        <v/>
      </c>
      <c r="P69">
        <f>N69&amp;"|"&amp;O69</f>
        <v/>
      </c>
      <c r="Q69">
        <f>C69&amp;"|"&amp;D69&amp;"|"&amp;A69</f>
        <v/>
      </c>
    </row>
    <row r="70">
      <c r="A70" t="n">
        <v>2</v>
      </c>
      <c r="B70" t="inlineStr">
        <is>
          <t>Angulo Lucero Andrés Mauricio</t>
        </is>
      </c>
      <c r="C70" t="inlineStr">
        <is>
          <t>LUNES</t>
        </is>
      </c>
      <c r="D70" t="n">
        <v>3</v>
      </c>
      <c r="E70" t="n">
        <v>2</v>
      </c>
      <c r="F70" t="inlineStr">
        <is>
          <t>ENFASIS</t>
        </is>
      </c>
      <c r="G70" t="inlineStr"/>
      <c r="H70" t="inlineStr">
        <is>
          <t>TEI</t>
        </is>
      </c>
      <c r="I70" t="inlineStr">
        <is>
          <t>1102</t>
        </is>
      </c>
      <c r="J70" t="inlineStr">
        <is>
          <t>EQUIPO DE 4: cada docente atiende un grupo de estudiantes en su área</t>
        </is>
      </c>
      <c r="K70" t="inlineStr">
        <is>
          <t>Pulgarín Ortiz César Marino (CSI); Montaño Arizala Leidis Claudina (ETR); Villota Rubio Janeth del Carmen (MAT)</t>
        </is>
      </c>
      <c r="L70" t="inlineStr">
        <is>
          <t>ÉNFASIS 11°-2</t>
        </is>
      </c>
      <c r="M70" t="inlineStr">
        <is>
          <t>EQUIPO DE 4: cada docente atiende un grupo de estudiantes en su área · Con: Pulgarín Ortiz César Marino (CSI); Montaño Arizala Leidis Claudina (ETR); Villota Rubio Janeth del Carmen (MAT)</t>
        </is>
      </c>
      <c r="N70">
        <f>C70&amp;"|"&amp;D70</f>
        <v/>
      </c>
      <c r="O70">
        <f>COUNTIF($N$2:N70,N70)</f>
        <v/>
      </c>
      <c r="P70">
        <f>N70&amp;"|"&amp;O70</f>
        <v/>
      </c>
      <c r="Q70">
        <f>C70&amp;"|"&amp;D70&amp;"|"&amp;A70</f>
        <v/>
      </c>
    </row>
    <row r="71">
      <c r="A71" t="n">
        <v>31</v>
      </c>
      <c r="B71" t="inlineStr">
        <is>
          <t>Montaño Arizala Leidis Claudina</t>
        </is>
      </c>
      <c r="C71" t="inlineStr">
        <is>
          <t>LUNES</t>
        </is>
      </c>
      <c r="D71" t="n">
        <v>3</v>
      </c>
      <c r="E71" t="n">
        <v>2</v>
      </c>
      <c r="F71" t="inlineStr">
        <is>
          <t>ENFASIS</t>
        </is>
      </c>
      <c r="G71" t="inlineStr"/>
      <c r="H71" t="inlineStr">
        <is>
          <t>ETR</t>
        </is>
      </c>
      <c r="I71" t="inlineStr">
        <is>
          <t>1102</t>
        </is>
      </c>
      <c r="J71" t="inlineStr">
        <is>
          <t>EQUIPO DE 4: cada docente atiende un grupo de estudiantes en su área</t>
        </is>
      </c>
      <c r="K71" t="inlineStr">
        <is>
          <t>Pulgarín Ortiz César Marino (CSI); Villota Rubio Janeth del Carmen (MAT); Angulo Lucero Andrés Mauricio (TEI)</t>
        </is>
      </c>
      <c r="L71" t="inlineStr">
        <is>
          <t>ÉNFASIS 11°-2</t>
        </is>
      </c>
      <c r="M71" t="inlineStr">
        <is>
          <t>EQUIPO DE 4: cada docente atiende un grupo de estudiantes en su área · Con: Pulgarín Ortiz César Marino (CSI); Villota Rubio Janeth del Carmen (MAT); Angulo Lucero Andrés Mauricio (TEI)</t>
        </is>
      </c>
      <c r="N71">
        <f>C71&amp;"|"&amp;D71</f>
        <v/>
      </c>
      <c r="O71">
        <f>COUNTIF($N$2:N71,N71)</f>
        <v/>
      </c>
      <c r="P71">
        <f>N71&amp;"|"&amp;O71</f>
        <v/>
      </c>
      <c r="Q71">
        <f>C71&amp;"|"&amp;D71&amp;"|"&amp;A71</f>
        <v/>
      </c>
    </row>
    <row r="72">
      <c r="A72" t="n">
        <v>40</v>
      </c>
      <c r="B72" t="inlineStr">
        <is>
          <t>Pulgarín Ortiz César Marino</t>
        </is>
      </c>
      <c r="C72" t="inlineStr">
        <is>
          <t>LUNES</t>
        </is>
      </c>
      <c r="D72" t="n">
        <v>3</v>
      </c>
      <c r="E72" t="n">
        <v>2</v>
      </c>
      <c r="F72" t="inlineStr">
        <is>
          <t>ENFASIS</t>
        </is>
      </c>
      <c r="G72" t="inlineStr"/>
      <c r="H72" t="inlineStr">
        <is>
          <t>CSI</t>
        </is>
      </c>
      <c r="I72" t="inlineStr">
        <is>
          <t>1102</t>
        </is>
      </c>
      <c r="J72" t="inlineStr">
        <is>
          <t>EQUIPO DE 4: cada docente atiende un grupo de estudiantes en su área</t>
        </is>
      </c>
      <c r="K72" t="inlineStr">
        <is>
          <t>Montaño Arizala Leidis Claudina (ETR); Villota Rubio Janeth del Carmen (MAT); Angulo Lucero Andrés Mauricio (TEI)</t>
        </is>
      </c>
      <c r="L72" t="inlineStr">
        <is>
          <t>ÉNFASIS 11°-2</t>
        </is>
      </c>
      <c r="M72" t="inlineStr">
        <is>
          <t>EQUIPO DE 4: cada docente atiende un grupo de estudiantes en su área · Con: Montaño Arizala Leidis Claudina (ETR); Villota Rubio Janeth del Carmen (MAT); Angulo Lucero Andrés Mauricio (TEI)</t>
        </is>
      </c>
      <c r="N72">
        <f>C72&amp;"|"&amp;D72</f>
        <v/>
      </c>
      <c r="O72">
        <f>COUNTIF($N$2:N72,N72)</f>
        <v/>
      </c>
      <c r="P72">
        <f>N72&amp;"|"&amp;O72</f>
        <v/>
      </c>
      <c r="Q72">
        <f>C72&amp;"|"&amp;D72&amp;"|"&amp;A72</f>
        <v/>
      </c>
    </row>
    <row r="73">
      <c r="A73" t="n">
        <v>54</v>
      </c>
      <c r="B73" t="inlineStr">
        <is>
          <t>Villota Rubio Janeth del Carmen</t>
        </is>
      </c>
      <c r="C73" t="inlineStr">
        <is>
          <t>LUNES</t>
        </is>
      </c>
      <c r="D73" t="n">
        <v>3</v>
      </c>
      <c r="E73" t="n">
        <v>2</v>
      </c>
      <c r="F73" t="inlineStr">
        <is>
          <t>ENFASIS</t>
        </is>
      </c>
      <c r="G73" t="inlineStr"/>
      <c r="H73" t="inlineStr">
        <is>
          <t>MAT</t>
        </is>
      </c>
      <c r="I73" t="inlineStr">
        <is>
          <t>1102</t>
        </is>
      </c>
      <c r="J73" t="inlineStr">
        <is>
          <t>EQUIPO DE 4: cada docente atiende un grupo de estudiantes en su área</t>
        </is>
      </c>
      <c r="K73" t="inlineStr">
        <is>
          <t>Pulgarín Ortiz César Marino (CSI); Montaño Arizala Leidis Claudina (ETR); Angulo Lucero Andrés Mauricio (TEI)</t>
        </is>
      </c>
      <c r="L73" t="inlineStr">
        <is>
          <t>ÉNFASIS 11°-2</t>
        </is>
      </c>
      <c r="M73" t="inlineStr">
        <is>
          <t>EQUIPO DE 4: cada docente atiende un grupo de estudiantes en su área · Con: Pulgarín Ortiz César Marino (CSI); Montaño Arizala Leidis Claudina (ETR); Angulo Lucero Andrés Mauricio (TEI)</t>
        </is>
      </c>
      <c r="N73">
        <f>C73&amp;"|"&amp;D73</f>
        <v/>
      </c>
      <c r="O73">
        <f>COUNTIF($N$2:N73,N73)</f>
        <v/>
      </c>
      <c r="P73">
        <f>N73&amp;"|"&amp;O73</f>
        <v/>
      </c>
      <c r="Q73">
        <f>C73&amp;"|"&amp;D73&amp;"|"&amp;A73</f>
        <v/>
      </c>
    </row>
    <row r="74">
      <c r="A74" t="n">
        <v>16</v>
      </c>
      <c r="B74" t="inlineStr">
        <is>
          <t>Cuero Rincón Hernando Jesús</t>
        </is>
      </c>
      <c r="C74" t="inlineStr">
        <is>
          <t>LUNES</t>
        </is>
      </c>
      <c r="D74" t="n">
        <v>4</v>
      </c>
      <c r="E74" t="n">
        <v>2</v>
      </c>
      <c r="F74" t="inlineStr">
        <is>
          <t>CLASE</t>
        </is>
      </c>
      <c r="G74" t="inlineStr">
        <is>
          <t>0601</t>
        </is>
      </c>
      <c r="H74" t="inlineStr">
        <is>
          <t>CAS</t>
        </is>
      </c>
      <c r="I74" t="inlineStr"/>
      <c r="J74" t="inlineStr"/>
      <c r="K74" t="inlineStr"/>
      <c r="L74" t="inlineStr">
        <is>
          <t>6°-1</t>
        </is>
      </c>
      <c r="M74" t="inlineStr"/>
      <c r="N74">
        <f>C74&amp;"|"&amp;D74</f>
        <v/>
      </c>
      <c r="O74">
        <f>COUNTIF($N$2:N74,N74)</f>
        <v/>
      </c>
      <c r="P74">
        <f>N74&amp;"|"&amp;O74</f>
        <v/>
      </c>
      <c r="Q74">
        <f>C74&amp;"|"&amp;D74&amp;"|"&amp;A74</f>
        <v/>
      </c>
    </row>
    <row r="75">
      <c r="A75" t="n">
        <v>37</v>
      </c>
      <c r="B75" t="inlineStr">
        <is>
          <t>Prado Quiñones Genís Maribel</t>
        </is>
      </c>
      <c r="C75" t="inlineStr">
        <is>
          <t>LUNES</t>
        </is>
      </c>
      <c r="D75" t="n">
        <v>4</v>
      </c>
      <c r="E75" t="n">
        <v>2</v>
      </c>
      <c r="F75" t="inlineStr">
        <is>
          <t>CLASE</t>
        </is>
      </c>
      <c r="G75" t="inlineStr">
        <is>
          <t>0602</t>
        </is>
      </c>
      <c r="H75" t="inlineStr">
        <is>
          <t>ART</t>
        </is>
      </c>
      <c r="I75" t="inlineStr"/>
      <c r="J75" t="inlineStr"/>
      <c r="K75" t="inlineStr"/>
      <c r="L75" t="inlineStr">
        <is>
          <t>6°-2</t>
        </is>
      </c>
      <c r="M75" t="inlineStr"/>
      <c r="N75">
        <f>C75&amp;"|"&amp;D75</f>
        <v/>
      </c>
      <c r="O75">
        <f>COUNTIF($N$2:N75,N75)</f>
        <v/>
      </c>
      <c r="P75">
        <f>N75&amp;"|"&amp;O75</f>
        <v/>
      </c>
      <c r="Q75">
        <f>C75&amp;"|"&amp;D75&amp;"|"&amp;A75</f>
        <v/>
      </c>
    </row>
    <row r="76">
      <c r="A76" t="n">
        <v>52</v>
      </c>
      <c r="B76" t="inlineStr">
        <is>
          <t>Vásquez Valencia Segundo Leoncio</t>
        </is>
      </c>
      <c r="C76" t="inlineStr">
        <is>
          <t>LUNES</t>
        </is>
      </c>
      <c r="D76" t="n">
        <v>4</v>
      </c>
      <c r="E76" t="n">
        <v>2</v>
      </c>
      <c r="F76" t="inlineStr">
        <is>
          <t>CLASE</t>
        </is>
      </c>
      <c r="G76" t="inlineStr">
        <is>
          <t>0701</t>
        </is>
      </c>
      <c r="H76" t="inlineStr">
        <is>
          <t>MAT</t>
        </is>
      </c>
      <c r="I76" t="inlineStr"/>
      <c r="J76" t="inlineStr"/>
      <c r="K76" t="inlineStr"/>
      <c r="L76" t="inlineStr">
        <is>
          <t>7°-1</t>
        </is>
      </c>
      <c r="M76" t="inlineStr"/>
      <c r="N76">
        <f>C76&amp;"|"&amp;D76</f>
        <v/>
      </c>
      <c r="O76">
        <f>COUNTIF($N$2:N76,N76)</f>
        <v/>
      </c>
      <c r="P76">
        <f>N76&amp;"|"&amp;O76</f>
        <v/>
      </c>
      <c r="Q76">
        <f>C76&amp;"|"&amp;D76&amp;"|"&amp;A76</f>
        <v/>
      </c>
    </row>
    <row r="77">
      <c r="A77" t="n">
        <v>4</v>
      </c>
      <c r="B77" t="inlineStr">
        <is>
          <t>Arizala Castro Roberto Carlos</t>
        </is>
      </c>
      <c r="C77" t="inlineStr">
        <is>
          <t>LUNES</t>
        </is>
      </c>
      <c r="D77" t="n">
        <v>4</v>
      </c>
      <c r="E77" t="n">
        <v>2</v>
      </c>
      <c r="F77" t="inlineStr">
        <is>
          <t>CLASE</t>
        </is>
      </c>
      <c r="G77" t="inlineStr">
        <is>
          <t>0702</t>
        </is>
      </c>
      <c r="H77" t="inlineStr">
        <is>
          <t>ERD</t>
        </is>
      </c>
      <c r="I77" t="inlineStr"/>
      <c r="J77" t="inlineStr"/>
      <c r="K77" t="inlineStr"/>
      <c r="L77" t="inlineStr">
        <is>
          <t>7°-2</t>
        </is>
      </c>
      <c r="M77" t="inlineStr"/>
      <c r="N77">
        <f>C77&amp;"|"&amp;D77</f>
        <v/>
      </c>
      <c r="O77">
        <f>COUNTIF($N$2:N77,N77)</f>
        <v/>
      </c>
      <c r="P77">
        <f>N77&amp;"|"&amp;O77</f>
        <v/>
      </c>
      <c r="Q77">
        <f>C77&amp;"|"&amp;D77&amp;"|"&amp;A77</f>
        <v/>
      </c>
    </row>
    <row r="78">
      <c r="A78" t="n">
        <v>34</v>
      </c>
      <c r="B78" t="inlineStr">
        <is>
          <t>Ordóñez Tenorio Jaime Marcial</t>
        </is>
      </c>
      <c r="C78" t="inlineStr">
        <is>
          <t>LUNES</t>
        </is>
      </c>
      <c r="D78" t="n">
        <v>4</v>
      </c>
      <c r="E78" t="n">
        <v>2</v>
      </c>
      <c r="F78" t="inlineStr">
        <is>
          <t>CLASE</t>
        </is>
      </c>
      <c r="G78" t="inlineStr">
        <is>
          <t>0703</t>
        </is>
      </c>
      <c r="H78" t="inlineStr">
        <is>
          <t>CNA</t>
        </is>
      </c>
      <c r="I78" t="inlineStr"/>
      <c r="J78" t="inlineStr"/>
      <c r="K78" t="inlineStr"/>
      <c r="L78" t="inlineStr">
        <is>
          <t>7°-3</t>
        </is>
      </c>
      <c r="M78" t="inlineStr"/>
      <c r="N78">
        <f>C78&amp;"|"&amp;D78</f>
        <v/>
      </c>
      <c r="O78">
        <f>COUNTIF($N$2:N78,N78)</f>
        <v/>
      </c>
      <c r="P78">
        <f>N78&amp;"|"&amp;O78</f>
        <v/>
      </c>
      <c r="Q78">
        <f>C78&amp;"|"&amp;D78&amp;"|"&amp;A78</f>
        <v/>
      </c>
    </row>
    <row r="79">
      <c r="A79" t="n">
        <v>8</v>
      </c>
      <c r="B79" t="inlineStr">
        <is>
          <t>Casanova Quiñones Yoli del Carmen</t>
        </is>
      </c>
      <c r="C79" t="inlineStr">
        <is>
          <t>LUNES</t>
        </is>
      </c>
      <c r="D79" t="n">
        <v>4</v>
      </c>
      <c r="E79" t="n">
        <v>2</v>
      </c>
      <c r="F79" t="inlineStr">
        <is>
          <t>CLASE</t>
        </is>
      </c>
      <c r="G79" t="inlineStr">
        <is>
          <t>0704</t>
        </is>
      </c>
      <c r="H79" t="inlineStr">
        <is>
          <t>ETR</t>
        </is>
      </c>
      <c r="I79" t="inlineStr"/>
      <c r="J79" t="inlineStr">
        <is>
          <t>Ética / Religión (alternan cada semana)</t>
        </is>
      </c>
      <c r="K79" t="inlineStr"/>
      <c r="L79" t="inlineStr">
        <is>
          <t>7°-4</t>
        </is>
      </c>
      <c r="M79" t="inlineStr">
        <is>
          <t>Ética / Religión (alternan cada semana)</t>
        </is>
      </c>
      <c r="N79">
        <f>C79&amp;"|"&amp;D79</f>
        <v/>
      </c>
      <c r="O79">
        <f>COUNTIF($N$2:N79,N79)</f>
        <v/>
      </c>
      <c r="P79">
        <f>N79&amp;"|"&amp;O79</f>
        <v/>
      </c>
      <c r="Q79">
        <f>C79&amp;"|"&amp;D79&amp;"|"&amp;A79</f>
        <v/>
      </c>
    </row>
    <row r="80">
      <c r="A80" t="n">
        <v>19</v>
      </c>
      <c r="B80" t="inlineStr">
        <is>
          <t>Fernández Vélez Alfredo Enrique</t>
        </is>
      </c>
      <c r="C80" t="inlineStr">
        <is>
          <t>LUNES</t>
        </is>
      </c>
      <c r="D80" t="n">
        <v>4</v>
      </c>
      <c r="E80" t="n">
        <v>2</v>
      </c>
      <c r="F80" t="inlineStr">
        <is>
          <t>CLASE</t>
        </is>
      </c>
      <c r="G80" t="inlineStr">
        <is>
          <t>0801</t>
        </is>
      </c>
      <c r="H80" t="inlineStr">
        <is>
          <t>TEI</t>
        </is>
      </c>
      <c r="I80" t="inlineStr"/>
      <c r="J80" t="inlineStr"/>
      <c r="K80" t="inlineStr"/>
      <c r="L80" t="inlineStr">
        <is>
          <t>8°-1</t>
        </is>
      </c>
      <c r="M80" t="inlineStr"/>
      <c r="N80">
        <f>C80&amp;"|"&amp;D80</f>
        <v/>
      </c>
      <c r="O80">
        <f>COUNTIF($N$2:N80,N80)</f>
        <v/>
      </c>
      <c r="P80">
        <f>N80&amp;"|"&amp;O80</f>
        <v/>
      </c>
      <c r="Q80">
        <f>C80&amp;"|"&amp;D80&amp;"|"&amp;A80</f>
        <v/>
      </c>
    </row>
    <row r="81">
      <c r="A81" t="n">
        <v>51</v>
      </c>
      <c r="B81" t="inlineStr">
        <is>
          <t>Valverde Montaño María Teresa</t>
        </is>
      </c>
      <c r="C81" t="inlineStr">
        <is>
          <t>LUNES</t>
        </is>
      </c>
      <c r="D81" t="n">
        <v>4</v>
      </c>
      <c r="E81" t="n">
        <v>2</v>
      </c>
      <c r="F81" t="inlineStr">
        <is>
          <t>CLASE</t>
        </is>
      </c>
      <c r="G81" t="inlineStr">
        <is>
          <t>0802</t>
        </is>
      </c>
      <c r="H81" t="inlineStr">
        <is>
          <t>CAS</t>
        </is>
      </c>
      <c r="I81" t="inlineStr"/>
      <c r="J81" t="inlineStr"/>
      <c r="K81" t="inlineStr"/>
      <c r="L81" t="inlineStr">
        <is>
          <t>8°-2</t>
        </is>
      </c>
      <c r="M81" t="inlineStr"/>
      <c r="N81">
        <f>C81&amp;"|"&amp;D81</f>
        <v/>
      </c>
      <c r="O81">
        <f>COUNTIF($N$2:N81,N81)</f>
        <v/>
      </c>
      <c r="P81">
        <f>N81&amp;"|"&amp;O81</f>
        <v/>
      </c>
      <c r="Q81">
        <f>C81&amp;"|"&amp;D81&amp;"|"&amp;A81</f>
        <v/>
      </c>
    </row>
    <row r="82">
      <c r="A82" t="n">
        <v>29</v>
      </c>
      <c r="B82" t="inlineStr">
        <is>
          <t>Mindineros Satizábal John Jáver</t>
        </is>
      </c>
      <c r="C82" t="inlineStr">
        <is>
          <t>LUNES</t>
        </is>
      </c>
      <c r="D82" t="n">
        <v>4</v>
      </c>
      <c r="E82" t="n">
        <v>2</v>
      </c>
      <c r="F82" t="inlineStr">
        <is>
          <t>CLASE</t>
        </is>
      </c>
      <c r="G82" t="inlineStr">
        <is>
          <t>0902</t>
        </is>
      </c>
      <c r="H82" t="inlineStr">
        <is>
          <t>TEI</t>
        </is>
      </c>
      <c r="I82" t="inlineStr"/>
      <c r="J82" t="inlineStr"/>
      <c r="K82" t="inlineStr"/>
      <c r="L82" t="inlineStr">
        <is>
          <t>9°-2</t>
        </is>
      </c>
      <c r="M82" t="inlineStr"/>
      <c r="N82">
        <f>C82&amp;"|"&amp;D82</f>
        <v/>
      </c>
      <c r="O82">
        <f>COUNTIF($N$2:N82,N82)</f>
        <v/>
      </c>
      <c r="P82">
        <f>N82&amp;"|"&amp;O82</f>
        <v/>
      </c>
      <c r="Q82">
        <f>C82&amp;"|"&amp;D82&amp;"|"&amp;A82</f>
        <v/>
      </c>
    </row>
    <row r="83">
      <c r="A83" t="n">
        <v>6</v>
      </c>
      <c r="B83" t="inlineStr">
        <is>
          <t>Betancourth Ocampo Yohana Patricia</t>
        </is>
      </c>
      <c r="C83" t="inlineStr">
        <is>
          <t>LUNES</t>
        </is>
      </c>
      <c r="D83" t="n">
        <v>4</v>
      </c>
      <c r="E83" t="n">
        <v>2</v>
      </c>
      <c r="F83" t="inlineStr">
        <is>
          <t>CLASE</t>
        </is>
      </c>
      <c r="G83" t="inlineStr">
        <is>
          <t>1001</t>
        </is>
      </c>
      <c r="H83" t="inlineStr">
        <is>
          <t>CSI</t>
        </is>
      </c>
      <c r="I83" t="inlineStr"/>
      <c r="J83" t="inlineStr">
        <is>
          <t>Sociales / Inglés (alternan cada semana)</t>
        </is>
      </c>
      <c r="K83" t="inlineStr"/>
      <c r="L83" t="inlineStr">
        <is>
          <t>10°-1</t>
        </is>
      </c>
      <c r="M83" t="inlineStr">
        <is>
          <t>Sociales / Inglés (alternan cada semana)</t>
        </is>
      </c>
      <c r="N83">
        <f>C83&amp;"|"&amp;D83</f>
        <v/>
      </c>
      <c r="O83">
        <f>COUNTIF($N$2:N83,N83)</f>
        <v/>
      </c>
      <c r="P83">
        <f>N83&amp;"|"&amp;O83</f>
        <v/>
      </c>
      <c r="Q83">
        <f>C83&amp;"|"&amp;D83&amp;"|"&amp;A83</f>
        <v/>
      </c>
    </row>
    <row r="84">
      <c r="A84" t="n">
        <v>3</v>
      </c>
      <c r="B84" t="inlineStr">
        <is>
          <t>Arboleda Ortiz Luz América</t>
        </is>
      </c>
      <c r="C84" t="inlineStr">
        <is>
          <t>LUNES</t>
        </is>
      </c>
      <c r="D84" t="n">
        <v>4</v>
      </c>
      <c r="E84" t="n">
        <v>2</v>
      </c>
      <c r="F84" t="inlineStr">
        <is>
          <t>CLASE</t>
        </is>
      </c>
      <c r="G84" t="inlineStr">
        <is>
          <t>1002</t>
        </is>
      </c>
      <c r="H84" t="inlineStr">
        <is>
          <t>ART</t>
        </is>
      </c>
      <c r="I84" t="inlineStr"/>
      <c r="J84" t="inlineStr"/>
      <c r="K84" t="inlineStr"/>
      <c r="L84" t="inlineStr">
        <is>
          <t>10°-2</t>
        </is>
      </c>
      <c r="M84" t="inlineStr"/>
      <c r="N84">
        <f>C84&amp;"|"&amp;D84</f>
        <v/>
      </c>
      <c r="O84">
        <f>COUNTIF($N$2:N84,N84)</f>
        <v/>
      </c>
      <c r="P84">
        <f>N84&amp;"|"&amp;O84</f>
        <v/>
      </c>
      <c r="Q84">
        <f>C84&amp;"|"&amp;D84&amp;"|"&amp;A84</f>
        <v/>
      </c>
    </row>
    <row r="85">
      <c r="A85" t="n">
        <v>53</v>
      </c>
      <c r="B85" t="inlineStr">
        <is>
          <t>Villota Rubio Héctor Hugo</t>
        </is>
      </c>
      <c r="C85" t="inlineStr">
        <is>
          <t>LUNES</t>
        </is>
      </c>
      <c r="D85" t="n">
        <v>4</v>
      </c>
      <c r="E85" t="n">
        <v>2</v>
      </c>
      <c r="F85" t="inlineStr">
        <is>
          <t>CLASE</t>
        </is>
      </c>
      <c r="G85" t="inlineStr">
        <is>
          <t>1101</t>
        </is>
      </c>
      <c r="H85" t="inlineStr">
        <is>
          <t>CNA</t>
        </is>
      </c>
      <c r="I85" t="inlineStr"/>
      <c r="J85" t="inlineStr"/>
      <c r="K85" t="inlineStr"/>
      <c r="L85" t="inlineStr">
        <is>
          <t>11°-1</t>
        </is>
      </c>
      <c r="M85" t="inlineStr"/>
      <c r="N85">
        <f>C85&amp;"|"&amp;D85</f>
        <v/>
      </c>
      <c r="O85">
        <f>COUNTIF($N$2:N85,N85)</f>
        <v/>
      </c>
      <c r="P85">
        <f>N85&amp;"|"&amp;O85</f>
        <v/>
      </c>
      <c r="Q85">
        <f>C85&amp;"|"&amp;D85&amp;"|"&amp;A85</f>
        <v/>
      </c>
    </row>
    <row r="86">
      <c r="A86" t="n">
        <v>26</v>
      </c>
      <c r="B86" t="inlineStr">
        <is>
          <t>Lozano Torres Amanda Inés</t>
        </is>
      </c>
      <c r="C86" t="inlineStr">
        <is>
          <t>LUNES</t>
        </is>
      </c>
      <c r="D86" t="n">
        <v>4</v>
      </c>
      <c r="E86" t="n">
        <v>2</v>
      </c>
      <c r="F86" t="inlineStr">
        <is>
          <t>CLASE</t>
        </is>
      </c>
      <c r="G86" t="inlineStr">
        <is>
          <t>CS101</t>
        </is>
      </c>
      <c r="H86" t="inlineStr">
        <is>
          <t>ETR</t>
        </is>
      </c>
      <c r="I86" t="inlineStr"/>
      <c r="J86" t="inlineStr">
        <is>
          <t>Ética / Religión (alternan cada semana)</t>
        </is>
      </c>
      <c r="K86" t="inlineStr"/>
      <c r="L86" t="inlineStr">
        <is>
          <t>CS 1-1</t>
        </is>
      </c>
      <c r="M86" t="inlineStr">
        <is>
          <t>Ética / Religión (alternan cada semana)</t>
        </is>
      </c>
      <c r="N86">
        <f>C86&amp;"|"&amp;D86</f>
        <v/>
      </c>
      <c r="O86">
        <f>COUNTIF($N$2:N86,N86)</f>
        <v/>
      </c>
      <c r="P86">
        <f>N86&amp;"|"&amp;O86</f>
        <v/>
      </c>
      <c r="Q86">
        <f>C86&amp;"|"&amp;D86&amp;"|"&amp;A86</f>
        <v/>
      </c>
    </row>
    <row r="87">
      <c r="A87" t="n">
        <v>57</v>
      </c>
      <c r="B87" t="inlineStr">
        <is>
          <t>Armero Dájome Jesús</t>
        </is>
      </c>
      <c r="C87" t="inlineStr">
        <is>
          <t>LUNES</t>
        </is>
      </c>
      <c r="D87" t="n">
        <v>4</v>
      </c>
      <c r="E87" t="n">
        <v>2</v>
      </c>
      <c r="F87" t="inlineStr">
        <is>
          <t>CLASE</t>
        </is>
      </c>
      <c r="G87" t="inlineStr">
        <is>
          <t>CS102</t>
        </is>
      </c>
      <c r="H87" t="inlineStr">
        <is>
          <t>ERD</t>
        </is>
      </c>
      <c r="I87" t="inlineStr"/>
      <c r="J87" t="inlineStr"/>
      <c r="K87" t="inlineStr"/>
      <c r="L87" t="inlineStr">
        <is>
          <t>CS 1-2</t>
        </is>
      </c>
      <c r="M87" t="inlineStr"/>
      <c r="N87">
        <f>C87&amp;"|"&amp;D87</f>
        <v/>
      </c>
      <c r="O87">
        <f>COUNTIF($N$2:N87,N87)</f>
        <v/>
      </c>
      <c r="P87">
        <f>N87&amp;"|"&amp;O87</f>
        <v/>
      </c>
      <c r="Q87">
        <f>C87&amp;"|"&amp;D87&amp;"|"&amp;A87</f>
        <v/>
      </c>
    </row>
    <row r="88">
      <c r="A88" t="n">
        <v>44</v>
      </c>
      <c r="B88" t="inlineStr">
        <is>
          <t>Samaniego Angulo Flor Mireya</t>
        </is>
      </c>
      <c r="C88" t="inlineStr">
        <is>
          <t>LUNES</t>
        </is>
      </c>
      <c r="D88" t="n">
        <v>4</v>
      </c>
      <c r="E88" t="n">
        <v>2</v>
      </c>
      <c r="F88" t="inlineStr">
        <is>
          <t>CLASE</t>
        </is>
      </c>
      <c r="G88" t="inlineStr">
        <is>
          <t>CS201</t>
        </is>
      </c>
      <c r="H88" t="inlineStr">
        <is>
          <t>ART</t>
        </is>
      </c>
      <c r="I88" t="inlineStr"/>
      <c r="J88" t="inlineStr"/>
      <c r="K88" t="inlineStr"/>
      <c r="L88" t="inlineStr">
        <is>
          <t>CS 2-1</t>
        </is>
      </c>
      <c r="M88" t="inlineStr"/>
      <c r="N88">
        <f>C88&amp;"|"&amp;D88</f>
        <v/>
      </c>
      <c r="O88">
        <f>COUNTIF($N$2:N88,N88)</f>
        <v/>
      </c>
      <c r="P88">
        <f>N88&amp;"|"&amp;O88</f>
        <v/>
      </c>
      <c r="Q88">
        <f>C88&amp;"|"&amp;D88&amp;"|"&amp;A88</f>
        <v/>
      </c>
    </row>
    <row r="89">
      <c r="A89" t="n">
        <v>38</v>
      </c>
      <c r="B89" t="inlineStr">
        <is>
          <t>Preciado Torres Oleisa</t>
        </is>
      </c>
      <c r="C89" t="inlineStr">
        <is>
          <t>LUNES</t>
        </is>
      </c>
      <c r="D89" t="n">
        <v>4</v>
      </c>
      <c r="E89" t="n">
        <v>2</v>
      </c>
      <c r="F89" t="inlineStr">
        <is>
          <t>CLASE</t>
        </is>
      </c>
      <c r="G89" t="inlineStr">
        <is>
          <t>CS202</t>
        </is>
      </c>
      <c r="H89" t="inlineStr">
        <is>
          <t>MAT</t>
        </is>
      </c>
      <c r="I89" t="inlineStr"/>
      <c r="J89" t="inlineStr"/>
      <c r="K89" t="inlineStr"/>
      <c r="L89" t="inlineStr">
        <is>
          <t>CS 2-2</t>
        </is>
      </c>
      <c r="M89" t="inlineStr"/>
      <c r="N89">
        <f>C89&amp;"|"&amp;D89</f>
        <v/>
      </c>
      <c r="O89">
        <f>COUNTIF($N$2:N89,N89)</f>
        <v/>
      </c>
      <c r="P89">
        <f>N89&amp;"|"&amp;O89</f>
        <v/>
      </c>
      <c r="Q89">
        <f>C89&amp;"|"&amp;D89&amp;"|"&amp;A89</f>
        <v/>
      </c>
    </row>
    <row r="90">
      <c r="A90" t="n">
        <v>22</v>
      </c>
      <c r="B90" t="inlineStr">
        <is>
          <t>González Castillo Jólmer Jimy</t>
        </is>
      </c>
      <c r="C90" t="inlineStr">
        <is>
          <t>LUNES</t>
        </is>
      </c>
      <c r="D90" t="n">
        <v>4</v>
      </c>
      <c r="E90" t="n">
        <v>2</v>
      </c>
      <c r="F90" t="inlineStr">
        <is>
          <t>ENFASIS</t>
        </is>
      </c>
      <c r="G90" t="inlineStr"/>
      <c r="H90" t="inlineStr">
        <is>
          <t>ERD</t>
        </is>
      </c>
      <c r="I90" t="inlineStr">
        <is>
          <t>0901</t>
        </is>
      </c>
      <c r="J90" t="inlineStr">
        <is>
          <t>EQUIPO DE 4: cada docente atiende un grupo de estudiantes en su área</t>
        </is>
      </c>
      <c r="K90" t="inlineStr">
        <is>
          <t>Valencia Marínez Saidy Eufemia (ART); Meza Banguera Gladys Alicia (CAS); Lemos Guancha Miriam (CNA)</t>
        </is>
      </c>
      <c r="L90" t="inlineStr">
        <is>
          <t>ÉNFASIS 9°-1</t>
        </is>
      </c>
      <c r="M90" t="inlineStr">
        <is>
          <t>EQUIPO DE 4: cada docente atiende un grupo de estudiantes en su área · Con: Valencia Marínez Saidy Eufemia (ART); Meza Banguera Gladys Alicia (CAS); Lemos Guancha Miriam (CNA)</t>
        </is>
      </c>
      <c r="N90">
        <f>C90&amp;"|"&amp;D90</f>
        <v/>
      </c>
      <c r="O90">
        <f>COUNTIF($N$2:N90,N90)</f>
        <v/>
      </c>
      <c r="P90">
        <f>N90&amp;"|"&amp;O90</f>
        <v/>
      </c>
      <c r="Q90">
        <f>C90&amp;"|"&amp;D90&amp;"|"&amp;A90</f>
        <v/>
      </c>
    </row>
    <row r="91">
      <c r="A91" t="n">
        <v>25</v>
      </c>
      <c r="B91" t="inlineStr">
        <is>
          <t>Lemos Guancha Miriam</t>
        </is>
      </c>
      <c r="C91" t="inlineStr">
        <is>
          <t>LUNES</t>
        </is>
      </c>
      <c r="D91" t="n">
        <v>4</v>
      </c>
      <c r="E91" t="n">
        <v>2</v>
      </c>
      <c r="F91" t="inlineStr">
        <is>
          <t>ENFASIS</t>
        </is>
      </c>
      <c r="G91" t="inlineStr"/>
      <c r="H91" t="inlineStr">
        <is>
          <t>CNA</t>
        </is>
      </c>
      <c r="I91" t="inlineStr">
        <is>
          <t>0901</t>
        </is>
      </c>
      <c r="J91" t="inlineStr">
        <is>
          <t>EQUIPO DE 4: cada docente atiende un grupo de estudiantes en su área</t>
        </is>
      </c>
      <c r="K91" t="inlineStr">
        <is>
          <t>Valencia Marínez Saidy Eufemia (ART); Meza Banguera Gladys Alicia (CAS); González Castillo Jólmer Jimy (ERD)</t>
        </is>
      </c>
      <c r="L91" t="inlineStr">
        <is>
          <t>ÉNFASIS 9°-1</t>
        </is>
      </c>
      <c r="M91" t="inlineStr">
        <is>
          <t>EQUIPO DE 4: cada docente atiende un grupo de estudiantes en su área · Con: Valencia Marínez Saidy Eufemia (ART); Meza Banguera Gladys Alicia (CAS); González Castillo Jólmer Jimy (ERD)</t>
        </is>
      </c>
      <c r="N91">
        <f>C91&amp;"|"&amp;D91</f>
        <v/>
      </c>
      <c r="O91">
        <f>COUNTIF($N$2:N91,N91)</f>
        <v/>
      </c>
      <c r="P91">
        <f>N91&amp;"|"&amp;O91</f>
        <v/>
      </c>
      <c r="Q91">
        <f>C91&amp;"|"&amp;D91&amp;"|"&amp;A91</f>
        <v/>
      </c>
    </row>
    <row r="92">
      <c r="A92" t="n">
        <v>28</v>
      </c>
      <c r="B92" t="inlineStr">
        <is>
          <t>Meza Banguera Gladys Alicia</t>
        </is>
      </c>
      <c r="C92" t="inlineStr">
        <is>
          <t>LUNES</t>
        </is>
      </c>
      <c r="D92" t="n">
        <v>4</v>
      </c>
      <c r="E92" t="n">
        <v>2</v>
      </c>
      <c r="F92" t="inlineStr">
        <is>
          <t>ENFASIS</t>
        </is>
      </c>
      <c r="G92" t="inlineStr"/>
      <c r="H92" t="inlineStr">
        <is>
          <t>CAS</t>
        </is>
      </c>
      <c r="I92" t="inlineStr">
        <is>
          <t>0901</t>
        </is>
      </c>
      <c r="J92" t="inlineStr">
        <is>
          <t>EQUIPO DE 4: cada docente atiende un grupo de estudiantes en su área</t>
        </is>
      </c>
      <c r="K92" t="inlineStr">
        <is>
          <t>Valencia Marínez Saidy Eufemia (ART); González Castillo Jólmer Jimy (ERD); Lemos Guancha Miriam (CNA)</t>
        </is>
      </c>
      <c r="L92" t="inlineStr">
        <is>
          <t>ÉNFASIS 9°-1</t>
        </is>
      </c>
      <c r="M92" t="inlineStr">
        <is>
          <t>EQUIPO DE 4: cada docente atiende un grupo de estudiantes en su área · Con: Valencia Marínez Saidy Eufemia (ART); González Castillo Jólmer Jimy (ERD); Lemos Guancha Miriam (CNA)</t>
        </is>
      </c>
      <c r="N92">
        <f>C92&amp;"|"&amp;D92</f>
        <v/>
      </c>
      <c r="O92">
        <f>COUNTIF($N$2:N92,N92)</f>
        <v/>
      </c>
      <c r="P92">
        <f>N92&amp;"|"&amp;O92</f>
        <v/>
      </c>
      <c r="Q92">
        <f>C92&amp;"|"&amp;D92&amp;"|"&amp;A92</f>
        <v/>
      </c>
    </row>
    <row r="93">
      <c r="A93" t="n">
        <v>49</v>
      </c>
      <c r="B93" t="inlineStr">
        <is>
          <t>Valencia Marínez Saidy Eufemia</t>
        </is>
      </c>
      <c r="C93" t="inlineStr">
        <is>
          <t>LUNES</t>
        </is>
      </c>
      <c r="D93" t="n">
        <v>4</v>
      </c>
      <c r="E93" t="n">
        <v>2</v>
      </c>
      <c r="F93" t="inlineStr">
        <is>
          <t>ENFASIS</t>
        </is>
      </c>
      <c r="G93" t="inlineStr"/>
      <c r="H93" t="inlineStr">
        <is>
          <t>ART</t>
        </is>
      </c>
      <c r="I93" t="inlineStr">
        <is>
          <t>0901</t>
        </is>
      </c>
      <c r="J93" t="inlineStr">
        <is>
          <t>EQUIPO DE 4: cada docente atiende un grupo de estudiantes en su área</t>
        </is>
      </c>
      <c r="K93" t="inlineStr">
        <is>
          <t>Meza Banguera Gladys Alicia (CAS); González Castillo Jólmer Jimy (ERD); Lemos Guancha Miriam (CNA)</t>
        </is>
      </c>
      <c r="L93" t="inlineStr">
        <is>
          <t>ÉNFASIS 9°-1</t>
        </is>
      </c>
      <c r="M93" t="inlineStr">
        <is>
          <t>EQUIPO DE 4: cada docente atiende un grupo de estudiantes en su área · Con: Meza Banguera Gladys Alicia (CAS); González Castillo Jólmer Jimy (ERD); Lemos Guancha Miriam (CNA)</t>
        </is>
      </c>
      <c r="N93">
        <f>C93&amp;"|"&amp;D93</f>
        <v/>
      </c>
      <c r="O93">
        <f>COUNTIF($N$2:N93,N93)</f>
        <v/>
      </c>
      <c r="P93">
        <f>N93&amp;"|"&amp;O93</f>
        <v/>
      </c>
      <c r="Q93">
        <f>C93&amp;"|"&amp;D93&amp;"|"&amp;A93</f>
        <v/>
      </c>
    </row>
    <row r="94">
      <c r="A94" t="n">
        <v>2</v>
      </c>
      <c r="B94" t="inlineStr">
        <is>
          <t>Angulo Lucero Andrés Mauricio</t>
        </is>
      </c>
      <c r="C94" t="inlineStr">
        <is>
          <t>LUNES</t>
        </is>
      </c>
      <c r="D94" t="n">
        <v>4</v>
      </c>
      <c r="E94" t="n">
        <v>2</v>
      </c>
      <c r="F94" t="inlineStr">
        <is>
          <t>ENFASIS</t>
        </is>
      </c>
      <c r="G94" t="inlineStr"/>
      <c r="H94" t="inlineStr">
        <is>
          <t>TEI</t>
        </is>
      </c>
      <c r="I94" t="inlineStr">
        <is>
          <t>1102</t>
        </is>
      </c>
      <c r="J94" t="inlineStr">
        <is>
          <t>EQUIPO DE 4: cada docente atiende un grupo de estudiantes en su área</t>
        </is>
      </c>
      <c r="K94" t="inlineStr">
        <is>
          <t>Pulgarín Ortiz César Marino (CSI); Montaño Arizala Leidis Claudina (ETR); Villota Rubio Janeth del Carmen (MAT)</t>
        </is>
      </c>
      <c r="L94" t="inlineStr">
        <is>
          <t>ÉNFASIS 11°-2</t>
        </is>
      </c>
      <c r="M94" t="inlineStr">
        <is>
          <t>EQUIPO DE 4: cada docente atiende un grupo de estudiantes en su área · Con: Pulgarín Ortiz César Marino (CSI); Montaño Arizala Leidis Claudina (ETR); Villota Rubio Janeth del Carmen (MAT)</t>
        </is>
      </c>
      <c r="N94">
        <f>C94&amp;"|"&amp;D94</f>
        <v/>
      </c>
      <c r="O94">
        <f>COUNTIF($N$2:N94,N94)</f>
        <v/>
      </c>
      <c r="P94">
        <f>N94&amp;"|"&amp;O94</f>
        <v/>
      </c>
      <c r="Q94">
        <f>C94&amp;"|"&amp;D94&amp;"|"&amp;A94</f>
        <v/>
      </c>
    </row>
    <row r="95">
      <c r="A95" t="n">
        <v>31</v>
      </c>
      <c r="B95" t="inlineStr">
        <is>
          <t>Montaño Arizala Leidis Claudina</t>
        </is>
      </c>
      <c r="C95" t="inlineStr">
        <is>
          <t>LUNES</t>
        </is>
      </c>
      <c r="D95" t="n">
        <v>4</v>
      </c>
      <c r="E95" t="n">
        <v>2</v>
      </c>
      <c r="F95" t="inlineStr">
        <is>
          <t>ENFASIS</t>
        </is>
      </c>
      <c r="G95" t="inlineStr"/>
      <c r="H95" t="inlineStr">
        <is>
          <t>ETR</t>
        </is>
      </c>
      <c r="I95" t="inlineStr">
        <is>
          <t>1102</t>
        </is>
      </c>
      <c r="J95" t="inlineStr">
        <is>
          <t>EQUIPO DE 4: cada docente atiende un grupo de estudiantes en su área</t>
        </is>
      </c>
      <c r="K95" t="inlineStr">
        <is>
          <t>Pulgarín Ortiz César Marino (CSI); Villota Rubio Janeth del Carmen (MAT); Angulo Lucero Andrés Mauricio (TEI)</t>
        </is>
      </c>
      <c r="L95" t="inlineStr">
        <is>
          <t>ÉNFASIS 11°-2</t>
        </is>
      </c>
      <c r="M95" t="inlineStr">
        <is>
          <t>EQUIPO DE 4: cada docente atiende un grupo de estudiantes en su área · Con: Pulgarín Ortiz César Marino (CSI); Villota Rubio Janeth del Carmen (MAT); Angulo Lucero Andrés Mauricio (TEI)</t>
        </is>
      </c>
      <c r="N95">
        <f>C95&amp;"|"&amp;D95</f>
        <v/>
      </c>
      <c r="O95">
        <f>COUNTIF($N$2:N95,N95)</f>
        <v/>
      </c>
      <c r="P95">
        <f>N95&amp;"|"&amp;O95</f>
        <v/>
      </c>
      <c r="Q95">
        <f>C95&amp;"|"&amp;D95&amp;"|"&amp;A95</f>
        <v/>
      </c>
    </row>
    <row r="96">
      <c r="A96" t="n">
        <v>40</v>
      </c>
      <c r="B96" t="inlineStr">
        <is>
          <t>Pulgarín Ortiz César Marino</t>
        </is>
      </c>
      <c r="C96" t="inlineStr">
        <is>
          <t>LUNES</t>
        </is>
      </c>
      <c r="D96" t="n">
        <v>4</v>
      </c>
      <c r="E96" t="n">
        <v>2</v>
      </c>
      <c r="F96" t="inlineStr">
        <is>
          <t>ENFASIS</t>
        </is>
      </c>
      <c r="G96" t="inlineStr"/>
      <c r="H96" t="inlineStr">
        <is>
          <t>CSI</t>
        </is>
      </c>
      <c r="I96" t="inlineStr">
        <is>
          <t>1102</t>
        </is>
      </c>
      <c r="J96" t="inlineStr">
        <is>
          <t>EQUIPO DE 4: cada docente atiende un grupo de estudiantes en su área</t>
        </is>
      </c>
      <c r="K96" t="inlineStr">
        <is>
          <t>Montaño Arizala Leidis Claudina (ETR); Villota Rubio Janeth del Carmen (MAT); Angulo Lucero Andrés Mauricio (TEI)</t>
        </is>
      </c>
      <c r="L96" t="inlineStr">
        <is>
          <t>ÉNFASIS 11°-2</t>
        </is>
      </c>
      <c r="M96" t="inlineStr">
        <is>
          <t>EQUIPO DE 4: cada docente atiende un grupo de estudiantes en su área · Con: Montaño Arizala Leidis Claudina (ETR); Villota Rubio Janeth del Carmen (MAT); Angulo Lucero Andrés Mauricio (TEI)</t>
        </is>
      </c>
      <c r="N96">
        <f>C96&amp;"|"&amp;D96</f>
        <v/>
      </c>
      <c r="O96">
        <f>COUNTIF($N$2:N96,N96)</f>
        <v/>
      </c>
      <c r="P96">
        <f>N96&amp;"|"&amp;O96</f>
        <v/>
      </c>
      <c r="Q96">
        <f>C96&amp;"|"&amp;D96&amp;"|"&amp;A96</f>
        <v/>
      </c>
    </row>
    <row r="97">
      <c r="A97" t="n">
        <v>54</v>
      </c>
      <c r="B97" t="inlineStr">
        <is>
          <t>Villota Rubio Janeth del Carmen</t>
        </is>
      </c>
      <c r="C97" t="inlineStr">
        <is>
          <t>LUNES</t>
        </is>
      </c>
      <c r="D97" t="n">
        <v>4</v>
      </c>
      <c r="E97" t="n">
        <v>2</v>
      </c>
      <c r="F97" t="inlineStr">
        <is>
          <t>ENFASIS</t>
        </is>
      </c>
      <c r="G97" t="inlineStr"/>
      <c r="H97" t="inlineStr">
        <is>
          <t>MAT</t>
        </is>
      </c>
      <c r="I97" t="inlineStr">
        <is>
          <t>1102</t>
        </is>
      </c>
      <c r="J97" t="inlineStr">
        <is>
          <t>EQUIPO DE 4: cada docente atiende un grupo de estudiantes en su área</t>
        </is>
      </c>
      <c r="K97" t="inlineStr">
        <is>
          <t>Pulgarín Ortiz César Marino (CSI); Montaño Arizala Leidis Claudina (ETR); Angulo Lucero Andrés Mauricio (TEI)</t>
        </is>
      </c>
      <c r="L97" t="inlineStr">
        <is>
          <t>ÉNFASIS 11°-2</t>
        </is>
      </c>
      <c r="M97" t="inlineStr">
        <is>
          <t>EQUIPO DE 4: cada docente atiende un grupo de estudiantes en su área · Con: Pulgarín Ortiz César Marino (CSI); Montaño Arizala Leidis Claudina (ETR); Angulo Lucero Andrés Mauricio (TEI)</t>
        </is>
      </c>
      <c r="N97">
        <f>C97&amp;"|"&amp;D97</f>
        <v/>
      </c>
      <c r="O97">
        <f>COUNTIF($N$2:N97,N97)</f>
        <v/>
      </c>
      <c r="P97">
        <f>N97&amp;"|"&amp;O97</f>
        <v/>
      </c>
      <c r="Q97">
        <f>C97&amp;"|"&amp;D97&amp;"|"&amp;A97</f>
        <v/>
      </c>
    </row>
    <row r="98">
      <c r="A98" t="n">
        <v>57</v>
      </c>
      <c r="B98" t="inlineStr">
        <is>
          <t>Armero Dájome Jesús</t>
        </is>
      </c>
      <c r="C98" t="inlineStr">
        <is>
          <t>LUNES</t>
        </is>
      </c>
      <c r="D98" t="n">
        <v>5</v>
      </c>
      <c r="E98" t="n">
        <v>3</v>
      </c>
      <c r="F98" t="inlineStr">
        <is>
          <t>CLASE</t>
        </is>
      </c>
      <c r="G98" t="inlineStr">
        <is>
          <t>0601</t>
        </is>
      </c>
      <c r="H98" t="inlineStr">
        <is>
          <t>ERD</t>
        </is>
      </c>
      <c r="I98" t="inlineStr"/>
      <c r="J98" t="inlineStr"/>
      <c r="K98" t="inlineStr"/>
      <c r="L98" t="inlineStr">
        <is>
          <t>6°-1</t>
        </is>
      </c>
      <c r="M98" t="inlineStr"/>
      <c r="N98">
        <f>C98&amp;"|"&amp;D98</f>
        <v/>
      </c>
      <c r="O98">
        <f>COUNTIF($N$2:N98,N98)</f>
        <v/>
      </c>
      <c r="P98">
        <f>N98&amp;"|"&amp;O98</f>
        <v/>
      </c>
      <c r="Q98">
        <f>C98&amp;"|"&amp;D98&amp;"|"&amp;A98</f>
        <v/>
      </c>
    </row>
    <row r="99">
      <c r="A99" t="n">
        <v>20</v>
      </c>
      <c r="B99" t="inlineStr">
        <is>
          <t>García Gobea Saydi Magali</t>
        </is>
      </c>
      <c r="C99" t="inlineStr">
        <is>
          <t>LUNES</t>
        </is>
      </c>
      <c r="D99" t="n">
        <v>5</v>
      </c>
      <c r="E99" t="n">
        <v>3</v>
      </c>
      <c r="F99" t="inlineStr">
        <is>
          <t>CLASE</t>
        </is>
      </c>
      <c r="G99" t="inlineStr">
        <is>
          <t>0602</t>
        </is>
      </c>
      <c r="H99" t="inlineStr">
        <is>
          <t>CSI</t>
        </is>
      </c>
      <c r="I99" t="inlineStr"/>
      <c r="J99" t="inlineStr">
        <is>
          <t>Sociales / Inglés (alternan cada semana)</t>
        </is>
      </c>
      <c r="K99" t="inlineStr"/>
      <c r="L99" t="inlineStr">
        <is>
          <t>6°-2</t>
        </is>
      </c>
      <c r="M99" t="inlineStr">
        <is>
          <t>Sociales / Inglés (alternan cada semana)</t>
        </is>
      </c>
      <c r="N99">
        <f>C99&amp;"|"&amp;D99</f>
        <v/>
      </c>
      <c r="O99">
        <f>COUNTIF($N$2:N99,N99)</f>
        <v/>
      </c>
      <c r="P99">
        <f>N99&amp;"|"&amp;O99</f>
        <v/>
      </c>
      <c r="Q99">
        <f>C99&amp;"|"&amp;D99&amp;"|"&amp;A99</f>
        <v/>
      </c>
    </row>
    <row r="100">
      <c r="A100" t="n">
        <v>39</v>
      </c>
      <c r="B100" t="inlineStr">
        <is>
          <t>Puches Ana Milena</t>
        </is>
      </c>
      <c r="C100" t="inlineStr">
        <is>
          <t>LUNES</t>
        </is>
      </c>
      <c r="D100" t="n">
        <v>5</v>
      </c>
      <c r="E100" t="n">
        <v>3</v>
      </c>
      <c r="F100" t="inlineStr">
        <is>
          <t>CLASE</t>
        </is>
      </c>
      <c r="G100" t="inlineStr">
        <is>
          <t>0701</t>
        </is>
      </c>
      <c r="H100" t="inlineStr">
        <is>
          <t>ART</t>
        </is>
      </c>
      <c r="I100" t="inlineStr"/>
      <c r="J100" t="inlineStr"/>
      <c r="K100" t="inlineStr"/>
      <c r="L100" t="inlineStr">
        <is>
          <t>7°-1</t>
        </is>
      </c>
      <c r="M100" t="inlineStr"/>
      <c r="N100">
        <f>C100&amp;"|"&amp;D100</f>
        <v/>
      </c>
      <c r="O100">
        <f>COUNTIF($N$2:N100,N100)</f>
        <v/>
      </c>
      <c r="P100">
        <f>N100&amp;"|"&amp;O100</f>
        <v/>
      </c>
      <c r="Q100">
        <f>C100&amp;"|"&amp;D100&amp;"|"&amp;A100</f>
        <v/>
      </c>
    </row>
    <row r="101">
      <c r="A101" t="n">
        <v>34</v>
      </c>
      <c r="B101" t="inlineStr">
        <is>
          <t>Ordóñez Tenorio Jaime Marcial</t>
        </is>
      </c>
      <c r="C101" t="inlineStr">
        <is>
          <t>LUNES</t>
        </is>
      </c>
      <c r="D101" t="n">
        <v>5</v>
      </c>
      <c r="E101" t="n">
        <v>3</v>
      </c>
      <c r="F101" t="inlineStr">
        <is>
          <t>CLASE</t>
        </is>
      </c>
      <c r="G101" t="inlineStr">
        <is>
          <t>0702</t>
        </is>
      </c>
      <c r="H101" t="inlineStr">
        <is>
          <t>CNA</t>
        </is>
      </c>
      <c r="I101" t="inlineStr"/>
      <c r="J101" t="inlineStr"/>
      <c r="K101" t="inlineStr"/>
      <c r="L101" t="inlineStr">
        <is>
          <t>7°-2</t>
        </is>
      </c>
      <c r="M101" t="inlineStr"/>
      <c r="N101">
        <f>C101&amp;"|"&amp;D101</f>
        <v/>
      </c>
      <c r="O101">
        <f>COUNTIF($N$2:N101,N101)</f>
        <v/>
      </c>
      <c r="P101">
        <f>N101&amp;"|"&amp;O101</f>
        <v/>
      </c>
      <c r="Q101">
        <f>C101&amp;"|"&amp;D101&amp;"|"&amp;A101</f>
        <v/>
      </c>
    </row>
    <row r="102">
      <c r="A102" t="n">
        <v>4</v>
      </c>
      <c r="B102" t="inlineStr">
        <is>
          <t>Arizala Castro Roberto Carlos</t>
        </is>
      </c>
      <c r="C102" t="inlineStr">
        <is>
          <t>LUNES</t>
        </is>
      </c>
      <c r="D102" t="n">
        <v>5</v>
      </c>
      <c r="E102" t="n">
        <v>3</v>
      </c>
      <c r="F102" t="inlineStr">
        <is>
          <t>CLASE</t>
        </is>
      </c>
      <c r="G102" t="inlineStr">
        <is>
          <t>0703</t>
        </is>
      </c>
      <c r="H102" t="inlineStr">
        <is>
          <t>ERD</t>
        </is>
      </c>
      <c r="I102" t="inlineStr"/>
      <c r="J102" t="inlineStr"/>
      <c r="K102" t="inlineStr"/>
      <c r="L102" t="inlineStr">
        <is>
          <t>7°-3</t>
        </is>
      </c>
      <c r="M102" t="inlineStr"/>
      <c r="N102">
        <f>C102&amp;"|"&amp;D102</f>
        <v/>
      </c>
      <c r="O102">
        <f>COUNTIF($N$2:N102,N102)</f>
        <v/>
      </c>
      <c r="P102">
        <f>N102&amp;"|"&amp;O102</f>
        <v/>
      </c>
      <c r="Q102">
        <f>C102&amp;"|"&amp;D102&amp;"|"&amp;A102</f>
        <v/>
      </c>
    </row>
    <row r="103">
      <c r="A103" t="n">
        <v>15</v>
      </c>
      <c r="B103" t="inlineStr">
        <is>
          <t>Cuero Bamba Berte Levi</t>
        </is>
      </c>
      <c r="C103" t="inlineStr">
        <is>
          <t>LUNES</t>
        </is>
      </c>
      <c r="D103" t="n">
        <v>5</v>
      </c>
      <c r="E103" t="n">
        <v>3</v>
      </c>
      <c r="F103" t="inlineStr">
        <is>
          <t>CLASE</t>
        </is>
      </c>
      <c r="G103" t="inlineStr">
        <is>
          <t>0801</t>
        </is>
      </c>
      <c r="H103" t="inlineStr">
        <is>
          <t>ERD</t>
        </is>
      </c>
      <c r="I103" t="inlineStr"/>
      <c r="J103" t="inlineStr"/>
      <c r="K103" t="inlineStr"/>
      <c r="L103" t="inlineStr">
        <is>
          <t>8°-1</t>
        </is>
      </c>
      <c r="M103" t="inlineStr"/>
      <c r="N103">
        <f>C103&amp;"|"&amp;D103</f>
        <v/>
      </c>
      <c r="O103">
        <f>COUNTIF($N$2:N103,N103)</f>
        <v/>
      </c>
      <c r="P103">
        <f>N103&amp;"|"&amp;O103</f>
        <v/>
      </c>
      <c r="Q103">
        <f>C103&amp;"|"&amp;D103&amp;"|"&amp;A103</f>
        <v/>
      </c>
    </row>
    <row r="104">
      <c r="A104" t="n">
        <v>6</v>
      </c>
      <c r="B104" t="inlineStr">
        <is>
          <t>Betancourth Ocampo Yohana Patricia</t>
        </is>
      </c>
      <c r="C104" t="inlineStr">
        <is>
          <t>LUNES</t>
        </is>
      </c>
      <c r="D104" t="n">
        <v>5</v>
      </c>
      <c r="E104" t="n">
        <v>3</v>
      </c>
      <c r="F104" t="inlineStr">
        <is>
          <t>CLASE</t>
        </is>
      </c>
      <c r="G104" t="inlineStr">
        <is>
          <t>0902</t>
        </is>
      </c>
      <c r="H104" t="inlineStr">
        <is>
          <t>CSI</t>
        </is>
      </c>
      <c r="I104" t="inlineStr"/>
      <c r="J104" t="inlineStr">
        <is>
          <t>Sociales / Inglés (alternan cada semana)</t>
        </is>
      </c>
      <c r="K104" t="inlineStr"/>
      <c r="L104" t="inlineStr">
        <is>
          <t>9°-2</t>
        </is>
      </c>
      <c r="M104" t="inlineStr">
        <is>
          <t>Sociales / Inglés (alternan cada semana)</t>
        </is>
      </c>
      <c r="N104">
        <f>C104&amp;"|"&amp;D104</f>
        <v/>
      </c>
      <c r="O104">
        <f>COUNTIF($N$2:N104,N104)</f>
        <v/>
      </c>
      <c r="P104">
        <f>N104&amp;"|"&amp;O104</f>
        <v/>
      </c>
      <c r="Q104">
        <f>C104&amp;"|"&amp;D104&amp;"|"&amp;A104</f>
        <v/>
      </c>
    </row>
    <row r="105">
      <c r="A105" t="n">
        <v>18</v>
      </c>
      <c r="B105" t="inlineStr">
        <is>
          <t>Estacio Estupiñán Rosario</t>
        </is>
      </c>
      <c r="C105" t="inlineStr">
        <is>
          <t>LUNES</t>
        </is>
      </c>
      <c r="D105" t="n">
        <v>5</v>
      </c>
      <c r="E105" t="n">
        <v>3</v>
      </c>
      <c r="F105" t="inlineStr">
        <is>
          <t>CLASE</t>
        </is>
      </c>
      <c r="G105" t="inlineStr">
        <is>
          <t>1001</t>
        </is>
      </c>
      <c r="H105" t="inlineStr">
        <is>
          <t>ETR</t>
        </is>
      </c>
      <c r="I105" t="inlineStr"/>
      <c r="J105" t="inlineStr">
        <is>
          <t>Ética / Religión (alternan cada semana)</t>
        </is>
      </c>
      <c r="K105" t="inlineStr"/>
      <c r="L105" t="inlineStr">
        <is>
          <t>10°-1</t>
        </is>
      </c>
      <c r="M105" t="inlineStr">
        <is>
          <t>Ética / Religión (alternan cada semana)</t>
        </is>
      </c>
      <c r="N105">
        <f>C105&amp;"|"&amp;D105</f>
        <v/>
      </c>
      <c r="O105">
        <f>COUNTIF($N$2:N105,N105)</f>
        <v/>
      </c>
      <c r="P105">
        <f>N105&amp;"|"&amp;O105</f>
        <v/>
      </c>
      <c r="Q105">
        <f>C105&amp;"|"&amp;D105&amp;"|"&amp;A105</f>
        <v/>
      </c>
    </row>
    <row r="106">
      <c r="A106" t="n">
        <v>30</v>
      </c>
      <c r="B106" t="inlineStr">
        <is>
          <t>Montaño Anchico Favio Héctor</t>
        </is>
      </c>
      <c r="C106" t="inlineStr">
        <is>
          <t>LUNES</t>
        </is>
      </c>
      <c r="D106" t="n">
        <v>5</v>
      </c>
      <c r="E106" t="n">
        <v>3</v>
      </c>
      <c r="F106" t="inlineStr">
        <is>
          <t>CLASE</t>
        </is>
      </c>
      <c r="G106" t="inlineStr">
        <is>
          <t>1101</t>
        </is>
      </c>
      <c r="H106" t="inlineStr">
        <is>
          <t>CAS</t>
        </is>
      </c>
      <c r="I106" t="inlineStr"/>
      <c r="J106" t="inlineStr"/>
      <c r="K106" t="inlineStr"/>
      <c r="L106" t="inlineStr">
        <is>
          <t>11°-1</t>
        </is>
      </c>
      <c r="M106" t="inlineStr"/>
      <c r="N106">
        <f>C106&amp;"|"&amp;D106</f>
        <v/>
      </c>
      <c r="O106">
        <f>COUNTIF($N$2:N106,N106)</f>
        <v/>
      </c>
      <c r="P106">
        <f>N106&amp;"|"&amp;O106</f>
        <v/>
      </c>
      <c r="Q106">
        <f>C106&amp;"|"&amp;D106&amp;"|"&amp;A106</f>
        <v/>
      </c>
    </row>
    <row r="107">
      <c r="A107" t="n">
        <v>43</v>
      </c>
      <c r="B107" t="inlineStr">
        <is>
          <t>Ramírez Guerra Jimmy Eduardo</t>
        </is>
      </c>
      <c r="C107" t="inlineStr">
        <is>
          <t>LUNES</t>
        </is>
      </c>
      <c r="D107" t="n">
        <v>5</v>
      </c>
      <c r="E107" t="n">
        <v>3</v>
      </c>
      <c r="F107" t="inlineStr">
        <is>
          <t>CLASE</t>
        </is>
      </c>
      <c r="G107" t="inlineStr">
        <is>
          <t>1102</t>
        </is>
      </c>
      <c r="H107" t="inlineStr">
        <is>
          <t>ERD</t>
        </is>
      </c>
      <c r="I107" t="inlineStr"/>
      <c r="J107" t="inlineStr"/>
      <c r="K107" t="inlineStr"/>
      <c r="L107" t="inlineStr">
        <is>
          <t>11°-2</t>
        </is>
      </c>
      <c r="M107" t="inlineStr"/>
      <c r="N107">
        <f>C107&amp;"|"&amp;D107</f>
        <v/>
      </c>
      <c r="O107">
        <f>COUNTIF($N$2:N107,N107)</f>
        <v/>
      </c>
      <c r="P107">
        <f>N107&amp;"|"&amp;O107</f>
        <v/>
      </c>
      <c r="Q107">
        <f>C107&amp;"|"&amp;D107&amp;"|"&amp;A107</f>
        <v/>
      </c>
    </row>
    <row r="108">
      <c r="A108" t="n">
        <v>42</v>
      </c>
      <c r="B108" t="inlineStr">
        <is>
          <t>Quiñones Cabezas Marcos Vidal</t>
        </is>
      </c>
      <c r="C108" t="inlineStr">
        <is>
          <t>LUNES</t>
        </is>
      </c>
      <c r="D108" t="n">
        <v>5</v>
      </c>
      <c r="E108" t="n">
        <v>3</v>
      </c>
      <c r="F108" t="inlineStr">
        <is>
          <t>CLASE</t>
        </is>
      </c>
      <c r="G108" t="inlineStr">
        <is>
          <t>CS101</t>
        </is>
      </c>
      <c r="H108" t="inlineStr">
        <is>
          <t>TEI</t>
        </is>
      </c>
      <c r="I108" t="inlineStr"/>
      <c r="J108" t="inlineStr"/>
      <c r="K108" t="inlineStr"/>
      <c r="L108" t="inlineStr">
        <is>
          <t>CS 1-1</t>
        </is>
      </c>
      <c r="M108" t="inlineStr"/>
      <c r="N108">
        <f>C108&amp;"|"&amp;D108</f>
        <v/>
      </c>
      <c r="O108">
        <f>COUNTIF($N$2:N108,N108)</f>
        <v/>
      </c>
      <c r="P108">
        <f>N108&amp;"|"&amp;O108</f>
        <v/>
      </c>
      <c r="Q108">
        <f>C108&amp;"|"&amp;D108&amp;"|"&amp;A108</f>
        <v/>
      </c>
    </row>
    <row r="109">
      <c r="A109" t="n">
        <v>16</v>
      </c>
      <c r="B109" t="inlineStr">
        <is>
          <t>Cuero Rincón Hernando Jesús</t>
        </is>
      </c>
      <c r="C109" t="inlineStr">
        <is>
          <t>LUNES</t>
        </is>
      </c>
      <c r="D109" t="n">
        <v>5</v>
      </c>
      <c r="E109" t="n">
        <v>3</v>
      </c>
      <c r="F109" t="inlineStr">
        <is>
          <t>CLASE</t>
        </is>
      </c>
      <c r="G109" t="inlineStr">
        <is>
          <t>CS102</t>
        </is>
      </c>
      <c r="H109" t="inlineStr">
        <is>
          <t>CAS</t>
        </is>
      </c>
      <c r="I109" t="inlineStr"/>
      <c r="J109" t="inlineStr"/>
      <c r="K109" t="inlineStr"/>
      <c r="L109" t="inlineStr">
        <is>
          <t>CS 1-2</t>
        </is>
      </c>
      <c r="M109" t="inlineStr"/>
      <c r="N109">
        <f>C109&amp;"|"&amp;D109</f>
        <v/>
      </c>
      <c r="O109">
        <f>COUNTIF($N$2:N109,N109)</f>
        <v/>
      </c>
      <c r="P109">
        <f>N109&amp;"|"&amp;O109</f>
        <v/>
      </c>
      <c r="Q109">
        <f>C109&amp;"|"&amp;D109&amp;"|"&amp;A109</f>
        <v/>
      </c>
    </row>
    <row r="110">
      <c r="A110" t="n">
        <v>12</v>
      </c>
      <c r="B110" t="inlineStr">
        <is>
          <t>Chillambo Quiñones María Rocío</t>
        </is>
      </c>
      <c r="C110" t="inlineStr">
        <is>
          <t>LUNES</t>
        </is>
      </c>
      <c r="D110" t="n">
        <v>5</v>
      </c>
      <c r="E110" t="n">
        <v>3</v>
      </c>
      <c r="F110" t="inlineStr">
        <is>
          <t>CLASE</t>
        </is>
      </c>
      <c r="G110" t="inlineStr">
        <is>
          <t>CS201</t>
        </is>
      </c>
      <c r="H110" t="inlineStr">
        <is>
          <t>CNA</t>
        </is>
      </c>
      <c r="I110" t="inlineStr"/>
      <c r="J110" t="inlineStr"/>
      <c r="K110" t="inlineStr"/>
      <c r="L110" t="inlineStr">
        <is>
          <t>CS 2-1</t>
        </is>
      </c>
      <c r="M110" t="inlineStr"/>
      <c r="N110">
        <f>C110&amp;"|"&amp;D110</f>
        <v/>
      </c>
      <c r="O110">
        <f>COUNTIF($N$2:N110,N110)</f>
        <v/>
      </c>
      <c r="P110">
        <f>N110&amp;"|"&amp;O110</f>
        <v/>
      </c>
      <c r="Q110">
        <f>C110&amp;"|"&amp;D110&amp;"|"&amp;A110</f>
        <v/>
      </c>
    </row>
    <row r="111">
      <c r="A111" t="n">
        <v>44</v>
      </c>
      <c r="B111" t="inlineStr">
        <is>
          <t>Samaniego Angulo Flor Mireya</t>
        </is>
      </c>
      <c r="C111" t="inlineStr">
        <is>
          <t>LUNES</t>
        </is>
      </c>
      <c r="D111" t="n">
        <v>5</v>
      </c>
      <c r="E111" t="n">
        <v>3</v>
      </c>
      <c r="F111" t="inlineStr">
        <is>
          <t>CLASE</t>
        </is>
      </c>
      <c r="G111" t="inlineStr">
        <is>
          <t>CS202</t>
        </is>
      </c>
      <c r="H111" t="inlineStr">
        <is>
          <t>ART</t>
        </is>
      </c>
      <c r="I111" t="inlineStr"/>
      <c r="J111" t="inlineStr"/>
      <c r="K111" t="inlineStr"/>
      <c r="L111" t="inlineStr">
        <is>
          <t>CS 2-2</t>
        </is>
      </c>
      <c r="M111" t="inlineStr"/>
      <c r="N111">
        <f>C111&amp;"|"&amp;D111</f>
        <v/>
      </c>
      <c r="O111">
        <f>COUNTIF($N$2:N111,N111)</f>
        <v/>
      </c>
      <c r="P111">
        <f>N111&amp;"|"&amp;O111</f>
        <v/>
      </c>
      <c r="Q111">
        <f>C111&amp;"|"&amp;D111&amp;"|"&amp;A111</f>
        <v/>
      </c>
    </row>
    <row r="112">
      <c r="A112" t="n">
        <v>1</v>
      </c>
      <c r="B112" t="inlineStr">
        <is>
          <t>Aguirre Riascos Jorge Andrés</t>
        </is>
      </c>
      <c r="C112" t="inlineStr">
        <is>
          <t>LUNES</t>
        </is>
      </c>
      <c r="D112" t="n">
        <v>5</v>
      </c>
      <c r="E112" t="n">
        <v>3</v>
      </c>
      <c r="F112" t="inlineStr">
        <is>
          <t>ENFASIS</t>
        </is>
      </c>
      <c r="G112" t="inlineStr"/>
      <c r="H112" t="inlineStr">
        <is>
          <t>TEI</t>
        </is>
      </c>
      <c r="I112" t="inlineStr">
        <is>
          <t>0704</t>
        </is>
      </c>
      <c r="J112" t="inlineStr">
        <is>
          <t>PAREJA: comparten el énfasis y alternan por semana</t>
        </is>
      </c>
      <c r="K112" t="inlineStr">
        <is>
          <t>Vásquez Valencia Segundo Leoncio (MAT)</t>
        </is>
      </c>
      <c r="L112" t="inlineStr">
        <is>
          <t>ÉNFASIS 7°-4</t>
        </is>
      </c>
      <c r="M112" t="inlineStr">
        <is>
          <t>PAREJA: comparten el énfasis y alternan por semana · Con: Vásquez Valencia Segundo Leoncio (MAT)</t>
        </is>
      </c>
      <c r="N112">
        <f>C112&amp;"|"&amp;D112</f>
        <v/>
      </c>
      <c r="O112">
        <f>COUNTIF($N$2:N112,N112)</f>
        <v/>
      </c>
      <c r="P112">
        <f>N112&amp;"|"&amp;O112</f>
        <v/>
      </c>
      <c r="Q112">
        <f>C112&amp;"|"&amp;D112&amp;"|"&amp;A112</f>
        <v/>
      </c>
    </row>
    <row r="113">
      <c r="A113" t="n">
        <v>52</v>
      </c>
      <c r="B113" t="inlineStr">
        <is>
          <t>Vásquez Valencia Segundo Leoncio</t>
        </is>
      </c>
      <c r="C113" t="inlineStr">
        <is>
          <t>LUNES</t>
        </is>
      </c>
      <c r="D113" t="n">
        <v>5</v>
      </c>
      <c r="E113" t="n">
        <v>3</v>
      </c>
      <c r="F113" t="inlineStr">
        <is>
          <t>ENFASIS</t>
        </is>
      </c>
      <c r="G113" t="inlineStr"/>
      <c r="H113" t="inlineStr">
        <is>
          <t>MAT</t>
        </is>
      </c>
      <c r="I113" t="inlineStr">
        <is>
          <t>0704</t>
        </is>
      </c>
      <c r="J113" t="inlineStr">
        <is>
          <t>PAREJA: comparten el énfasis y alternan por semana</t>
        </is>
      </c>
      <c r="K113" t="inlineStr">
        <is>
          <t>Aguirre Riascos Jorge Andrés (TEI)</t>
        </is>
      </c>
      <c r="L113" t="inlineStr">
        <is>
          <t>ÉNFASIS 7°-4</t>
        </is>
      </c>
      <c r="M113" t="inlineStr">
        <is>
          <t>PAREJA: comparten el énfasis y alternan por semana · Con: Aguirre Riascos Jorge Andrés (TEI)</t>
        </is>
      </c>
      <c r="N113">
        <f>C113&amp;"|"&amp;D113</f>
        <v/>
      </c>
      <c r="O113">
        <f>COUNTIF($N$2:N113,N113)</f>
        <v/>
      </c>
      <c r="P113">
        <f>N113&amp;"|"&amp;O113</f>
        <v/>
      </c>
      <c r="Q113">
        <f>C113&amp;"|"&amp;D113&amp;"|"&amp;A113</f>
        <v/>
      </c>
    </row>
    <row r="114">
      <c r="A114" t="n">
        <v>9</v>
      </c>
      <c r="B114" t="inlineStr">
        <is>
          <t>Castillo Angulo Martha Cecilia</t>
        </is>
      </c>
      <c r="C114" t="inlineStr">
        <is>
          <t>LUNES</t>
        </is>
      </c>
      <c r="D114" t="n">
        <v>5</v>
      </c>
      <c r="E114" t="n">
        <v>3</v>
      </c>
      <c r="F114" t="inlineStr">
        <is>
          <t>ENFASIS</t>
        </is>
      </c>
      <c r="G114" t="inlineStr"/>
      <c r="H114" t="inlineStr">
        <is>
          <t>ETR</t>
        </is>
      </c>
      <c r="I114" t="inlineStr">
        <is>
          <t>0802</t>
        </is>
      </c>
      <c r="J114" t="inlineStr">
        <is>
          <t>PAREJA: comparten el énfasis y alternan por semana</t>
        </is>
      </c>
      <c r="K114" t="inlineStr">
        <is>
          <t>Ortiz Araujo Adiela Carlota (CSI)</t>
        </is>
      </c>
      <c r="L114" t="inlineStr">
        <is>
          <t>ÉNFASIS 8°-2</t>
        </is>
      </c>
      <c r="M114" t="inlineStr">
        <is>
          <t>PAREJA: comparten el énfasis y alternan por semana · Con: Ortiz Araujo Adiela Carlota (CSI)</t>
        </is>
      </c>
      <c r="N114">
        <f>C114&amp;"|"&amp;D114</f>
        <v/>
      </c>
      <c r="O114">
        <f>COUNTIF($N$2:N114,N114)</f>
        <v/>
      </c>
      <c r="P114">
        <f>N114&amp;"|"&amp;O114</f>
        <v/>
      </c>
      <c r="Q114">
        <f>C114&amp;"|"&amp;D114&amp;"|"&amp;A114</f>
        <v/>
      </c>
    </row>
    <row r="115">
      <c r="A115" t="n">
        <v>19</v>
      </c>
      <c r="B115" t="inlineStr">
        <is>
          <t>Fernández Vélez Alfredo Enrique</t>
        </is>
      </c>
      <c r="C115" t="inlineStr">
        <is>
          <t>LUNES</t>
        </is>
      </c>
      <c r="D115" t="n">
        <v>5</v>
      </c>
      <c r="E115" t="n">
        <v>3</v>
      </c>
      <c r="F115" t="inlineStr">
        <is>
          <t>ENFASIS</t>
        </is>
      </c>
      <c r="G115" t="inlineStr"/>
      <c r="H115" t="inlineStr">
        <is>
          <t>TEI</t>
        </is>
      </c>
      <c r="I115" t="inlineStr">
        <is>
          <t>0802</t>
        </is>
      </c>
      <c r="J115" t="inlineStr">
        <is>
          <t>PAREJA: comparten el énfasis y alternan por semana</t>
        </is>
      </c>
      <c r="K115" t="inlineStr">
        <is>
          <t>Preciado Torres Oleisa (MAT)</t>
        </is>
      </c>
      <c r="L115" t="inlineStr">
        <is>
          <t>ÉNFASIS 8°-2</t>
        </is>
      </c>
      <c r="M115" t="inlineStr">
        <is>
          <t>PAREJA: comparten el énfasis y alternan por semana · Con: Preciado Torres Oleisa (MAT)</t>
        </is>
      </c>
      <c r="N115">
        <f>C115&amp;"|"&amp;D115</f>
        <v/>
      </c>
      <c r="O115">
        <f>COUNTIF($N$2:N115,N115)</f>
        <v/>
      </c>
      <c r="P115">
        <f>N115&amp;"|"&amp;O115</f>
        <v/>
      </c>
      <c r="Q115">
        <f>C115&amp;"|"&amp;D115&amp;"|"&amp;A115</f>
        <v/>
      </c>
    </row>
    <row r="116">
      <c r="A116" t="n">
        <v>35</v>
      </c>
      <c r="B116" t="inlineStr">
        <is>
          <t>Ortiz Araujo Adiela Carlota</t>
        </is>
      </c>
      <c r="C116" t="inlineStr">
        <is>
          <t>LUNES</t>
        </is>
      </c>
      <c r="D116" t="n">
        <v>5</v>
      </c>
      <c r="E116" t="n">
        <v>3</v>
      </c>
      <c r="F116" t="inlineStr">
        <is>
          <t>ENFASIS</t>
        </is>
      </c>
      <c r="G116" t="inlineStr"/>
      <c r="H116" t="inlineStr">
        <is>
          <t>CSI</t>
        </is>
      </c>
      <c r="I116" t="inlineStr">
        <is>
          <t>0802</t>
        </is>
      </c>
      <c r="J116" t="inlineStr">
        <is>
          <t>PAREJA: comparten el énfasis y alternan por semana</t>
        </is>
      </c>
      <c r="K116" t="inlineStr">
        <is>
          <t>Castillo Angulo Martha Cecilia (ETR)</t>
        </is>
      </c>
      <c r="L116" t="inlineStr">
        <is>
          <t>ÉNFASIS 8°-2</t>
        </is>
      </c>
      <c r="M116" t="inlineStr">
        <is>
          <t>PAREJA: comparten el énfasis y alternan por semana · Con: Castillo Angulo Martha Cecilia (ETR)</t>
        </is>
      </c>
      <c r="N116">
        <f>C116&amp;"|"&amp;D116</f>
        <v/>
      </c>
      <c r="O116">
        <f>COUNTIF($N$2:N116,N116)</f>
        <v/>
      </c>
      <c r="P116">
        <f>N116&amp;"|"&amp;O116</f>
        <v/>
      </c>
      <c r="Q116">
        <f>C116&amp;"|"&amp;D116&amp;"|"&amp;A116</f>
        <v/>
      </c>
    </row>
    <row r="117">
      <c r="A117" t="n">
        <v>38</v>
      </c>
      <c r="B117" t="inlineStr">
        <is>
          <t>Preciado Torres Oleisa</t>
        </is>
      </c>
      <c r="C117" t="inlineStr">
        <is>
          <t>LUNES</t>
        </is>
      </c>
      <c r="D117" t="n">
        <v>5</v>
      </c>
      <c r="E117" t="n">
        <v>3</v>
      </c>
      <c r="F117" t="inlineStr">
        <is>
          <t>ENFASIS</t>
        </is>
      </c>
      <c r="G117" t="inlineStr"/>
      <c r="H117" t="inlineStr">
        <is>
          <t>MAT</t>
        </is>
      </c>
      <c r="I117" t="inlineStr">
        <is>
          <t>0802</t>
        </is>
      </c>
      <c r="J117" t="inlineStr">
        <is>
          <t>PAREJA: comparten el énfasis y alternan por semana</t>
        </is>
      </c>
      <c r="K117" t="inlineStr">
        <is>
          <t>Fernández Vélez Alfredo Enrique (TEI)</t>
        </is>
      </c>
      <c r="L117" t="inlineStr">
        <is>
          <t>ÉNFASIS 8°-2</t>
        </is>
      </c>
      <c r="M117" t="inlineStr">
        <is>
          <t>PAREJA: comparten el énfasis y alternan por semana · Con: Fernández Vélez Alfredo Enrique (TEI)</t>
        </is>
      </c>
      <c r="N117">
        <f>C117&amp;"|"&amp;D117</f>
        <v/>
      </c>
      <c r="O117">
        <f>COUNTIF($N$2:N117,N117)</f>
        <v/>
      </c>
      <c r="P117">
        <f>N117&amp;"|"&amp;O117</f>
        <v/>
      </c>
      <c r="Q117">
        <f>C117&amp;"|"&amp;D117&amp;"|"&amp;A117</f>
        <v/>
      </c>
    </row>
    <row r="118">
      <c r="A118" t="n">
        <v>22</v>
      </c>
      <c r="B118" t="inlineStr">
        <is>
          <t>González Castillo Jólmer Jimy</t>
        </is>
      </c>
      <c r="C118" t="inlineStr">
        <is>
          <t>LUNES</t>
        </is>
      </c>
      <c r="D118" t="n">
        <v>5</v>
      </c>
      <c r="E118" t="n">
        <v>3</v>
      </c>
      <c r="F118" t="inlineStr">
        <is>
          <t>ENFASIS</t>
        </is>
      </c>
      <c r="G118" t="inlineStr"/>
      <c r="H118" t="inlineStr">
        <is>
          <t>ERD</t>
        </is>
      </c>
      <c r="I118" t="inlineStr">
        <is>
          <t>0901</t>
        </is>
      </c>
      <c r="J118" t="inlineStr">
        <is>
          <t>EQUIPO DE 4: cada docente atiende un grupo de estudiantes en su área</t>
        </is>
      </c>
      <c r="K118" t="inlineStr">
        <is>
          <t>Valencia Marínez Saidy Eufemia (ART); Meza Banguera Gladys Alicia (CAS); Lemos Guancha Miriam (CNA)</t>
        </is>
      </c>
      <c r="L118" t="inlineStr">
        <is>
          <t>ÉNFASIS 9°-1</t>
        </is>
      </c>
      <c r="M118" t="inlineStr">
        <is>
          <t>EQUIPO DE 4: cada docente atiende un grupo de estudiantes en su área · Con: Valencia Marínez Saidy Eufemia (ART); Meza Banguera Gladys Alicia (CAS); Lemos Guancha Miriam (CNA)</t>
        </is>
      </c>
      <c r="N118">
        <f>C118&amp;"|"&amp;D118</f>
        <v/>
      </c>
      <c r="O118">
        <f>COUNTIF($N$2:N118,N118)</f>
        <v/>
      </c>
      <c r="P118">
        <f>N118&amp;"|"&amp;O118</f>
        <v/>
      </c>
      <c r="Q118">
        <f>C118&amp;"|"&amp;D118&amp;"|"&amp;A118</f>
        <v/>
      </c>
    </row>
    <row r="119">
      <c r="A119" t="n">
        <v>25</v>
      </c>
      <c r="B119" t="inlineStr">
        <is>
          <t>Lemos Guancha Miriam</t>
        </is>
      </c>
      <c r="C119" t="inlineStr">
        <is>
          <t>LUNES</t>
        </is>
      </c>
      <c r="D119" t="n">
        <v>5</v>
      </c>
      <c r="E119" t="n">
        <v>3</v>
      </c>
      <c r="F119" t="inlineStr">
        <is>
          <t>ENFASIS</t>
        </is>
      </c>
      <c r="G119" t="inlineStr"/>
      <c r="H119" t="inlineStr">
        <is>
          <t>CNA</t>
        </is>
      </c>
      <c r="I119" t="inlineStr">
        <is>
          <t>0901</t>
        </is>
      </c>
      <c r="J119" t="inlineStr">
        <is>
          <t>EQUIPO DE 4: cada docente atiende un grupo de estudiantes en su área</t>
        </is>
      </c>
      <c r="K119" t="inlineStr">
        <is>
          <t>Valencia Marínez Saidy Eufemia (ART); Meza Banguera Gladys Alicia (CAS); González Castillo Jólmer Jimy (ERD)</t>
        </is>
      </c>
      <c r="L119" t="inlineStr">
        <is>
          <t>ÉNFASIS 9°-1</t>
        </is>
      </c>
      <c r="M119" t="inlineStr">
        <is>
          <t>EQUIPO DE 4: cada docente atiende un grupo de estudiantes en su área · Con: Valencia Marínez Saidy Eufemia (ART); Meza Banguera Gladys Alicia (CAS); González Castillo Jólmer Jimy (ERD)</t>
        </is>
      </c>
      <c r="N119">
        <f>C119&amp;"|"&amp;D119</f>
        <v/>
      </c>
      <c r="O119">
        <f>COUNTIF($N$2:N119,N119)</f>
        <v/>
      </c>
      <c r="P119">
        <f>N119&amp;"|"&amp;O119</f>
        <v/>
      </c>
      <c r="Q119">
        <f>C119&amp;"|"&amp;D119&amp;"|"&amp;A119</f>
        <v/>
      </c>
    </row>
    <row r="120">
      <c r="A120" t="n">
        <v>28</v>
      </c>
      <c r="B120" t="inlineStr">
        <is>
          <t>Meza Banguera Gladys Alicia</t>
        </is>
      </c>
      <c r="C120" t="inlineStr">
        <is>
          <t>LUNES</t>
        </is>
      </c>
      <c r="D120" t="n">
        <v>5</v>
      </c>
      <c r="E120" t="n">
        <v>3</v>
      </c>
      <c r="F120" t="inlineStr">
        <is>
          <t>ENFASIS</t>
        </is>
      </c>
      <c r="G120" t="inlineStr"/>
      <c r="H120" t="inlineStr">
        <is>
          <t>CAS</t>
        </is>
      </c>
      <c r="I120" t="inlineStr">
        <is>
          <t>0901</t>
        </is>
      </c>
      <c r="J120" t="inlineStr">
        <is>
          <t>EQUIPO DE 4: cada docente atiende un grupo de estudiantes en su área</t>
        </is>
      </c>
      <c r="K120" t="inlineStr">
        <is>
          <t>Valencia Marínez Saidy Eufemia (ART); González Castillo Jólmer Jimy (ERD); Lemos Guancha Miriam (CNA)</t>
        </is>
      </c>
      <c r="L120" t="inlineStr">
        <is>
          <t>ÉNFASIS 9°-1</t>
        </is>
      </c>
      <c r="M120" t="inlineStr">
        <is>
          <t>EQUIPO DE 4: cada docente atiende un grupo de estudiantes en su área · Con: Valencia Marínez Saidy Eufemia (ART); González Castillo Jólmer Jimy (ERD); Lemos Guancha Miriam (CNA)</t>
        </is>
      </c>
      <c r="N120">
        <f>C120&amp;"|"&amp;D120</f>
        <v/>
      </c>
      <c r="O120">
        <f>COUNTIF($N$2:N120,N120)</f>
        <v/>
      </c>
      <c r="P120">
        <f>N120&amp;"|"&amp;O120</f>
        <v/>
      </c>
      <c r="Q120">
        <f>C120&amp;"|"&amp;D120&amp;"|"&amp;A120</f>
        <v/>
      </c>
    </row>
    <row r="121">
      <c r="A121" t="n">
        <v>49</v>
      </c>
      <c r="B121" t="inlineStr">
        <is>
          <t>Valencia Marínez Saidy Eufemia</t>
        </is>
      </c>
      <c r="C121" t="inlineStr">
        <is>
          <t>LUNES</t>
        </is>
      </c>
      <c r="D121" t="n">
        <v>5</v>
      </c>
      <c r="E121" t="n">
        <v>3</v>
      </c>
      <c r="F121" t="inlineStr">
        <is>
          <t>ENFASIS</t>
        </is>
      </c>
      <c r="G121" t="inlineStr"/>
      <c r="H121" t="inlineStr">
        <is>
          <t>ART</t>
        </is>
      </c>
      <c r="I121" t="inlineStr">
        <is>
          <t>0901</t>
        </is>
      </c>
      <c r="J121" t="inlineStr">
        <is>
          <t>EQUIPO DE 4: cada docente atiende un grupo de estudiantes en su área</t>
        </is>
      </c>
      <c r="K121" t="inlineStr">
        <is>
          <t>Meza Banguera Gladys Alicia (CAS); González Castillo Jólmer Jimy (ERD); Lemos Guancha Miriam (CNA)</t>
        </is>
      </c>
      <c r="L121" t="inlineStr">
        <is>
          <t>ÉNFASIS 9°-1</t>
        </is>
      </c>
      <c r="M121" t="inlineStr">
        <is>
          <t>EQUIPO DE 4: cada docente atiende un grupo de estudiantes en su área · Con: Meza Banguera Gladys Alicia (CAS); González Castillo Jólmer Jimy (ERD); Lemos Guancha Miriam (CNA)</t>
        </is>
      </c>
      <c r="N121">
        <f>C121&amp;"|"&amp;D121</f>
        <v/>
      </c>
      <c r="O121">
        <f>COUNTIF($N$2:N121,N121)</f>
        <v/>
      </c>
      <c r="P121">
        <f>N121&amp;"|"&amp;O121</f>
        <v/>
      </c>
      <c r="Q121">
        <f>C121&amp;"|"&amp;D121&amp;"|"&amp;A121</f>
        <v/>
      </c>
    </row>
    <row r="122">
      <c r="A122" t="n">
        <v>2</v>
      </c>
      <c r="B122" t="inlineStr">
        <is>
          <t>Angulo Lucero Andrés Mauricio</t>
        </is>
      </c>
      <c r="C122" t="inlineStr">
        <is>
          <t>LUNES</t>
        </is>
      </c>
      <c r="D122" t="n">
        <v>5</v>
      </c>
      <c r="E122" t="n">
        <v>3</v>
      </c>
      <c r="F122" t="inlineStr">
        <is>
          <t>ENFASIS</t>
        </is>
      </c>
      <c r="G122" t="inlineStr"/>
      <c r="H122" t="inlineStr">
        <is>
          <t>TEI</t>
        </is>
      </c>
      <c r="I122" t="inlineStr">
        <is>
          <t>1002</t>
        </is>
      </c>
      <c r="J122" t="inlineStr">
        <is>
          <t>EQUIPO DE 4: cada docente atiende un grupo de estudiantes en su área</t>
        </is>
      </c>
      <c r="K122" t="inlineStr">
        <is>
          <t>Pulgarín Ortiz César Marino (CSI); Montaño Arizala Leidis Claudina (ETR); Villota Rubio Janeth del Carmen (MAT)</t>
        </is>
      </c>
      <c r="L122" t="inlineStr">
        <is>
          <t>ÉNFASIS 10°-2</t>
        </is>
      </c>
      <c r="M122" t="inlineStr">
        <is>
          <t>EQUIPO DE 4: cada docente atiende un grupo de estudiantes en su área · Con: Pulgarín Ortiz César Marino (CSI); Montaño Arizala Leidis Claudina (ETR); Villota Rubio Janeth del Carmen (MAT)</t>
        </is>
      </c>
      <c r="N122">
        <f>C122&amp;"|"&amp;D122</f>
        <v/>
      </c>
      <c r="O122">
        <f>COUNTIF($N$2:N122,N122)</f>
        <v/>
      </c>
      <c r="P122">
        <f>N122&amp;"|"&amp;O122</f>
        <v/>
      </c>
      <c r="Q122">
        <f>C122&amp;"|"&amp;D122&amp;"|"&amp;A122</f>
        <v/>
      </c>
    </row>
    <row r="123">
      <c r="A123" t="n">
        <v>31</v>
      </c>
      <c r="B123" t="inlineStr">
        <is>
          <t>Montaño Arizala Leidis Claudina</t>
        </is>
      </c>
      <c r="C123" t="inlineStr">
        <is>
          <t>LUNES</t>
        </is>
      </c>
      <c r="D123" t="n">
        <v>5</v>
      </c>
      <c r="E123" t="n">
        <v>3</v>
      </c>
      <c r="F123" t="inlineStr">
        <is>
          <t>ENFASIS</t>
        </is>
      </c>
      <c r="G123" t="inlineStr"/>
      <c r="H123" t="inlineStr">
        <is>
          <t>ETR</t>
        </is>
      </c>
      <c r="I123" t="inlineStr">
        <is>
          <t>1002</t>
        </is>
      </c>
      <c r="J123" t="inlineStr">
        <is>
          <t>EQUIPO DE 4: cada docente atiende un grupo de estudiantes en su área</t>
        </is>
      </c>
      <c r="K123" t="inlineStr">
        <is>
          <t>Pulgarín Ortiz César Marino (CSI); Villota Rubio Janeth del Carmen (MAT); Angulo Lucero Andrés Mauricio (TEI)</t>
        </is>
      </c>
      <c r="L123" t="inlineStr">
        <is>
          <t>ÉNFASIS 10°-2</t>
        </is>
      </c>
      <c r="M123" t="inlineStr">
        <is>
          <t>EQUIPO DE 4: cada docente atiende un grupo de estudiantes en su área · Con: Pulgarín Ortiz César Marino (CSI); Villota Rubio Janeth del Carmen (MAT); Angulo Lucero Andrés Mauricio (TEI)</t>
        </is>
      </c>
      <c r="N123">
        <f>C123&amp;"|"&amp;D123</f>
        <v/>
      </c>
      <c r="O123">
        <f>COUNTIF($N$2:N123,N123)</f>
        <v/>
      </c>
      <c r="P123">
        <f>N123&amp;"|"&amp;O123</f>
        <v/>
      </c>
      <c r="Q123">
        <f>C123&amp;"|"&amp;D123&amp;"|"&amp;A123</f>
        <v/>
      </c>
    </row>
    <row r="124">
      <c r="A124" t="n">
        <v>40</v>
      </c>
      <c r="B124" t="inlineStr">
        <is>
          <t>Pulgarín Ortiz César Marino</t>
        </is>
      </c>
      <c r="C124" t="inlineStr">
        <is>
          <t>LUNES</t>
        </is>
      </c>
      <c r="D124" t="n">
        <v>5</v>
      </c>
      <c r="E124" t="n">
        <v>3</v>
      </c>
      <c r="F124" t="inlineStr">
        <is>
          <t>ENFASIS</t>
        </is>
      </c>
      <c r="G124" t="inlineStr"/>
      <c r="H124" t="inlineStr">
        <is>
          <t>CSI</t>
        </is>
      </c>
      <c r="I124" t="inlineStr">
        <is>
          <t>1002</t>
        </is>
      </c>
      <c r="J124" t="inlineStr">
        <is>
          <t>EQUIPO DE 4: cada docente atiende un grupo de estudiantes en su área</t>
        </is>
      </c>
      <c r="K124" t="inlineStr">
        <is>
          <t>Montaño Arizala Leidis Claudina (ETR); Villota Rubio Janeth del Carmen (MAT); Angulo Lucero Andrés Mauricio (TEI)</t>
        </is>
      </c>
      <c r="L124" t="inlineStr">
        <is>
          <t>ÉNFASIS 10°-2</t>
        </is>
      </c>
      <c r="M124" t="inlineStr">
        <is>
          <t>EQUIPO DE 4: cada docente atiende un grupo de estudiantes en su área · Con: Montaño Arizala Leidis Claudina (ETR); Villota Rubio Janeth del Carmen (MAT); Angulo Lucero Andrés Mauricio (TEI)</t>
        </is>
      </c>
      <c r="N124">
        <f>C124&amp;"|"&amp;D124</f>
        <v/>
      </c>
      <c r="O124">
        <f>COUNTIF($N$2:N124,N124)</f>
        <v/>
      </c>
      <c r="P124">
        <f>N124&amp;"|"&amp;O124</f>
        <v/>
      </c>
      <c r="Q124">
        <f>C124&amp;"|"&amp;D124&amp;"|"&amp;A124</f>
        <v/>
      </c>
    </row>
    <row r="125">
      <c r="A125" t="n">
        <v>54</v>
      </c>
      <c r="B125" t="inlineStr">
        <is>
          <t>Villota Rubio Janeth del Carmen</t>
        </is>
      </c>
      <c r="C125" t="inlineStr">
        <is>
          <t>LUNES</t>
        </is>
      </c>
      <c r="D125" t="n">
        <v>5</v>
      </c>
      <c r="E125" t="n">
        <v>3</v>
      </c>
      <c r="F125" t="inlineStr">
        <is>
          <t>ENFASIS</t>
        </is>
      </c>
      <c r="G125" t="inlineStr"/>
      <c r="H125" t="inlineStr">
        <is>
          <t>MAT</t>
        </is>
      </c>
      <c r="I125" t="inlineStr">
        <is>
          <t>1002</t>
        </is>
      </c>
      <c r="J125" t="inlineStr">
        <is>
          <t>EQUIPO DE 4: cada docente atiende un grupo de estudiantes en su área</t>
        </is>
      </c>
      <c r="K125" t="inlineStr">
        <is>
          <t>Pulgarín Ortiz César Marino (CSI); Montaño Arizala Leidis Claudina (ETR); Angulo Lucero Andrés Mauricio (TEI)</t>
        </is>
      </c>
      <c r="L125" t="inlineStr">
        <is>
          <t>ÉNFASIS 10°-2</t>
        </is>
      </c>
      <c r="M125" t="inlineStr">
        <is>
          <t>EQUIPO DE 4: cada docente atiende un grupo de estudiantes en su área · Con: Pulgarín Ortiz César Marino (CSI); Montaño Arizala Leidis Claudina (ETR); Angulo Lucero Andrés Mauricio (TEI)</t>
        </is>
      </c>
      <c r="N125">
        <f>C125&amp;"|"&amp;D125</f>
        <v/>
      </c>
      <c r="O125">
        <f>COUNTIF($N$2:N125,N125)</f>
        <v/>
      </c>
      <c r="P125">
        <f>N125&amp;"|"&amp;O125</f>
        <v/>
      </c>
      <c r="Q125">
        <f>C125&amp;"|"&amp;D125&amp;"|"&amp;A125</f>
        <v/>
      </c>
    </row>
    <row r="126">
      <c r="A126" t="n">
        <v>57</v>
      </c>
      <c r="B126" t="inlineStr">
        <is>
          <t>Armero Dájome Jesús</t>
        </is>
      </c>
      <c r="C126" t="inlineStr">
        <is>
          <t>LUNES</t>
        </is>
      </c>
      <c r="D126" t="n">
        <v>6</v>
      </c>
      <c r="E126" t="n">
        <v>3</v>
      </c>
      <c r="F126" t="inlineStr">
        <is>
          <t>CLASE</t>
        </is>
      </c>
      <c r="G126" t="inlineStr">
        <is>
          <t>0601</t>
        </is>
      </c>
      <c r="H126" t="inlineStr">
        <is>
          <t>ERD</t>
        </is>
      </c>
      <c r="I126" t="inlineStr"/>
      <c r="J126" t="inlineStr"/>
      <c r="K126" t="inlineStr"/>
      <c r="L126" t="inlineStr">
        <is>
          <t>6°-1</t>
        </is>
      </c>
      <c r="M126" t="inlineStr"/>
      <c r="N126">
        <f>C126&amp;"|"&amp;D126</f>
        <v/>
      </c>
      <c r="O126">
        <f>COUNTIF($N$2:N126,N126)</f>
        <v/>
      </c>
      <c r="P126">
        <f>N126&amp;"|"&amp;O126</f>
        <v/>
      </c>
      <c r="Q126">
        <f>C126&amp;"|"&amp;D126&amp;"|"&amp;A126</f>
        <v/>
      </c>
    </row>
    <row r="127">
      <c r="A127" t="n">
        <v>20</v>
      </c>
      <c r="B127" t="inlineStr">
        <is>
          <t>García Gobea Saydi Magali</t>
        </is>
      </c>
      <c r="C127" t="inlineStr">
        <is>
          <t>LUNES</t>
        </is>
      </c>
      <c r="D127" t="n">
        <v>6</v>
      </c>
      <c r="E127" t="n">
        <v>3</v>
      </c>
      <c r="F127" t="inlineStr">
        <is>
          <t>CLASE</t>
        </is>
      </c>
      <c r="G127" t="inlineStr">
        <is>
          <t>0602</t>
        </is>
      </c>
      <c r="H127" t="inlineStr">
        <is>
          <t>CSI</t>
        </is>
      </c>
      <c r="I127" t="inlineStr"/>
      <c r="J127" t="inlineStr">
        <is>
          <t>Sociales / Inglés (alternan cada semana)</t>
        </is>
      </c>
      <c r="K127" t="inlineStr"/>
      <c r="L127" t="inlineStr">
        <is>
          <t>6°-2</t>
        </is>
      </c>
      <c r="M127" t="inlineStr">
        <is>
          <t>Sociales / Inglés (alternan cada semana)</t>
        </is>
      </c>
      <c r="N127">
        <f>C127&amp;"|"&amp;D127</f>
        <v/>
      </c>
      <c r="O127">
        <f>COUNTIF($N$2:N127,N127)</f>
        <v/>
      </c>
      <c r="P127">
        <f>N127&amp;"|"&amp;O127</f>
        <v/>
      </c>
      <c r="Q127">
        <f>C127&amp;"|"&amp;D127&amp;"|"&amp;A127</f>
        <v/>
      </c>
    </row>
    <row r="128">
      <c r="A128" t="n">
        <v>39</v>
      </c>
      <c r="B128" t="inlineStr">
        <is>
          <t>Puches Ana Milena</t>
        </is>
      </c>
      <c r="C128" t="inlineStr">
        <is>
          <t>LUNES</t>
        </is>
      </c>
      <c r="D128" t="n">
        <v>6</v>
      </c>
      <c r="E128" t="n">
        <v>3</v>
      </c>
      <c r="F128" t="inlineStr">
        <is>
          <t>CLASE</t>
        </is>
      </c>
      <c r="G128" t="inlineStr">
        <is>
          <t>0701</t>
        </is>
      </c>
      <c r="H128" t="inlineStr">
        <is>
          <t>ART</t>
        </is>
      </c>
      <c r="I128" t="inlineStr"/>
      <c r="J128" t="inlineStr"/>
      <c r="K128" t="inlineStr"/>
      <c r="L128" t="inlineStr">
        <is>
          <t>7°-1</t>
        </is>
      </c>
      <c r="M128" t="inlineStr"/>
      <c r="N128">
        <f>C128&amp;"|"&amp;D128</f>
        <v/>
      </c>
      <c r="O128">
        <f>COUNTIF($N$2:N128,N128)</f>
        <v/>
      </c>
      <c r="P128">
        <f>N128&amp;"|"&amp;O128</f>
        <v/>
      </c>
      <c r="Q128">
        <f>C128&amp;"|"&amp;D128&amp;"|"&amp;A128</f>
        <v/>
      </c>
    </row>
    <row r="129">
      <c r="A129" t="n">
        <v>34</v>
      </c>
      <c r="B129" t="inlineStr">
        <is>
          <t>Ordóñez Tenorio Jaime Marcial</t>
        </is>
      </c>
      <c r="C129" t="inlineStr">
        <is>
          <t>LUNES</t>
        </is>
      </c>
      <c r="D129" t="n">
        <v>6</v>
      </c>
      <c r="E129" t="n">
        <v>3</v>
      </c>
      <c r="F129" t="inlineStr">
        <is>
          <t>CLASE</t>
        </is>
      </c>
      <c r="G129" t="inlineStr">
        <is>
          <t>0702</t>
        </is>
      </c>
      <c r="H129" t="inlineStr">
        <is>
          <t>CNA</t>
        </is>
      </c>
      <c r="I129" t="inlineStr"/>
      <c r="J129" t="inlineStr"/>
      <c r="K129" t="inlineStr"/>
      <c r="L129" t="inlineStr">
        <is>
          <t>7°-2</t>
        </is>
      </c>
      <c r="M129" t="inlineStr"/>
      <c r="N129">
        <f>C129&amp;"|"&amp;D129</f>
        <v/>
      </c>
      <c r="O129">
        <f>COUNTIF($N$2:N129,N129)</f>
        <v/>
      </c>
      <c r="P129">
        <f>N129&amp;"|"&amp;O129</f>
        <v/>
      </c>
      <c r="Q129">
        <f>C129&amp;"|"&amp;D129&amp;"|"&amp;A129</f>
        <v/>
      </c>
    </row>
    <row r="130">
      <c r="A130" t="n">
        <v>4</v>
      </c>
      <c r="B130" t="inlineStr">
        <is>
          <t>Arizala Castro Roberto Carlos</t>
        </is>
      </c>
      <c r="C130" t="inlineStr">
        <is>
          <t>LUNES</t>
        </is>
      </c>
      <c r="D130" t="n">
        <v>6</v>
      </c>
      <c r="E130" t="n">
        <v>3</v>
      </c>
      <c r="F130" t="inlineStr">
        <is>
          <t>CLASE</t>
        </is>
      </c>
      <c r="G130" t="inlineStr">
        <is>
          <t>0703</t>
        </is>
      </c>
      <c r="H130" t="inlineStr">
        <is>
          <t>ERD</t>
        </is>
      </c>
      <c r="I130" t="inlineStr"/>
      <c r="J130" t="inlineStr"/>
      <c r="K130" t="inlineStr"/>
      <c r="L130" t="inlineStr">
        <is>
          <t>7°-3</t>
        </is>
      </c>
      <c r="M130" t="inlineStr"/>
      <c r="N130">
        <f>C130&amp;"|"&amp;D130</f>
        <v/>
      </c>
      <c r="O130">
        <f>COUNTIF($N$2:N130,N130)</f>
        <v/>
      </c>
      <c r="P130">
        <f>N130&amp;"|"&amp;O130</f>
        <v/>
      </c>
      <c r="Q130">
        <f>C130&amp;"|"&amp;D130&amp;"|"&amp;A130</f>
        <v/>
      </c>
    </row>
    <row r="131">
      <c r="A131" t="n">
        <v>15</v>
      </c>
      <c r="B131" t="inlineStr">
        <is>
          <t>Cuero Bamba Berte Levi</t>
        </is>
      </c>
      <c r="C131" t="inlineStr">
        <is>
          <t>LUNES</t>
        </is>
      </c>
      <c r="D131" t="n">
        <v>6</v>
      </c>
      <c r="E131" t="n">
        <v>3</v>
      </c>
      <c r="F131" t="inlineStr">
        <is>
          <t>CLASE</t>
        </is>
      </c>
      <c r="G131" t="inlineStr">
        <is>
          <t>0801</t>
        </is>
      </c>
      <c r="H131" t="inlineStr">
        <is>
          <t>ERD</t>
        </is>
      </c>
      <c r="I131" t="inlineStr"/>
      <c r="J131" t="inlineStr"/>
      <c r="K131" t="inlineStr"/>
      <c r="L131" t="inlineStr">
        <is>
          <t>8°-1</t>
        </is>
      </c>
      <c r="M131" t="inlineStr"/>
      <c r="N131">
        <f>C131&amp;"|"&amp;D131</f>
        <v/>
      </c>
      <c r="O131">
        <f>COUNTIF($N$2:N131,N131)</f>
        <v/>
      </c>
      <c r="P131">
        <f>N131&amp;"|"&amp;O131</f>
        <v/>
      </c>
      <c r="Q131">
        <f>C131&amp;"|"&amp;D131&amp;"|"&amp;A131</f>
        <v/>
      </c>
    </row>
    <row r="132">
      <c r="A132" t="n">
        <v>6</v>
      </c>
      <c r="B132" t="inlineStr">
        <is>
          <t>Betancourth Ocampo Yohana Patricia</t>
        </is>
      </c>
      <c r="C132" t="inlineStr">
        <is>
          <t>LUNES</t>
        </is>
      </c>
      <c r="D132" t="n">
        <v>6</v>
      </c>
      <c r="E132" t="n">
        <v>3</v>
      </c>
      <c r="F132" t="inlineStr">
        <is>
          <t>CLASE</t>
        </is>
      </c>
      <c r="G132" t="inlineStr">
        <is>
          <t>0902</t>
        </is>
      </c>
      <c r="H132" t="inlineStr">
        <is>
          <t>CSI</t>
        </is>
      </c>
      <c r="I132" t="inlineStr"/>
      <c r="J132" t="inlineStr">
        <is>
          <t>Sociales / Inglés (alternan cada semana)</t>
        </is>
      </c>
      <c r="K132" t="inlineStr"/>
      <c r="L132" t="inlineStr">
        <is>
          <t>9°-2</t>
        </is>
      </c>
      <c r="M132" t="inlineStr">
        <is>
          <t>Sociales / Inglés (alternan cada semana)</t>
        </is>
      </c>
      <c r="N132">
        <f>C132&amp;"|"&amp;D132</f>
        <v/>
      </c>
      <c r="O132">
        <f>COUNTIF($N$2:N132,N132)</f>
        <v/>
      </c>
      <c r="P132">
        <f>N132&amp;"|"&amp;O132</f>
        <v/>
      </c>
      <c r="Q132">
        <f>C132&amp;"|"&amp;D132&amp;"|"&amp;A132</f>
        <v/>
      </c>
    </row>
    <row r="133">
      <c r="A133" t="n">
        <v>18</v>
      </c>
      <c r="B133" t="inlineStr">
        <is>
          <t>Estacio Estupiñán Rosario</t>
        </is>
      </c>
      <c r="C133" t="inlineStr">
        <is>
          <t>LUNES</t>
        </is>
      </c>
      <c r="D133" t="n">
        <v>6</v>
      </c>
      <c r="E133" t="n">
        <v>3</v>
      </c>
      <c r="F133" t="inlineStr">
        <is>
          <t>CLASE</t>
        </is>
      </c>
      <c r="G133" t="inlineStr">
        <is>
          <t>1001</t>
        </is>
      </c>
      <c r="H133" t="inlineStr">
        <is>
          <t>ETR</t>
        </is>
      </c>
      <c r="I133" t="inlineStr"/>
      <c r="J133" t="inlineStr">
        <is>
          <t>Ética / Religión (alternan cada semana)</t>
        </is>
      </c>
      <c r="K133" t="inlineStr"/>
      <c r="L133" t="inlineStr">
        <is>
          <t>10°-1</t>
        </is>
      </c>
      <c r="M133" t="inlineStr">
        <is>
          <t>Ética / Religión (alternan cada semana)</t>
        </is>
      </c>
      <c r="N133">
        <f>C133&amp;"|"&amp;D133</f>
        <v/>
      </c>
      <c r="O133">
        <f>COUNTIF($N$2:N133,N133)</f>
        <v/>
      </c>
      <c r="P133">
        <f>N133&amp;"|"&amp;O133</f>
        <v/>
      </c>
      <c r="Q133">
        <f>C133&amp;"|"&amp;D133&amp;"|"&amp;A133</f>
        <v/>
      </c>
    </row>
    <row r="134">
      <c r="A134" t="n">
        <v>30</v>
      </c>
      <c r="B134" t="inlineStr">
        <is>
          <t>Montaño Anchico Favio Héctor</t>
        </is>
      </c>
      <c r="C134" t="inlineStr">
        <is>
          <t>LUNES</t>
        </is>
      </c>
      <c r="D134" t="n">
        <v>6</v>
      </c>
      <c r="E134" t="n">
        <v>3</v>
      </c>
      <c r="F134" t="inlineStr">
        <is>
          <t>CLASE</t>
        </is>
      </c>
      <c r="G134" t="inlineStr">
        <is>
          <t>1101</t>
        </is>
      </c>
      <c r="H134" t="inlineStr">
        <is>
          <t>CAS</t>
        </is>
      </c>
      <c r="I134" t="inlineStr"/>
      <c r="J134" t="inlineStr"/>
      <c r="K134" t="inlineStr"/>
      <c r="L134" t="inlineStr">
        <is>
          <t>11°-1</t>
        </is>
      </c>
      <c r="M134" t="inlineStr"/>
      <c r="N134">
        <f>C134&amp;"|"&amp;D134</f>
        <v/>
      </c>
      <c r="O134">
        <f>COUNTIF($N$2:N134,N134)</f>
        <v/>
      </c>
      <c r="P134">
        <f>N134&amp;"|"&amp;O134</f>
        <v/>
      </c>
      <c r="Q134">
        <f>C134&amp;"|"&amp;D134&amp;"|"&amp;A134</f>
        <v/>
      </c>
    </row>
    <row r="135">
      <c r="A135" t="n">
        <v>43</v>
      </c>
      <c r="B135" t="inlineStr">
        <is>
          <t>Ramírez Guerra Jimmy Eduardo</t>
        </is>
      </c>
      <c r="C135" t="inlineStr">
        <is>
          <t>LUNES</t>
        </is>
      </c>
      <c r="D135" t="n">
        <v>6</v>
      </c>
      <c r="E135" t="n">
        <v>3</v>
      </c>
      <c r="F135" t="inlineStr">
        <is>
          <t>CLASE</t>
        </is>
      </c>
      <c r="G135" t="inlineStr">
        <is>
          <t>1102</t>
        </is>
      </c>
      <c r="H135" t="inlineStr">
        <is>
          <t>ERD</t>
        </is>
      </c>
      <c r="I135" t="inlineStr"/>
      <c r="J135" t="inlineStr"/>
      <c r="K135" t="inlineStr"/>
      <c r="L135" t="inlineStr">
        <is>
          <t>11°-2</t>
        </is>
      </c>
      <c r="M135" t="inlineStr"/>
      <c r="N135">
        <f>C135&amp;"|"&amp;D135</f>
        <v/>
      </c>
      <c r="O135">
        <f>COUNTIF($N$2:N135,N135)</f>
        <v/>
      </c>
      <c r="P135">
        <f>N135&amp;"|"&amp;O135</f>
        <v/>
      </c>
      <c r="Q135">
        <f>C135&amp;"|"&amp;D135&amp;"|"&amp;A135</f>
        <v/>
      </c>
    </row>
    <row r="136">
      <c r="A136" t="n">
        <v>42</v>
      </c>
      <c r="B136" t="inlineStr">
        <is>
          <t>Quiñones Cabezas Marcos Vidal</t>
        </is>
      </c>
      <c r="C136" t="inlineStr">
        <is>
          <t>LUNES</t>
        </is>
      </c>
      <c r="D136" t="n">
        <v>6</v>
      </c>
      <c r="E136" t="n">
        <v>3</v>
      </c>
      <c r="F136" t="inlineStr">
        <is>
          <t>CLASE</t>
        </is>
      </c>
      <c r="G136" t="inlineStr">
        <is>
          <t>CS101</t>
        </is>
      </c>
      <c r="H136" t="inlineStr">
        <is>
          <t>TEI</t>
        </is>
      </c>
      <c r="I136" t="inlineStr"/>
      <c r="J136" t="inlineStr"/>
      <c r="K136" t="inlineStr"/>
      <c r="L136" t="inlineStr">
        <is>
          <t>CS 1-1</t>
        </is>
      </c>
      <c r="M136" t="inlineStr"/>
      <c r="N136">
        <f>C136&amp;"|"&amp;D136</f>
        <v/>
      </c>
      <c r="O136">
        <f>COUNTIF($N$2:N136,N136)</f>
        <v/>
      </c>
      <c r="P136">
        <f>N136&amp;"|"&amp;O136</f>
        <v/>
      </c>
      <c r="Q136">
        <f>C136&amp;"|"&amp;D136&amp;"|"&amp;A136</f>
        <v/>
      </c>
    </row>
    <row r="137">
      <c r="A137" t="n">
        <v>16</v>
      </c>
      <c r="B137" t="inlineStr">
        <is>
          <t>Cuero Rincón Hernando Jesús</t>
        </is>
      </c>
      <c r="C137" t="inlineStr">
        <is>
          <t>LUNES</t>
        </is>
      </c>
      <c r="D137" t="n">
        <v>6</v>
      </c>
      <c r="E137" t="n">
        <v>3</v>
      </c>
      <c r="F137" t="inlineStr">
        <is>
          <t>CLASE</t>
        </is>
      </c>
      <c r="G137" t="inlineStr">
        <is>
          <t>CS102</t>
        </is>
      </c>
      <c r="H137" t="inlineStr">
        <is>
          <t>CAS</t>
        </is>
      </c>
      <c r="I137" t="inlineStr"/>
      <c r="J137" t="inlineStr"/>
      <c r="K137" t="inlineStr"/>
      <c r="L137" t="inlineStr">
        <is>
          <t>CS 1-2</t>
        </is>
      </c>
      <c r="M137" t="inlineStr"/>
      <c r="N137">
        <f>C137&amp;"|"&amp;D137</f>
        <v/>
      </c>
      <c r="O137">
        <f>COUNTIF($N$2:N137,N137)</f>
        <v/>
      </c>
      <c r="P137">
        <f>N137&amp;"|"&amp;O137</f>
        <v/>
      </c>
      <c r="Q137">
        <f>C137&amp;"|"&amp;D137&amp;"|"&amp;A137</f>
        <v/>
      </c>
    </row>
    <row r="138">
      <c r="A138" t="n">
        <v>12</v>
      </c>
      <c r="B138" t="inlineStr">
        <is>
          <t>Chillambo Quiñones María Rocío</t>
        </is>
      </c>
      <c r="C138" t="inlineStr">
        <is>
          <t>LUNES</t>
        </is>
      </c>
      <c r="D138" t="n">
        <v>6</v>
      </c>
      <c r="E138" t="n">
        <v>3</v>
      </c>
      <c r="F138" t="inlineStr">
        <is>
          <t>CLASE</t>
        </is>
      </c>
      <c r="G138" t="inlineStr">
        <is>
          <t>CS201</t>
        </is>
      </c>
      <c r="H138" t="inlineStr">
        <is>
          <t>CNA</t>
        </is>
      </c>
      <c r="I138" t="inlineStr"/>
      <c r="J138" t="inlineStr"/>
      <c r="K138" t="inlineStr"/>
      <c r="L138" t="inlineStr">
        <is>
          <t>CS 2-1</t>
        </is>
      </c>
      <c r="M138" t="inlineStr"/>
      <c r="N138">
        <f>C138&amp;"|"&amp;D138</f>
        <v/>
      </c>
      <c r="O138">
        <f>COUNTIF($N$2:N138,N138)</f>
        <v/>
      </c>
      <c r="P138">
        <f>N138&amp;"|"&amp;O138</f>
        <v/>
      </c>
      <c r="Q138">
        <f>C138&amp;"|"&amp;D138&amp;"|"&amp;A138</f>
        <v/>
      </c>
    </row>
    <row r="139">
      <c r="A139" t="n">
        <v>44</v>
      </c>
      <c r="B139" t="inlineStr">
        <is>
          <t>Samaniego Angulo Flor Mireya</t>
        </is>
      </c>
      <c r="C139" t="inlineStr">
        <is>
          <t>LUNES</t>
        </is>
      </c>
      <c r="D139" t="n">
        <v>6</v>
      </c>
      <c r="E139" t="n">
        <v>3</v>
      </c>
      <c r="F139" t="inlineStr">
        <is>
          <t>CLASE</t>
        </is>
      </c>
      <c r="G139" t="inlineStr">
        <is>
          <t>CS202</t>
        </is>
      </c>
      <c r="H139" t="inlineStr">
        <is>
          <t>ART</t>
        </is>
      </c>
      <c r="I139" t="inlineStr"/>
      <c r="J139" t="inlineStr"/>
      <c r="K139" t="inlineStr"/>
      <c r="L139" t="inlineStr">
        <is>
          <t>CS 2-2</t>
        </is>
      </c>
      <c r="M139" t="inlineStr"/>
      <c r="N139">
        <f>C139&amp;"|"&amp;D139</f>
        <v/>
      </c>
      <c r="O139">
        <f>COUNTIF($N$2:N139,N139)</f>
        <v/>
      </c>
      <c r="P139">
        <f>N139&amp;"|"&amp;O139</f>
        <v/>
      </c>
      <c r="Q139">
        <f>C139&amp;"|"&amp;D139&amp;"|"&amp;A139</f>
        <v/>
      </c>
    </row>
    <row r="140">
      <c r="A140" t="n">
        <v>1</v>
      </c>
      <c r="B140" t="inlineStr">
        <is>
          <t>Aguirre Riascos Jorge Andrés</t>
        </is>
      </c>
      <c r="C140" t="inlineStr">
        <is>
          <t>LUNES</t>
        </is>
      </c>
      <c r="D140" t="n">
        <v>6</v>
      </c>
      <c r="E140" t="n">
        <v>3</v>
      </c>
      <c r="F140" t="inlineStr">
        <is>
          <t>ENFASIS</t>
        </is>
      </c>
      <c r="G140" t="inlineStr"/>
      <c r="H140" t="inlineStr">
        <is>
          <t>TEI</t>
        </is>
      </c>
      <c r="I140" t="inlineStr">
        <is>
          <t>0704</t>
        </is>
      </c>
      <c r="J140" t="inlineStr">
        <is>
          <t>PAREJA: comparten el énfasis y alternan por semana</t>
        </is>
      </c>
      <c r="K140" t="inlineStr">
        <is>
          <t>Vásquez Valencia Segundo Leoncio (MAT)</t>
        </is>
      </c>
      <c r="L140" t="inlineStr">
        <is>
          <t>ÉNFASIS 7°-4</t>
        </is>
      </c>
      <c r="M140" t="inlineStr">
        <is>
          <t>PAREJA: comparten el énfasis y alternan por semana · Con: Vásquez Valencia Segundo Leoncio (MAT)</t>
        </is>
      </c>
      <c r="N140">
        <f>C140&amp;"|"&amp;D140</f>
        <v/>
      </c>
      <c r="O140">
        <f>COUNTIF($N$2:N140,N140)</f>
        <v/>
      </c>
      <c r="P140">
        <f>N140&amp;"|"&amp;O140</f>
        <v/>
      </c>
      <c r="Q140">
        <f>C140&amp;"|"&amp;D140&amp;"|"&amp;A140</f>
        <v/>
      </c>
    </row>
    <row r="141">
      <c r="A141" t="n">
        <v>52</v>
      </c>
      <c r="B141" t="inlineStr">
        <is>
          <t>Vásquez Valencia Segundo Leoncio</t>
        </is>
      </c>
      <c r="C141" t="inlineStr">
        <is>
          <t>LUNES</t>
        </is>
      </c>
      <c r="D141" t="n">
        <v>6</v>
      </c>
      <c r="E141" t="n">
        <v>3</v>
      </c>
      <c r="F141" t="inlineStr">
        <is>
          <t>ENFASIS</t>
        </is>
      </c>
      <c r="G141" t="inlineStr"/>
      <c r="H141" t="inlineStr">
        <is>
          <t>MAT</t>
        </is>
      </c>
      <c r="I141" t="inlineStr">
        <is>
          <t>0704</t>
        </is>
      </c>
      <c r="J141" t="inlineStr">
        <is>
          <t>PAREJA: comparten el énfasis y alternan por semana</t>
        </is>
      </c>
      <c r="K141" t="inlineStr">
        <is>
          <t>Aguirre Riascos Jorge Andrés (TEI)</t>
        </is>
      </c>
      <c r="L141" t="inlineStr">
        <is>
          <t>ÉNFASIS 7°-4</t>
        </is>
      </c>
      <c r="M141" t="inlineStr">
        <is>
          <t>PAREJA: comparten el énfasis y alternan por semana · Con: Aguirre Riascos Jorge Andrés (TEI)</t>
        </is>
      </c>
      <c r="N141">
        <f>C141&amp;"|"&amp;D141</f>
        <v/>
      </c>
      <c r="O141">
        <f>COUNTIF($N$2:N141,N141)</f>
        <v/>
      </c>
      <c r="P141">
        <f>N141&amp;"|"&amp;O141</f>
        <v/>
      </c>
      <c r="Q141">
        <f>C141&amp;"|"&amp;D141&amp;"|"&amp;A141</f>
        <v/>
      </c>
    </row>
    <row r="142">
      <c r="A142" t="n">
        <v>9</v>
      </c>
      <c r="B142" t="inlineStr">
        <is>
          <t>Castillo Angulo Martha Cecilia</t>
        </is>
      </c>
      <c r="C142" t="inlineStr">
        <is>
          <t>LUNES</t>
        </is>
      </c>
      <c r="D142" t="n">
        <v>6</v>
      </c>
      <c r="E142" t="n">
        <v>3</v>
      </c>
      <c r="F142" t="inlineStr">
        <is>
          <t>ENFASIS</t>
        </is>
      </c>
      <c r="G142" t="inlineStr"/>
      <c r="H142" t="inlineStr">
        <is>
          <t>ETR</t>
        </is>
      </c>
      <c r="I142" t="inlineStr">
        <is>
          <t>0802</t>
        </is>
      </c>
      <c r="J142" t="inlineStr">
        <is>
          <t>PAREJA: comparten el énfasis y alternan por semana</t>
        </is>
      </c>
      <c r="K142" t="inlineStr">
        <is>
          <t>Ortiz Araujo Adiela Carlota (CSI)</t>
        </is>
      </c>
      <c r="L142" t="inlineStr">
        <is>
          <t>ÉNFASIS 8°-2</t>
        </is>
      </c>
      <c r="M142" t="inlineStr">
        <is>
          <t>PAREJA: comparten el énfasis y alternan por semana · Con: Ortiz Araujo Adiela Carlota (CSI)</t>
        </is>
      </c>
      <c r="N142">
        <f>C142&amp;"|"&amp;D142</f>
        <v/>
      </c>
      <c r="O142">
        <f>COUNTIF($N$2:N142,N142)</f>
        <v/>
      </c>
      <c r="P142">
        <f>N142&amp;"|"&amp;O142</f>
        <v/>
      </c>
      <c r="Q142">
        <f>C142&amp;"|"&amp;D142&amp;"|"&amp;A142</f>
        <v/>
      </c>
    </row>
    <row r="143">
      <c r="A143" t="n">
        <v>19</v>
      </c>
      <c r="B143" t="inlineStr">
        <is>
          <t>Fernández Vélez Alfredo Enrique</t>
        </is>
      </c>
      <c r="C143" t="inlineStr">
        <is>
          <t>LUNES</t>
        </is>
      </c>
      <c r="D143" t="n">
        <v>6</v>
      </c>
      <c r="E143" t="n">
        <v>3</v>
      </c>
      <c r="F143" t="inlineStr">
        <is>
          <t>ENFASIS</t>
        </is>
      </c>
      <c r="G143" t="inlineStr"/>
      <c r="H143" t="inlineStr">
        <is>
          <t>TEI</t>
        </is>
      </c>
      <c r="I143" t="inlineStr">
        <is>
          <t>0802</t>
        </is>
      </c>
      <c r="J143" t="inlineStr">
        <is>
          <t>PAREJA: comparten el énfasis y alternan por semana</t>
        </is>
      </c>
      <c r="K143" t="inlineStr">
        <is>
          <t>Preciado Torres Oleisa (MAT)</t>
        </is>
      </c>
      <c r="L143" t="inlineStr">
        <is>
          <t>ÉNFASIS 8°-2</t>
        </is>
      </c>
      <c r="M143" t="inlineStr">
        <is>
          <t>PAREJA: comparten el énfasis y alternan por semana · Con: Preciado Torres Oleisa (MAT)</t>
        </is>
      </c>
      <c r="N143">
        <f>C143&amp;"|"&amp;D143</f>
        <v/>
      </c>
      <c r="O143">
        <f>COUNTIF($N$2:N143,N143)</f>
        <v/>
      </c>
      <c r="P143">
        <f>N143&amp;"|"&amp;O143</f>
        <v/>
      </c>
      <c r="Q143">
        <f>C143&amp;"|"&amp;D143&amp;"|"&amp;A143</f>
        <v/>
      </c>
    </row>
    <row r="144">
      <c r="A144" t="n">
        <v>35</v>
      </c>
      <c r="B144" t="inlineStr">
        <is>
          <t>Ortiz Araujo Adiela Carlota</t>
        </is>
      </c>
      <c r="C144" t="inlineStr">
        <is>
          <t>LUNES</t>
        </is>
      </c>
      <c r="D144" t="n">
        <v>6</v>
      </c>
      <c r="E144" t="n">
        <v>3</v>
      </c>
      <c r="F144" t="inlineStr">
        <is>
          <t>ENFASIS</t>
        </is>
      </c>
      <c r="G144" t="inlineStr"/>
      <c r="H144" t="inlineStr">
        <is>
          <t>CSI</t>
        </is>
      </c>
      <c r="I144" t="inlineStr">
        <is>
          <t>0802</t>
        </is>
      </c>
      <c r="J144" t="inlineStr">
        <is>
          <t>PAREJA: comparten el énfasis y alternan por semana</t>
        </is>
      </c>
      <c r="K144" t="inlineStr">
        <is>
          <t>Castillo Angulo Martha Cecilia (ETR)</t>
        </is>
      </c>
      <c r="L144" t="inlineStr">
        <is>
          <t>ÉNFASIS 8°-2</t>
        </is>
      </c>
      <c r="M144" t="inlineStr">
        <is>
          <t>PAREJA: comparten el énfasis y alternan por semana · Con: Castillo Angulo Martha Cecilia (ETR)</t>
        </is>
      </c>
      <c r="N144">
        <f>C144&amp;"|"&amp;D144</f>
        <v/>
      </c>
      <c r="O144">
        <f>COUNTIF($N$2:N144,N144)</f>
        <v/>
      </c>
      <c r="P144">
        <f>N144&amp;"|"&amp;O144</f>
        <v/>
      </c>
      <c r="Q144">
        <f>C144&amp;"|"&amp;D144&amp;"|"&amp;A144</f>
        <v/>
      </c>
    </row>
    <row r="145">
      <c r="A145" t="n">
        <v>38</v>
      </c>
      <c r="B145" t="inlineStr">
        <is>
          <t>Preciado Torres Oleisa</t>
        </is>
      </c>
      <c r="C145" t="inlineStr">
        <is>
          <t>LUNES</t>
        </is>
      </c>
      <c r="D145" t="n">
        <v>6</v>
      </c>
      <c r="E145" t="n">
        <v>3</v>
      </c>
      <c r="F145" t="inlineStr">
        <is>
          <t>ENFASIS</t>
        </is>
      </c>
      <c r="G145" t="inlineStr"/>
      <c r="H145" t="inlineStr">
        <is>
          <t>MAT</t>
        </is>
      </c>
      <c r="I145" t="inlineStr">
        <is>
          <t>0802</t>
        </is>
      </c>
      <c r="J145" t="inlineStr">
        <is>
          <t>PAREJA: comparten el énfasis y alternan por semana</t>
        </is>
      </c>
      <c r="K145" t="inlineStr">
        <is>
          <t>Fernández Vélez Alfredo Enrique (TEI)</t>
        </is>
      </c>
      <c r="L145" t="inlineStr">
        <is>
          <t>ÉNFASIS 8°-2</t>
        </is>
      </c>
      <c r="M145" t="inlineStr">
        <is>
          <t>PAREJA: comparten el énfasis y alternan por semana · Con: Fernández Vélez Alfredo Enrique (TEI)</t>
        </is>
      </c>
      <c r="N145">
        <f>C145&amp;"|"&amp;D145</f>
        <v/>
      </c>
      <c r="O145">
        <f>COUNTIF($N$2:N145,N145)</f>
        <v/>
      </c>
      <c r="P145">
        <f>N145&amp;"|"&amp;O145</f>
        <v/>
      </c>
      <c r="Q145">
        <f>C145&amp;"|"&amp;D145&amp;"|"&amp;A145</f>
        <v/>
      </c>
    </row>
    <row r="146">
      <c r="A146" t="n">
        <v>22</v>
      </c>
      <c r="B146" t="inlineStr">
        <is>
          <t>González Castillo Jólmer Jimy</t>
        </is>
      </c>
      <c r="C146" t="inlineStr">
        <is>
          <t>LUNES</t>
        </is>
      </c>
      <c r="D146" t="n">
        <v>6</v>
      </c>
      <c r="E146" t="n">
        <v>3</v>
      </c>
      <c r="F146" t="inlineStr">
        <is>
          <t>ENFASIS</t>
        </is>
      </c>
      <c r="G146" t="inlineStr"/>
      <c r="H146" t="inlineStr">
        <is>
          <t>ERD</t>
        </is>
      </c>
      <c r="I146" t="inlineStr">
        <is>
          <t>0901</t>
        </is>
      </c>
      <c r="J146" t="inlineStr">
        <is>
          <t>EQUIPO DE 4: cada docente atiende un grupo de estudiantes en su área</t>
        </is>
      </c>
      <c r="K146" t="inlineStr">
        <is>
          <t>Valencia Marínez Saidy Eufemia (ART); Meza Banguera Gladys Alicia (CAS); Lemos Guancha Miriam (CNA)</t>
        </is>
      </c>
      <c r="L146" t="inlineStr">
        <is>
          <t>ÉNFASIS 9°-1</t>
        </is>
      </c>
      <c r="M146" t="inlineStr">
        <is>
          <t>EQUIPO DE 4: cada docente atiende un grupo de estudiantes en su área · Con: Valencia Marínez Saidy Eufemia (ART); Meza Banguera Gladys Alicia (CAS); Lemos Guancha Miriam (CNA)</t>
        </is>
      </c>
      <c r="N146">
        <f>C146&amp;"|"&amp;D146</f>
        <v/>
      </c>
      <c r="O146">
        <f>COUNTIF($N$2:N146,N146)</f>
        <v/>
      </c>
      <c r="P146">
        <f>N146&amp;"|"&amp;O146</f>
        <v/>
      </c>
      <c r="Q146">
        <f>C146&amp;"|"&amp;D146&amp;"|"&amp;A146</f>
        <v/>
      </c>
    </row>
    <row r="147">
      <c r="A147" t="n">
        <v>25</v>
      </c>
      <c r="B147" t="inlineStr">
        <is>
          <t>Lemos Guancha Miriam</t>
        </is>
      </c>
      <c r="C147" t="inlineStr">
        <is>
          <t>LUNES</t>
        </is>
      </c>
      <c r="D147" t="n">
        <v>6</v>
      </c>
      <c r="E147" t="n">
        <v>3</v>
      </c>
      <c r="F147" t="inlineStr">
        <is>
          <t>ENFASIS</t>
        </is>
      </c>
      <c r="G147" t="inlineStr"/>
      <c r="H147" t="inlineStr">
        <is>
          <t>CNA</t>
        </is>
      </c>
      <c r="I147" t="inlineStr">
        <is>
          <t>0901</t>
        </is>
      </c>
      <c r="J147" t="inlineStr">
        <is>
          <t>EQUIPO DE 4: cada docente atiende un grupo de estudiantes en su área</t>
        </is>
      </c>
      <c r="K147" t="inlineStr">
        <is>
          <t>Valencia Marínez Saidy Eufemia (ART); Meza Banguera Gladys Alicia (CAS); González Castillo Jólmer Jimy (ERD)</t>
        </is>
      </c>
      <c r="L147" t="inlineStr">
        <is>
          <t>ÉNFASIS 9°-1</t>
        </is>
      </c>
      <c r="M147" t="inlineStr">
        <is>
          <t>EQUIPO DE 4: cada docente atiende un grupo de estudiantes en su área · Con: Valencia Marínez Saidy Eufemia (ART); Meza Banguera Gladys Alicia (CAS); González Castillo Jólmer Jimy (ERD)</t>
        </is>
      </c>
      <c r="N147">
        <f>C147&amp;"|"&amp;D147</f>
        <v/>
      </c>
      <c r="O147">
        <f>COUNTIF($N$2:N147,N147)</f>
        <v/>
      </c>
      <c r="P147">
        <f>N147&amp;"|"&amp;O147</f>
        <v/>
      </c>
      <c r="Q147">
        <f>C147&amp;"|"&amp;D147&amp;"|"&amp;A147</f>
        <v/>
      </c>
    </row>
    <row r="148">
      <c r="A148" t="n">
        <v>28</v>
      </c>
      <c r="B148" t="inlineStr">
        <is>
          <t>Meza Banguera Gladys Alicia</t>
        </is>
      </c>
      <c r="C148" t="inlineStr">
        <is>
          <t>LUNES</t>
        </is>
      </c>
      <c r="D148" t="n">
        <v>6</v>
      </c>
      <c r="E148" t="n">
        <v>3</v>
      </c>
      <c r="F148" t="inlineStr">
        <is>
          <t>ENFASIS</t>
        </is>
      </c>
      <c r="G148" t="inlineStr"/>
      <c r="H148" t="inlineStr">
        <is>
          <t>CAS</t>
        </is>
      </c>
      <c r="I148" t="inlineStr">
        <is>
          <t>0901</t>
        </is>
      </c>
      <c r="J148" t="inlineStr">
        <is>
          <t>EQUIPO DE 4: cada docente atiende un grupo de estudiantes en su área</t>
        </is>
      </c>
      <c r="K148" t="inlineStr">
        <is>
          <t>Valencia Marínez Saidy Eufemia (ART); González Castillo Jólmer Jimy (ERD); Lemos Guancha Miriam (CNA)</t>
        </is>
      </c>
      <c r="L148" t="inlineStr">
        <is>
          <t>ÉNFASIS 9°-1</t>
        </is>
      </c>
      <c r="M148" t="inlineStr">
        <is>
          <t>EQUIPO DE 4: cada docente atiende un grupo de estudiantes en su área · Con: Valencia Marínez Saidy Eufemia (ART); González Castillo Jólmer Jimy (ERD); Lemos Guancha Miriam (CNA)</t>
        </is>
      </c>
      <c r="N148">
        <f>C148&amp;"|"&amp;D148</f>
        <v/>
      </c>
      <c r="O148">
        <f>COUNTIF($N$2:N148,N148)</f>
        <v/>
      </c>
      <c r="P148">
        <f>N148&amp;"|"&amp;O148</f>
        <v/>
      </c>
      <c r="Q148">
        <f>C148&amp;"|"&amp;D148&amp;"|"&amp;A148</f>
        <v/>
      </c>
    </row>
    <row r="149">
      <c r="A149" t="n">
        <v>49</v>
      </c>
      <c r="B149" t="inlineStr">
        <is>
          <t>Valencia Marínez Saidy Eufemia</t>
        </is>
      </c>
      <c r="C149" t="inlineStr">
        <is>
          <t>LUNES</t>
        </is>
      </c>
      <c r="D149" t="n">
        <v>6</v>
      </c>
      <c r="E149" t="n">
        <v>3</v>
      </c>
      <c r="F149" t="inlineStr">
        <is>
          <t>ENFASIS</t>
        </is>
      </c>
      <c r="G149" t="inlineStr"/>
      <c r="H149" t="inlineStr">
        <is>
          <t>ART</t>
        </is>
      </c>
      <c r="I149" t="inlineStr">
        <is>
          <t>0901</t>
        </is>
      </c>
      <c r="J149" t="inlineStr">
        <is>
          <t>EQUIPO DE 4: cada docente atiende un grupo de estudiantes en su área</t>
        </is>
      </c>
      <c r="K149" t="inlineStr">
        <is>
          <t>Meza Banguera Gladys Alicia (CAS); González Castillo Jólmer Jimy (ERD); Lemos Guancha Miriam (CNA)</t>
        </is>
      </c>
      <c r="L149" t="inlineStr">
        <is>
          <t>ÉNFASIS 9°-1</t>
        </is>
      </c>
      <c r="M149" t="inlineStr">
        <is>
          <t>EQUIPO DE 4: cada docente atiende un grupo de estudiantes en su área · Con: Meza Banguera Gladys Alicia (CAS); González Castillo Jólmer Jimy (ERD); Lemos Guancha Miriam (CNA)</t>
        </is>
      </c>
      <c r="N149">
        <f>C149&amp;"|"&amp;D149</f>
        <v/>
      </c>
      <c r="O149">
        <f>COUNTIF($N$2:N149,N149)</f>
        <v/>
      </c>
      <c r="P149">
        <f>N149&amp;"|"&amp;O149</f>
        <v/>
      </c>
      <c r="Q149">
        <f>C149&amp;"|"&amp;D149&amp;"|"&amp;A149</f>
        <v/>
      </c>
    </row>
    <row r="150">
      <c r="A150" t="n">
        <v>2</v>
      </c>
      <c r="B150" t="inlineStr">
        <is>
          <t>Angulo Lucero Andrés Mauricio</t>
        </is>
      </c>
      <c r="C150" t="inlineStr">
        <is>
          <t>LUNES</t>
        </is>
      </c>
      <c r="D150" t="n">
        <v>6</v>
      </c>
      <c r="E150" t="n">
        <v>3</v>
      </c>
      <c r="F150" t="inlineStr">
        <is>
          <t>ENFASIS</t>
        </is>
      </c>
      <c r="G150" t="inlineStr"/>
      <c r="H150" t="inlineStr">
        <is>
          <t>TEI</t>
        </is>
      </c>
      <c r="I150" t="inlineStr">
        <is>
          <t>1002</t>
        </is>
      </c>
      <c r="J150" t="inlineStr">
        <is>
          <t>EQUIPO DE 4: cada docente atiende un grupo de estudiantes en su área</t>
        </is>
      </c>
      <c r="K150" t="inlineStr">
        <is>
          <t>Pulgarín Ortiz César Marino (CSI); Montaño Arizala Leidis Claudina (ETR); Villota Rubio Janeth del Carmen (MAT)</t>
        </is>
      </c>
      <c r="L150" t="inlineStr">
        <is>
          <t>ÉNFASIS 10°-2</t>
        </is>
      </c>
      <c r="M150" t="inlineStr">
        <is>
          <t>EQUIPO DE 4: cada docente atiende un grupo de estudiantes en su área · Con: Pulgarín Ortiz César Marino (CSI); Montaño Arizala Leidis Claudina (ETR); Villota Rubio Janeth del Carmen (MAT)</t>
        </is>
      </c>
      <c r="N150">
        <f>C150&amp;"|"&amp;D150</f>
        <v/>
      </c>
      <c r="O150">
        <f>COUNTIF($N$2:N150,N150)</f>
        <v/>
      </c>
      <c r="P150">
        <f>N150&amp;"|"&amp;O150</f>
        <v/>
      </c>
      <c r="Q150">
        <f>C150&amp;"|"&amp;D150&amp;"|"&amp;A150</f>
        <v/>
      </c>
    </row>
    <row r="151">
      <c r="A151" t="n">
        <v>31</v>
      </c>
      <c r="B151" t="inlineStr">
        <is>
          <t>Montaño Arizala Leidis Claudina</t>
        </is>
      </c>
      <c r="C151" t="inlineStr">
        <is>
          <t>LUNES</t>
        </is>
      </c>
      <c r="D151" t="n">
        <v>6</v>
      </c>
      <c r="E151" t="n">
        <v>3</v>
      </c>
      <c r="F151" t="inlineStr">
        <is>
          <t>ENFASIS</t>
        </is>
      </c>
      <c r="G151" t="inlineStr"/>
      <c r="H151" t="inlineStr">
        <is>
          <t>ETR</t>
        </is>
      </c>
      <c r="I151" t="inlineStr">
        <is>
          <t>1002</t>
        </is>
      </c>
      <c r="J151" t="inlineStr">
        <is>
          <t>EQUIPO DE 4: cada docente atiende un grupo de estudiantes en su área</t>
        </is>
      </c>
      <c r="K151" t="inlineStr">
        <is>
          <t>Pulgarín Ortiz César Marino (CSI); Villota Rubio Janeth del Carmen (MAT); Angulo Lucero Andrés Mauricio (TEI)</t>
        </is>
      </c>
      <c r="L151" t="inlineStr">
        <is>
          <t>ÉNFASIS 10°-2</t>
        </is>
      </c>
      <c r="M151" t="inlineStr">
        <is>
          <t>EQUIPO DE 4: cada docente atiende un grupo de estudiantes en su área · Con: Pulgarín Ortiz César Marino (CSI); Villota Rubio Janeth del Carmen (MAT); Angulo Lucero Andrés Mauricio (TEI)</t>
        </is>
      </c>
      <c r="N151">
        <f>C151&amp;"|"&amp;D151</f>
        <v/>
      </c>
      <c r="O151">
        <f>COUNTIF($N$2:N151,N151)</f>
        <v/>
      </c>
      <c r="P151">
        <f>N151&amp;"|"&amp;O151</f>
        <v/>
      </c>
      <c r="Q151">
        <f>C151&amp;"|"&amp;D151&amp;"|"&amp;A151</f>
        <v/>
      </c>
    </row>
    <row r="152">
      <c r="A152" t="n">
        <v>40</v>
      </c>
      <c r="B152" t="inlineStr">
        <is>
          <t>Pulgarín Ortiz César Marino</t>
        </is>
      </c>
      <c r="C152" t="inlineStr">
        <is>
          <t>LUNES</t>
        </is>
      </c>
      <c r="D152" t="n">
        <v>6</v>
      </c>
      <c r="E152" t="n">
        <v>3</v>
      </c>
      <c r="F152" t="inlineStr">
        <is>
          <t>ENFASIS</t>
        </is>
      </c>
      <c r="G152" t="inlineStr"/>
      <c r="H152" t="inlineStr">
        <is>
          <t>CSI</t>
        </is>
      </c>
      <c r="I152" t="inlineStr">
        <is>
          <t>1002</t>
        </is>
      </c>
      <c r="J152" t="inlineStr">
        <is>
          <t>EQUIPO DE 4: cada docente atiende un grupo de estudiantes en su área</t>
        </is>
      </c>
      <c r="K152" t="inlineStr">
        <is>
          <t>Montaño Arizala Leidis Claudina (ETR); Villota Rubio Janeth del Carmen (MAT); Angulo Lucero Andrés Mauricio (TEI)</t>
        </is>
      </c>
      <c r="L152" t="inlineStr">
        <is>
          <t>ÉNFASIS 10°-2</t>
        </is>
      </c>
      <c r="M152" t="inlineStr">
        <is>
          <t>EQUIPO DE 4: cada docente atiende un grupo de estudiantes en su área · Con: Montaño Arizala Leidis Claudina (ETR); Villota Rubio Janeth del Carmen (MAT); Angulo Lucero Andrés Mauricio (TEI)</t>
        </is>
      </c>
      <c r="N152">
        <f>C152&amp;"|"&amp;D152</f>
        <v/>
      </c>
      <c r="O152">
        <f>COUNTIF($N$2:N152,N152)</f>
        <v/>
      </c>
      <c r="P152">
        <f>N152&amp;"|"&amp;O152</f>
        <v/>
      </c>
      <c r="Q152">
        <f>C152&amp;"|"&amp;D152&amp;"|"&amp;A152</f>
        <v/>
      </c>
    </row>
    <row r="153">
      <c r="A153" t="n">
        <v>54</v>
      </c>
      <c r="B153" t="inlineStr">
        <is>
          <t>Villota Rubio Janeth del Carmen</t>
        </is>
      </c>
      <c r="C153" t="inlineStr">
        <is>
          <t>LUNES</t>
        </is>
      </c>
      <c r="D153" t="n">
        <v>6</v>
      </c>
      <c r="E153" t="n">
        <v>3</v>
      </c>
      <c r="F153" t="inlineStr">
        <is>
          <t>ENFASIS</t>
        </is>
      </c>
      <c r="G153" t="inlineStr"/>
      <c r="H153" t="inlineStr">
        <is>
          <t>MAT</t>
        </is>
      </c>
      <c r="I153" t="inlineStr">
        <is>
          <t>1002</t>
        </is>
      </c>
      <c r="J153" t="inlineStr">
        <is>
          <t>EQUIPO DE 4: cada docente atiende un grupo de estudiantes en su área</t>
        </is>
      </c>
      <c r="K153" t="inlineStr">
        <is>
          <t>Pulgarín Ortiz César Marino (CSI); Montaño Arizala Leidis Claudina (ETR); Angulo Lucero Andrés Mauricio (TEI)</t>
        </is>
      </c>
      <c r="L153" t="inlineStr">
        <is>
          <t>ÉNFASIS 10°-2</t>
        </is>
      </c>
      <c r="M153" t="inlineStr">
        <is>
          <t>EQUIPO DE 4: cada docente atiende un grupo de estudiantes en su área · Con: Pulgarín Ortiz César Marino (CSI); Montaño Arizala Leidis Claudina (ETR); Angulo Lucero Andrés Mauricio (TEI)</t>
        </is>
      </c>
      <c r="N153">
        <f>C153&amp;"|"&amp;D153</f>
        <v/>
      </c>
      <c r="O153">
        <f>COUNTIF($N$2:N153,N153)</f>
        <v/>
      </c>
      <c r="P153">
        <f>N153&amp;"|"&amp;O153</f>
        <v/>
      </c>
      <c r="Q153">
        <f>C153&amp;"|"&amp;D153&amp;"|"&amp;A153</f>
        <v/>
      </c>
    </row>
    <row r="154">
      <c r="A154" t="n">
        <v>20</v>
      </c>
      <c r="B154" t="inlineStr">
        <is>
          <t>García Gobea Saydi Magali</t>
        </is>
      </c>
      <c r="C154" t="inlineStr">
        <is>
          <t>LUNES</t>
        </is>
      </c>
      <c r="D154" t="n">
        <v>7</v>
      </c>
      <c r="E154" t="n">
        <v>4</v>
      </c>
      <c r="F154" t="inlineStr">
        <is>
          <t>CLASE</t>
        </is>
      </c>
      <c r="G154" t="inlineStr">
        <is>
          <t>0601</t>
        </is>
      </c>
      <c r="H154" t="inlineStr">
        <is>
          <t>CSI</t>
        </is>
      </c>
      <c r="I154" t="inlineStr"/>
      <c r="J154" t="inlineStr">
        <is>
          <t>Sociales / Inglés (alternan cada semana)</t>
        </is>
      </c>
      <c r="K154" t="inlineStr"/>
      <c r="L154" t="inlineStr">
        <is>
          <t>6°-1</t>
        </is>
      </c>
      <c r="M154" t="inlineStr">
        <is>
          <t>Sociales / Inglés (alternan cada semana)</t>
        </is>
      </c>
      <c r="N154">
        <f>C154&amp;"|"&amp;D154</f>
        <v/>
      </c>
      <c r="O154">
        <f>COUNTIF($N$2:N154,N154)</f>
        <v/>
      </c>
      <c r="P154">
        <f>N154&amp;"|"&amp;O154</f>
        <v/>
      </c>
      <c r="Q154">
        <f>C154&amp;"|"&amp;D154&amp;"|"&amp;A154</f>
        <v/>
      </c>
    </row>
    <row r="155">
      <c r="A155" t="n">
        <v>16</v>
      </c>
      <c r="B155" t="inlineStr">
        <is>
          <t>Cuero Rincón Hernando Jesús</t>
        </is>
      </c>
      <c r="C155" t="inlineStr">
        <is>
          <t>LUNES</t>
        </is>
      </c>
      <c r="D155" t="n">
        <v>7</v>
      </c>
      <c r="E155" t="n">
        <v>4</v>
      </c>
      <c r="F155" t="inlineStr">
        <is>
          <t>CLASE</t>
        </is>
      </c>
      <c r="G155" t="inlineStr">
        <is>
          <t>0602</t>
        </is>
      </c>
      <c r="H155" t="inlineStr">
        <is>
          <t>CAS</t>
        </is>
      </c>
      <c r="I155" t="inlineStr"/>
      <c r="J155" t="inlineStr"/>
      <c r="K155" t="inlineStr"/>
      <c r="L155" t="inlineStr">
        <is>
          <t>6°-2</t>
        </is>
      </c>
      <c r="M155" t="inlineStr"/>
      <c r="N155">
        <f>C155&amp;"|"&amp;D155</f>
        <v/>
      </c>
      <c r="O155">
        <f>COUNTIF($N$2:N155,N155)</f>
        <v/>
      </c>
      <c r="P155">
        <f>N155&amp;"|"&amp;O155</f>
        <v/>
      </c>
      <c r="Q155">
        <f>C155&amp;"|"&amp;D155&amp;"|"&amp;A155</f>
        <v/>
      </c>
    </row>
    <row r="156">
      <c r="A156" t="n">
        <v>34</v>
      </c>
      <c r="B156" t="inlineStr">
        <is>
          <t>Ordóñez Tenorio Jaime Marcial</t>
        </is>
      </c>
      <c r="C156" t="inlineStr">
        <is>
          <t>LUNES</t>
        </is>
      </c>
      <c r="D156" t="n">
        <v>7</v>
      </c>
      <c r="E156" t="n">
        <v>4</v>
      </c>
      <c r="F156" t="inlineStr">
        <is>
          <t>CLASE</t>
        </is>
      </c>
      <c r="G156" t="inlineStr">
        <is>
          <t>0701</t>
        </is>
      </c>
      <c r="H156" t="inlineStr">
        <is>
          <t>CNA</t>
        </is>
      </c>
      <c r="I156" t="inlineStr"/>
      <c r="J156" t="inlineStr"/>
      <c r="K156" t="inlineStr"/>
      <c r="L156" t="inlineStr">
        <is>
          <t>7°-1</t>
        </is>
      </c>
      <c r="M156" t="inlineStr"/>
      <c r="N156">
        <f>C156&amp;"|"&amp;D156</f>
        <v/>
      </c>
      <c r="O156">
        <f>COUNTIF($N$2:N156,N156)</f>
        <v/>
      </c>
      <c r="P156">
        <f>N156&amp;"|"&amp;O156</f>
        <v/>
      </c>
      <c r="Q156">
        <f>C156&amp;"|"&amp;D156&amp;"|"&amp;A156</f>
        <v/>
      </c>
    </row>
    <row r="157">
      <c r="A157" t="n">
        <v>1</v>
      </c>
      <c r="B157" t="inlineStr">
        <is>
          <t>Aguirre Riascos Jorge Andrés</t>
        </is>
      </c>
      <c r="C157" t="inlineStr">
        <is>
          <t>LUNES</t>
        </is>
      </c>
      <c r="D157" t="n">
        <v>7</v>
      </c>
      <c r="E157" t="n">
        <v>4</v>
      </c>
      <c r="F157" t="inlineStr">
        <is>
          <t>CLASE</t>
        </is>
      </c>
      <c r="G157" t="inlineStr">
        <is>
          <t>0702</t>
        </is>
      </c>
      <c r="H157" t="inlineStr">
        <is>
          <t>TEI</t>
        </is>
      </c>
      <c r="I157" t="inlineStr"/>
      <c r="J157" t="inlineStr"/>
      <c r="K157" t="inlineStr"/>
      <c r="L157" t="inlineStr">
        <is>
          <t>7°-2</t>
        </is>
      </c>
      <c r="M157" t="inlineStr"/>
      <c r="N157">
        <f>C157&amp;"|"&amp;D157</f>
        <v/>
      </c>
      <c r="O157">
        <f>COUNTIF($N$2:N157,N157)</f>
        <v/>
      </c>
      <c r="P157">
        <f>N157&amp;"|"&amp;O157</f>
        <v/>
      </c>
      <c r="Q157">
        <f>C157&amp;"|"&amp;D157&amp;"|"&amp;A157</f>
        <v/>
      </c>
    </row>
    <row r="158">
      <c r="A158" t="n">
        <v>8</v>
      </c>
      <c r="B158" t="inlineStr">
        <is>
          <t>Casanova Quiñones Yoli del Carmen</t>
        </is>
      </c>
      <c r="C158" t="inlineStr">
        <is>
          <t>LUNES</t>
        </is>
      </c>
      <c r="D158" t="n">
        <v>7</v>
      </c>
      <c r="E158" t="n">
        <v>4</v>
      </c>
      <c r="F158" t="inlineStr">
        <is>
          <t>CLASE</t>
        </is>
      </c>
      <c r="G158" t="inlineStr">
        <is>
          <t>0703</t>
        </is>
      </c>
      <c r="H158" t="inlineStr">
        <is>
          <t>ETR</t>
        </is>
      </c>
      <c r="I158" t="inlineStr"/>
      <c r="J158" t="inlineStr">
        <is>
          <t>Ética / Religión (alternan cada semana)</t>
        </is>
      </c>
      <c r="K158" t="inlineStr"/>
      <c r="L158" t="inlineStr">
        <is>
          <t>7°-3</t>
        </is>
      </c>
      <c r="M158" t="inlineStr">
        <is>
          <t>Ética / Religión (alternan cada semana)</t>
        </is>
      </c>
      <c r="N158">
        <f>C158&amp;"|"&amp;D158</f>
        <v/>
      </c>
      <c r="O158">
        <f>COUNTIF($N$2:N158,N158)</f>
        <v/>
      </c>
      <c r="P158">
        <f>N158&amp;"|"&amp;O158</f>
        <v/>
      </c>
      <c r="Q158">
        <f>C158&amp;"|"&amp;D158&amp;"|"&amp;A158</f>
        <v/>
      </c>
    </row>
    <row r="159">
      <c r="A159" t="n">
        <v>10</v>
      </c>
      <c r="B159" t="inlineStr">
        <is>
          <t>Castillo Cuero Daira Eneida</t>
        </is>
      </c>
      <c r="C159" t="inlineStr">
        <is>
          <t>LUNES</t>
        </is>
      </c>
      <c r="D159" t="n">
        <v>7</v>
      </c>
      <c r="E159" t="n">
        <v>4</v>
      </c>
      <c r="F159" t="inlineStr">
        <is>
          <t>CLASE</t>
        </is>
      </c>
      <c r="G159" t="inlineStr">
        <is>
          <t>0704</t>
        </is>
      </c>
      <c r="H159" t="inlineStr">
        <is>
          <t>CAS</t>
        </is>
      </c>
      <c r="I159" t="inlineStr"/>
      <c r="J159" t="inlineStr"/>
      <c r="K159" t="inlineStr"/>
      <c r="L159" t="inlineStr">
        <is>
          <t>7°-4</t>
        </is>
      </c>
      <c r="M159" t="inlineStr"/>
      <c r="N159">
        <f>C159&amp;"|"&amp;D159</f>
        <v/>
      </c>
      <c r="O159">
        <f>COUNTIF($N$2:N159,N159)</f>
        <v/>
      </c>
      <c r="P159">
        <f>N159&amp;"|"&amp;O159</f>
        <v/>
      </c>
      <c r="Q159">
        <f>C159&amp;"|"&amp;D159&amp;"|"&amp;A159</f>
        <v/>
      </c>
    </row>
    <row r="160">
      <c r="A160" t="n">
        <v>38</v>
      </c>
      <c r="B160" t="inlineStr">
        <is>
          <t>Preciado Torres Oleisa</t>
        </is>
      </c>
      <c r="C160" t="inlineStr">
        <is>
          <t>LUNES</t>
        </is>
      </c>
      <c r="D160" t="n">
        <v>7</v>
      </c>
      <c r="E160" t="n">
        <v>4</v>
      </c>
      <c r="F160" t="inlineStr">
        <is>
          <t>CLASE</t>
        </is>
      </c>
      <c r="G160" t="inlineStr">
        <is>
          <t>0801</t>
        </is>
      </c>
      <c r="H160" t="inlineStr">
        <is>
          <t>MAT</t>
        </is>
      </c>
      <c r="I160" t="inlineStr"/>
      <c r="J160" t="inlineStr"/>
      <c r="K160" t="inlineStr"/>
      <c r="L160" t="inlineStr">
        <is>
          <t>8°-1</t>
        </is>
      </c>
      <c r="M160" t="inlineStr"/>
      <c r="N160">
        <f>C160&amp;"|"&amp;D160</f>
        <v/>
      </c>
      <c r="O160">
        <f>COUNTIF($N$2:N160,N160)</f>
        <v/>
      </c>
      <c r="P160">
        <f>N160&amp;"|"&amp;O160</f>
        <v/>
      </c>
      <c r="Q160">
        <f>C160&amp;"|"&amp;D160&amp;"|"&amp;A160</f>
        <v/>
      </c>
    </row>
    <row r="161">
      <c r="A161" t="n">
        <v>12</v>
      </c>
      <c r="B161" t="inlineStr">
        <is>
          <t>Chillambo Quiñones María Rocío</t>
        </is>
      </c>
      <c r="C161" t="inlineStr">
        <is>
          <t>LUNES</t>
        </is>
      </c>
      <c r="D161" t="n">
        <v>7</v>
      </c>
      <c r="E161" t="n">
        <v>4</v>
      </c>
      <c r="F161" t="inlineStr">
        <is>
          <t>CLASE</t>
        </is>
      </c>
      <c r="G161" t="inlineStr">
        <is>
          <t>0802</t>
        </is>
      </c>
      <c r="H161" t="inlineStr">
        <is>
          <t>CNA</t>
        </is>
      </c>
      <c r="I161" t="inlineStr"/>
      <c r="J161" t="inlineStr"/>
      <c r="K161" t="inlineStr"/>
      <c r="L161" t="inlineStr">
        <is>
          <t>8°-2</t>
        </is>
      </c>
      <c r="M161" t="inlineStr"/>
      <c r="N161">
        <f>C161&amp;"|"&amp;D161</f>
        <v/>
      </c>
      <c r="O161">
        <f>COUNTIF($N$2:N161,N161)</f>
        <v/>
      </c>
      <c r="P161">
        <f>N161&amp;"|"&amp;O161</f>
        <v/>
      </c>
      <c r="Q161">
        <f>C161&amp;"|"&amp;D161&amp;"|"&amp;A161</f>
        <v/>
      </c>
    </row>
    <row r="162">
      <c r="A162" t="n">
        <v>18</v>
      </c>
      <c r="B162" t="inlineStr">
        <is>
          <t>Estacio Estupiñán Rosario</t>
        </is>
      </c>
      <c r="C162" t="inlineStr">
        <is>
          <t>LUNES</t>
        </is>
      </c>
      <c r="D162" t="n">
        <v>7</v>
      </c>
      <c r="E162" t="n">
        <v>4</v>
      </c>
      <c r="F162" t="inlineStr">
        <is>
          <t>CLASE</t>
        </is>
      </c>
      <c r="G162" t="inlineStr">
        <is>
          <t>0901</t>
        </is>
      </c>
      <c r="H162" t="inlineStr">
        <is>
          <t>ETR</t>
        </is>
      </c>
      <c r="I162" t="inlineStr"/>
      <c r="J162" t="inlineStr">
        <is>
          <t>Ética / Religión (alternan cada semana)</t>
        </is>
      </c>
      <c r="K162" t="inlineStr"/>
      <c r="L162" t="inlineStr">
        <is>
          <t>9°-1</t>
        </is>
      </c>
      <c r="M162" t="inlineStr">
        <is>
          <t>Ética / Religión (alternan cada semana)</t>
        </is>
      </c>
      <c r="N162">
        <f>C162&amp;"|"&amp;D162</f>
        <v/>
      </c>
      <c r="O162">
        <f>COUNTIF($N$2:N162,N162)</f>
        <v/>
      </c>
      <c r="P162">
        <f>N162&amp;"|"&amp;O162</f>
        <v/>
      </c>
      <c r="Q162">
        <f>C162&amp;"|"&amp;D162&amp;"|"&amp;A162</f>
        <v/>
      </c>
    </row>
    <row r="163">
      <c r="A163" t="n">
        <v>5</v>
      </c>
      <c r="B163" t="inlineStr">
        <is>
          <t>Bastidas Valencia Zeneida Judith</t>
        </is>
      </c>
      <c r="C163" t="inlineStr">
        <is>
          <t>LUNES</t>
        </is>
      </c>
      <c r="D163" t="n">
        <v>7</v>
      </c>
      <c r="E163" t="n">
        <v>4</v>
      </c>
      <c r="F163" t="inlineStr">
        <is>
          <t>CLASE</t>
        </is>
      </c>
      <c r="G163" t="inlineStr">
        <is>
          <t>0902</t>
        </is>
      </c>
      <c r="H163" t="inlineStr">
        <is>
          <t>MAT</t>
        </is>
      </c>
      <c r="I163" t="inlineStr"/>
      <c r="J163" t="inlineStr"/>
      <c r="K163" t="inlineStr"/>
      <c r="L163" t="inlineStr">
        <is>
          <t>9°-2</t>
        </is>
      </c>
      <c r="M163" t="inlineStr"/>
      <c r="N163">
        <f>C163&amp;"|"&amp;D163</f>
        <v/>
      </c>
      <c r="O163">
        <f>COUNTIF($N$2:N163,N163)</f>
        <v/>
      </c>
      <c r="P163">
        <f>N163&amp;"|"&amp;O163</f>
        <v/>
      </c>
      <c r="Q163">
        <f>C163&amp;"|"&amp;D163&amp;"|"&amp;A163</f>
        <v/>
      </c>
    </row>
    <row r="164">
      <c r="A164" t="n">
        <v>29</v>
      </c>
      <c r="B164" t="inlineStr">
        <is>
          <t>Mindineros Satizábal John Jáver</t>
        </is>
      </c>
      <c r="C164" t="inlineStr">
        <is>
          <t>LUNES</t>
        </is>
      </c>
      <c r="D164" t="n">
        <v>7</v>
      </c>
      <c r="E164" t="n">
        <v>4</v>
      </c>
      <c r="F164" t="inlineStr">
        <is>
          <t>CLASE</t>
        </is>
      </c>
      <c r="G164" t="inlineStr">
        <is>
          <t>1001</t>
        </is>
      </c>
      <c r="H164" t="inlineStr">
        <is>
          <t>TEI</t>
        </is>
      </c>
      <c r="I164" t="inlineStr"/>
      <c r="J164" t="inlineStr"/>
      <c r="K164" t="inlineStr"/>
      <c r="L164" t="inlineStr">
        <is>
          <t>10°-1</t>
        </is>
      </c>
      <c r="M164" t="inlineStr"/>
      <c r="N164">
        <f>C164&amp;"|"&amp;D164</f>
        <v/>
      </c>
      <c r="O164">
        <f>COUNTIF($N$2:N164,N164)</f>
        <v/>
      </c>
      <c r="P164">
        <f>N164&amp;"|"&amp;O164</f>
        <v/>
      </c>
      <c r="Q164">
        <f>C164&amp;"|"&amp;D164&amp;"|"&amp;A164</f>
        <v/>
      </c>
    </row>
    <row r="165">
      <c r="A165" t="n">
        <v>2</v>
      </c>
      <c r="B165" t="inlineStr">
        <is>
          <t>Angulo Lucero Andrés Mauricio</t>
        </is>
      </c>
      <c r="C165" t="inlineStr">
        <is>
          <t>LUNES</t>
        </is>
      </c>
      <c r="D165" t="n">
        <v>7</v>
      </c>
      <c r="E165" t="n">
        <v>4</v>
      </c>
      <c r="F165" t="inlineStr">
        <is>
          <t>CLASE</t>
        </is>
      </c>
      <c r="G165" t="inlineStr">
        <is>
          <t>1002</t>
        </is>
      </c>
      <c r="H165" t="inlineStr">
        <is>
          <t>TEI</t>
        </is>
      </c>
      <c r="I165" t="inlineStr"/>
      <c r="J165" t="inlineStr"/>
      <c r="K165" t="inlineStr"/>
      <c r="L165" t="inlineStr">
        <is>
          <t>10°-2</t>
        </is>
      </c>
      <c r="M165" t="inlineStr"/>
      <c r="N165">
        <f>C165&amp;"|"&amp;D165</f>
        <v/>
      </c>
      <c r="O165">
        <f>COUNTIF($N$2:N165,N165)</f>
        <v/>
      </c>
      <c r="P165">
        <f>N165&amp;"|"&amp;O165</f>
        <v/>
      </c>
      <c r="Q165">
        <f>C165&amp;"|"&amp;D165&amp;"|"&amp;A165</f>
        <v/>
      </c>
    </row>
    <row r="166">
      <c r="A166" t="n">
        <v>31</v>
      </c>
      <c r="B166" t="inlineStr">
        <is>
          <t>Montaño Arizala Leidis Claudina</t>
        </is>
      </c>
      <c r="C166" t="inlineStr">
        <is>
          <t>LUNES</t>
        </is>
      </c>
      <c r="D166" t="n">
        <v>7</v>
      </c>
      <c r="E166" t="n">
        <v>4</v>
      </c>
      <c r="F166" t="inlineStr">
        <is>
          <t>CLASE</t>
        </is>
      </c>
      <c r="G166" t="inlineStr">
        <is>
          <t>1102</t>
        </is>
      </c>
      <c r="H166" t="inlineStr">
        <is>
          <t>ETR</t>
        </is>
      </c>
      <c r="I166" t="inlineStr"/>
      <c r="J166" t="inlineStr">
        <is>
          <t>Ética / Religión (alternan cada semana)</t>
        </is>
      </c>
      <c r="K166" t="inlineStr"/>
      <c r="L166" t="inlineStr">
        <is>
          <t>11°-2</t>
        </is>
      </c>
      <c r="M166" t="inlineStr">
        <is>
          <t>Ética / Religión (alternan cada semana)</t>
        </is>
      </c>
      <c r="N166">
        <f>C166&amp;"|"&amp;D166</f>
        <v/>
      </c>
      <c r="O166">
        <f>COUNTIF($N$2:N166,N166)</f>
        <v/>
      </c>
      <c r="P166">
        <f>N166&amp;"|"&amp;O166</f>
        <v/>
      </c>
      <c r="Q166">
        <f>C166&amp;"|"&amp;D166&amp;"|"&amp;A166</f>
        <v/>
      </c>
    </row>
    <row r="167">
      <c r="A167" t="n">
        <v>57</v>
      </c>
      <c r="B167" t="inlineStr">
        <is>
          <t>Armero Dájome Jesús</t>
        </is>
      </c>
      <c r="C167" t="inlineStr">
        <is>
          <t>LUNES</t>
        </is>
      </c>
      <c r="D167" t="n">
        <v>7</v>
      </c>
      <c r="E167" t="n">
        <v>4</v>
      </c>
      <c r="F167" t="inlineStr">
        <is>
          <t>CLASE</t>
        </is>
      </c>
      <c r="G167" t="inlineStr">
        <is>
          <t>CS101</t>
        </is>
      </c>
      <c r="H167" t="inlineStr">
        <is>
          <t>ERD</t>
        </is>
      </c>
      <c r="I167" t="inlineStr"/>
      <c r="J167" t="inlineStr"/>
      <c r="K167" t="inlineStr"/>
      <c r="L167" t="inlineStr">
        <is>
          <t>CS 1-1</t>
        </is>
      </c>
      <c r="M167" t="inlineStr"/>
      <c r="N167">
        <f>C167&amp;"|"&amp;D167</f>
        <v/>
      </c>
      <c r="O167">
        <f>COUNTIF($N$2:N167,N167)</f>
        <v/>
      </c>
      <c r="P167">
        <f>N167&amp;"|"&amp;O167</f>
        <v/>
      </c>
      <c r="Q167">
        <f>C167&amp;"|"&amp;D167&amp;"|"&amp;A167</f>
        <v/>
      </c>
    </row>
    <row r="168">
      <c r="A168" t="n">
        <v>42</v>
      </c>
      <c r="B168" t="inlineStr">
        <is>
          <t>Quiñones Cabezas Marcos Vidal</t>
        </is>
      </c>
      <c r="C168" t="inlineStr">
        <is>
          <t>LUNES</t>
        </is>
      </c>
      <c r="D168" t="n">
        <v>7</v>
      </c>
      <c r="E168" t="n">
        <v>4</v>
      </c>
      <c r="F168" t="inlineStr">
        <is>
          <t>CLASE</t>
        </is>
      </c>
      <c r="G168" t="inlineStr">
        <is>
          <t>CS102</t>
        </is>
      </c>
      <c r="H168" t="inlineStr">
        <is>
          <t>MAT</t>
        </is>
      </c>
      <c r="I168" t="inlineStr"/>
      <c r="J168" t="inlineStr"/>
      <c r="K168" t="inlineStr"/>
      <c r="L168" t="inlineStr">
        <is>
          <t>CS 1-2</t>
        </is>
      </c>
      <c r="M168" t="inlineStr"/>
      <c r="N168">
        <f>C168&amp;"|"&amp;D168</f>
        <v/>
      </c>
      <c r="O168">
        <f>COUNTIF($N$2:N168,N168)</f>
        <v/>
      </c>
      <c r="P168">
        <f>N168&amp;"|"&amp;O168</f>
        <v/>
      </c>
      <c r="Q168">
        <f>C168&amp;"|"&amp;D168&amp;"|"&amp;A168</f>
        <v/>
      </c>
    </row>
    <row r="169">
      <c r="A169" t="n">
        <v>51</v>
      </c>
      <c r="B169" t="inlineStr">
        <is>
          <t>Valverde Montaño María Teresa</t>
        </is>
      </c>
      <c r="C169" t="inlineStr">
        <is>
          <t>LUNES</t>
        </is>
      </c>
      <c r="D169" t="n">
        <v>7</v>
      </c>
      <c r="E169" t="n">
        <v>4</v>
      </c>
      <c r="F169" t="inlineStr">
        <is>
          <t>CLASE</t>
        </is>
      </c>
      <c r="G169" t="inlineStr">
        <is>
          <t>CS202</t>
        </is>
      </c>
      <c r="H169" t="inlineStr">
        <is>
          <t>CAS</t>
        </is>
      </c>
      <c r="I169" t="inlineStr"/>
      <c r="J169" t="inlineStr"/>
      <c r="K169" t="inlineStr"/>
      <c r="L169" t="inlineStr">
        <is>
          <t>CS 2-2</t>
        </is>
      </c>
      <c r="M169" t="inlineStr"/>
      <c r="N169">
        <f>C169&amp;"|"&amp;D169</f>
        <v/>
      </c>
      <c r="O169">
        <f>COUNTIF($N$2:N169,N169)</f>
        <v/>
      </c>
      <c r="P169">
        <f>N169&amp;"|"&amp;O169</f>
        <v/>
      </c>
      <c r="Q169">
        <f>C169&amp;"|"&amp;D169&amp;"|"&amp;A169</f>
        <v/>
      </c>
    </row>
    <row r="170">
      <c r="A170" t="n">
        <v>3</v>
      </c>
      <c r="B170" t="inlineStr">
        <is>
          <t>Arboleda Ortiz Luz América</t>
        </is>
      </c>
      <c r="C170" t="inlineStr">
        <is>
          <t>LUNES</t>
        </is>
      </c>
      <c r="D170" t="n">
        <v>7</v>
      </c>
      <c r="E170" t="n">
        <v>4</v>
      </c>
      <c r="F170" t="inlineStr">
        <is>
          <t>ENFASIS</t>
        </is>
      </c>
      <c r="G170" t="inlineStr"/>
      <c r="H170" t="inlineStr">
        <is>
          <t>ART</t>
        </is>
      </c>
      <c r="I170" t="inlineStr">
        <is>
          <t>1101</t>
        </is>
      </c>
      <c r="J170" t="inlineStr">
        <is>
          <t>EQUIPO DE 4: cada docente atiende un grupo de estudiantes en su área</t>
        </is>
      </c>
      <c r="K170" t="inlineStr">
        <is>
          <t>Montaño Anchico Favio Héctor (CAS); Ramírez Guerra Jimmy Eduardo (ERD); Villota Rubio Héctor Hugo (CNA)</t>
        </is>
      </c>
      <c r="L170" t="inlineStr">
        <is>
          <t>ÉNFASIS 11°-1</t>
        </is>
      </c>
      <c r="M170" t="inlineStr">
        <is>
          <t>EQUIPO DE 4: cada docente atiende un grupo de estudiantes en su área · Con: Montaño Anchico Favio Héctor (CAS); Ramírez Guerra Jimmy Eduardo (ERD); Villota Rubio Héctor Hugo (CNA)</t>
        </is>
      </c>
      <c r="N170">
        <f>C170&amp;"|"&amp;D170</f>
        <v/>
      </c>
      <c r="O170">
        <f>COUNTIF($N$2:N170,N170)</f>
        <v/>
      </c>
      <c r="P170">
        <f>N170&amp;"|"&amp;O170</f>
        <v/>
      </c>
      <c r="Q170">
        <f>C170&amp;"|"&amp;D170&amp;"|"&amp;A170</f>
        <v/>
      </c>
    </row>
    <row r="171">
      <c r="A171" t="n">
        <v>30</v>
      </c>
      <c r="B171" t="inlineStr">
        <is>
          <t>Montaño Anchico Favio Héctor</t>
        </is>
      </c>
      <c r="C171" t="inlineStr">
        <is>
          <t>LUNES</t>
        </is>
      </c>
      <c r="D171" t="n">
        <v>7</v>
      </c>
      <c r="E171" t="n">
        <v>4</v>
      </c>
      <c r="F171" t="inlineStr">
        <is>
          <t>ENFASIS</t>
        </is>
      </c>
      <c r="G171" t="inlineStr"/>
      <c r="H171" t="inlineStr">
        <is>
          <t>CAS</t>
        </is>
      </c>
      <c r="I171" t="inlineStr">
        <is>
          <t>1101</t>
        </is>
      </c>
      <c r="J171" t="inlineStr">
        <is>
          <t>EQUIPO DE 4: cada docente atiende un grupo de estudiantes en su área</t>
        </is>
      </c>
      <c r="K171" t="inlineStr">
        <is>
          <t>Arboleda Ortiz Luz América (ART); Ramírez Guerra Jimmy Eduardo (ERD); Villota Rubio Héctor Hugo (CNA)</t>
        </is>
      </c>
      <c r="L171" t="inlineStr">
        <is>
          <t>ÉNFASIS 11°-1</t>
        </is>
      </c>
      <c r="M171" t="inlineStr">
        <is>
          <t>EQUIPO DE 4: cada docente atiende un grupo de estudiantes en su área · Con: Arboleda Ortiz Luz América (ART); Ramírez Guerra Jimmy Eduardo (ERD); Villota Rubio Héctor Hugo (CNA)</t>
        </is>
      </c>
      <c r="N171">
        <f>C171&amp;"|"&amp;D171</f>
        <v/>
      </c>
      <c r="O171">
        <f>COUNTIF($N$2:N171,N171)</f>
        <v/>
      </c>
      <c r="P171">
        <f>N171&amp;"|"&amp;O171</f>
        <v/>
      </c>
      <c r="Q171">
        <f>C171&amp;"|"&amp;D171&amp;"|"&amp;A171</f>
        <v/>
      </c>
    </row>
    <row r="172">
      <c r="A172" t="n">
        <v>43</v>
      </c>
      <c r="B172" t="inlineStr">
        <is>
          <t>Ramírez Guerra Jimmy Eduardo</t>
        </is>
      </c>
      <c r="C172" t="inlineStr">
        <is>
          <t>LUNES</t>
        </is>
      </c>
      <c r="D172" t="n">
        <v>7</v>
      </c>
      <c r="E172" t="n">
        <v>4</v>
      </c>
      <c r="F172" t="inlineStr">
        <is>
          <t>ENFASIS</t>
        </is>
      </c>
      <c r="G172" t="inlineStr"/>
      <c r="H172" t="inlineStr">
        <is>
          <t>ERD</t>
        </is>
      </c>
      <c r="I172" t="inlineStr">
        <is>
          <t>1101</t>
        </is>
      </c>
      <c r="J172" t="inlineStr">
        <is>
          <t>EQUIPO DE 4: cada docente atiende un grupo de estudiantes en su área</t>
        </is>
      </c>
      <c r="K172" t="inlineStr">
        <is>
          <t>Arboleda Ortiz Luz América (ART); Montaño Anchico Favio Héctor (CAS); Villota Rubio Héctor Hugo (CNA)</t>
        </is>
      </c>
      <c r="L172" t="inlineStr">
        <is>
          <t>ÉNFASIS 11°-1</t>
        </is>
      </c>
      <c r="M172" t="inlineStr">
        <is>
          <t>EQUIPO DE 4: cada docente atiende un grupo de estudiantes en su área · Con: Arboleda Ortiz Luz América (ART); Montaño Anchico Favio Héctor (CAS); Villota Rubio Héctor Hugo (CNA)</t>
        </is>
      </c>
      <c r="N172">
        <f>C172&amp;"|"&amp;D172</f>
        <v/>
      </c>
      <c r="O172">
        <f>COUNTIF($N$2:N172,N172)</f>
        <v/>
      </c>
      <c r="P172">
        <f>N172&amp;"|"&amp;O172</f>
        <v/>
      </c>
      <c r="Q172">
        <f>C172&amp;"|"&amp;D172&amp;"|"&amp;A172</f>
        <v/>
      </c>
    </row>
    <row r="173">
      <c r="A173" t="n">
        <v>53</v>
      </c>
      <c r="B173" t="inlineStr">
        <is>
          <t>Villota Rubio Héctor Hugo</t>
        </is>
      </c>
      <c r="C173" t="inlineStr">
        <is>
          <t>LUNES</t>
        </is>
      </c>
      <c r="D173" t="n">
        <v>7</v>
      </c>
      <c r="E173" t="n">
        <v>4</v>
      </c>
      <c r="F173" t="inlineStr">
        <is>
          <t>ENFASIS</t>
        </is>
      </c>
      <c r="G173" t="inlineStr"/>
      <c r="H173" t="inlineStr">
        <is>
          <t>CNA</t>
        </is>
      </c>
      <c r="I173" t="inlineStr">
        <is>
          <t>1101</t>
        </is>
      </c>
      <c r="J173" t="inlineStr">
        <is>
          <t>EQUIPO DE 4: cada docente atiende un grupo de estudiantes en su área</t>
        </is>
      </c>
      <c r="K173" t="inlineStr">
        <is>
          <t>Arboleda Ortiz Luz América (ART); Montaño Anchico Favio Héctor (CAS); Ramírez Guerra Jimmy Eduardo (ERD)</t>
        </is>
      </c>
      <c r="L173" t="inlineStr">
        <is>
          <t>ÉNFASIS 11°-1</t>
        </is>
      </c>
      <c r="M173" t="inlineStr">
        <is>
          <t>EQUIPO DE 4: cada docente atiende un grupo de estudiantes en su área · Con: Arboleda Ortiz Luz América (ART); Montaño Anchico Favio Héctor (CAS); Ramírez Guerra Jimmy Eduardo (ERD)</t>
        </is>
      </c>
      <c r="N173">
        <f>C173&amp;"|"&amp;D173</f>
        <v/>
      </c>
      <c r="O173">
        <f>COUNTIF($N$2:N173,N173)</f>
        <v/>
      </c>
      <c r="P173">
        <f>N173&amp;"|"&amp;O173</f>
        <v/>
      </c>
      <c r="Q173">
        <f>C173&amp;"|"&amp;D173&amp;"|"&amp;A173</f>
        <v/>
      </c>
    </row>
    <row r="174">
      <c r="A174" t="n">
        <v>22</v>
      </c>
      <c r="B174" t="inlineStr">
        <is>
          <t>González Castillo Jólmer Jimy</t>
        </is>
      </c>
      <c r="C174" t="inlineStr">
        <is>
          <t>LUNES</t>
        </is>
      </c>
      <c r="D174" t="n">
        <v>7</v>
      </c>
      <c r="E174" t="n">
        <v>4</v>
      </c>
      <c r="F174" t="inlineStr">
        <is>
          <t>ENFASIS</t>
        </is>
      </c>
      <c r="G174" t="inlineStr"/>
      <c r="H174" t="inlineStr">
        <is>
          <t>ERD</t>
        </is>
      </c>
      <c r="I174" t="inlineStr">
        <is>
          <t>CS201</t>
        </is>
      </c>
      <c r="J174" t="inlineStr">
        <is>
          <t>EQUIPO DE 4: cada docente atiende un grupo de estudiantes en su área</t>
        </is>
      </c>
      <c r="K174" t="inlineStr">
        <is>
          <t>Valencia Marínez Saidy Eufemia (ART); Meza Banguera Gladys Alicia (CAS); Lemos Guancha Miriam (CNA)</t>
        </is>
      </c>
      <c r="L174" t="inlineStr">
        <is>
          <t>ÉNFASIS CS 2-1</t>
        </is>
      </c>
      <c r="M174" t="inlineStr">
        <is>
          <t>EQUIPO DE 4: cada docente atiende un grupo de estudiantes en su área · Con: Valencia Marínez Saidy Eufemia (ART); Meza Banguera Gladys Alicia (CAS); Lemos Guancha Miriam (CNA)</t>
        </is>
      </c>
      <c r="N174">
        <f>C174&amp;"|"&amp;D174</f>
        <v/>
      </c>
      <c r="O174">
        <f>COUNTIF($N$2:N174,N174)</f>
        <v/>
      </c>
      <c r="P174">
        <f>N174&amp;"|"&amp;O174</f>
        <v/>
      </c>
      <c r="Q174">
        <f>C174&amp;"|"&amp;D174&amp;"|"&amp;A174</f>
        <v/>
      </c>
    </row>
    <row r="175">
      <c r="A175" t="n">
        <v>25</v>
      </c>
      <c r="B175" t="inlineStr">
        <is>
          <t>Lemos Guancha Miriam</t>
        </is>
      </c>
      <c r="C175" t="inlineStr">
        <is>
          <t>LUNES</t>
        </is>
      </c>
      <c r="D175" t="n">
        <v>7</v>
      </c>
      <c r="E175" t="n">
        <v>4</v>
      </c>
      <c r="F175" t="inlineStr">
        <is>
          <t>ENFASIS</t>
        </is>
      </c>
      <c r="G175" t="inlineStr"/>
      <c r="H175" t="inlineStr">
        <is>
          <t>CNA</t>
        </is>
      </c>
      <c r="I175" t="inlineStr">
        <is>
          <t>CS201</t>
        </is>
      </c>
      <c r="J175" t="inlineStr">
        <is>
          <t>EQUIPO DE 4: cada docente atiende un grupo de estudiantes en su área</t>
        </is>
      </c>
      <c r="K175" t="inlineStr">
        <is>
          <t>Valencia Marínez Saidy Eufemia (ART); Meza Banguera Gladys Alicia (CAS); González Castillo Jólmer Jimy (ERD)</t>
        </is>
      </c>
      <c r="L175" t="inlineStr">
        <is>
          <t>ÉNFASIS CS 2-1</t>
        </is>
      </c>
      <c r="M175" t="inlineStr">
        <is>
          <t>EQUIPO DE 4: cada docente atiende un grupo de estudiantes en su área · Con: Valencia Marínez Saidy Eufemia (ART); Meza Banguera Gladys Alicia (CAS); González Castillo Jólmer Jimy (ERD)</t>
        </is>
      </c>
      <c r="N175">
        <f>C175&amp;"|"&amp;D175</f>
        <v/>
      </c>
      <c r="O175">
        <f>COUNTIF($N$2:N175,N175)</f>
        <v/>
      </c>
      <c r="P175">
        <f>N175&amp;"|"&amp;O175</f>
        <v/>
      </c>
      <c r="Q175">
        <f>C175&amp;"|"&amp;D175&amp;"|"&amp;A175</f>
        <v/>
      </c>
    </row>
    <row r="176">
      <c r="A176" t="n">
        <v>28</v>
      </c>
      <c r="B176" t="inlineStr">
        <is>
          <t>Meza Banguera Gladys Alicia</t>
        </is>
      </c>
      <c r="C176" t="inlineStr">
        <is>
          <t>LUNES</t>
        </is>
      </c>
      <c r="D176" t="n">
        <v>7</v>
      </c>
      <c r="E176" t="n">
        <v>4</v>
      </c>
      <c r="F176" t="inlineStr">
        <is>
          <t>ENFASIS</t>
        </is>
      </c>
      <c r="G176" t="inlineStr"/>
      <c r="H176" t="inlineStr">
        <is>
          <t>CAS</t>
        </is>
      </c>
      <c r="I176" t="inlineStr">
        <is>
          <t>CS201</t>
        </is>
      </c>
      <c r="J176" t="inlineStr">
        <is>
          <t>EQUIPO DE 4: cada docente atiende un grupo de estudiantes en su área</t>
        </is>
      </c>
      <c r="K176" t="inlineStr">
        <is>
          <t>Valencia Marínez Saidy Eufemia (ART); González Castillo Jólmer Jimy (ERD); Lemos Guancha Miriam (CNA)</t>
        </is>
      </c>
      <c r="L176" t="inlineStr">
        <is>
          <t>ÉNFASIS CS 2-1</t>
        </is>
      </c>
      <c r="M176" t="inlineStr">
        <is>
          <t>EQUIPO DE 4: cada docente atiende un grupo de estudiantes en su área · Con: Valencia Marínez Saidy Eufemia (ART); González Castillo Jólmer Jimy (ERD); Lemos Guancha Miriam (CNA)</t>
        </is>
      </c>
      <c r="N176">
        <f>C176&amp;"|"&amp;D176</f>
        <v/>
      </c>
      <c r="O176">
        <f>COUNTIF($N$2:N176,N176)</f>
        <v/>
      </c>
      <c r="P176">
        <f>N176&amp;"|"&amp;O176</f>
        <v/>
      </c>
      <c r="Q176">
        <f>C176&amp;"|"&amp;D176&amp;"|"&amp;A176</f>
        <v/>
      </c>
    </row>
    <row r="177">
      <c r="A177" t="n">
        <v>49</v>
      </c>
      <c r="B177" t="inlineStr">
        <is>
          <t>Valencia Marínez Saidy Eufemia</t>
        </is>
      </c>
      <c r="C177" t="inlineStr">
        <is>
          <t>LUNES</t>
        </is>
      </c>
      <c r="D177" t="n">
        <v>7</v>
      </c>
      <c r="E177" t="n">
        <v>4</v>
      </c>
      <c r="F177" t="inlineStr">
        <is>
          <t>ENFASIS</t>
        </is>
      </c>
      <c r="G177" t="inlineStr"/>
      <c r="H177" t="inlineStr">
        <is>
          <t>ART</t>
        </is>
      </c>
      <c r="I177" t="inlineStr">
        <is>
          <t>CS201</t>
        </is>
      </c>
      <c r="J177" t="inlineStr">
        <is>
          <t>EQUIPO DE 4: cada docente atiende un grupo de estudiantes en su área</t>
        </is>
      </c>
      <c r="K177" t="inlineStr">
        <is>
          <t>Meza Banguera Gladys Alicia (CAS); González Castillo Jólmer Jimy (ERD); Lemos Guancha Miriam (CNA)</t>
        </is>
      </c>
      <c r="L177" t="inlineStr">
        <is>
          <t>ÉNFASIS CS 2-1</t>
        </is>
      </c>
      <c r="M177" t="inlineStr">
        <is>
          <t>EQUIPO DE 4: cada docente atiende un grupo de estudiantes en su área · Con: Meza Banguera Gladys Alicia (CAS); González Castillo Jólmer Jimy (ERD); Lemos Guancha Miriam (CNA)</t>
        </is>
      </c>
      <c r="N177">
        <f>C177&amp;"|"&amp;D177</f>
        <v/>
      </c>
      <c r="O177">
        <f>COUNTIF($N$2:N177,N177)</f>
        <v/>
      </c>
      <c r="P177">
        <f>N177&amp;"|"&amp;O177</f>
        <v/>
      </c>
      <c r="Q177">
        <f>C177&amp;"|"&amp;D177&amp;"|"&amp;A177</f>
        <v/>
      </c>
    </row>
    <row r="178">
      <c r="A178" t="n">
        <v>20</v>
      </c>
      <c r="B178" t="inlineStr">
        <is>
          <t>García Gobea Saydi Magali</t>
        </is>
      </c>
      <c r="C178" t="inlineStr">
        <is>
          <t>LUNES</t>
        </is>
      </c>
      <c r="D178" t="n">
        <v>8</v>
      </c>
      <c r="E178" t="n">
        <v>4</v>
      </c>
      <c r="F178" t="inlineStr">
        <is>
          <t>CLASE</t>
        </is>
      </c>
      <c r="G178" t="inlineStr">
        <is>
          <t>0601</t>
        </is>
      </c>
      <c r="H178" t="inlineStr">
        <is>
          <t>CSI</t>
        </is>
      </c>
      <c r="I178" t="inlineStr"/>
      <c r="J178" t="inlineStr">
        <is>
          <t>Sociales / Inglés (alternan cada semana)</t>
        </is>
      </c>
      <c r="K178" t="inlineStr"/>
      <c r="L178" t="inlineStr">
        <is>
          <t>6°-1</t>
        </is>
      </c>
      <c r="M178" t="inlineStr">
        <is>
          <t>Sociales / Inglés (alternan cada semana)</t>
        </is>
      </c>
      <c r="N178">
        <f>C178&amp;"|"&amp;D178</f>
        <v/>
      </c>
      <c r="O178">
        <f>COUNTIF($N$2:N178,N178)</f>
        <v/>
      </c>
      <c r="P178">
        <f>N178&amp;"|"&amp;O178</f>
        <v/>
      </c>
      <c r="Q178">
        <f>C178&amp;"|"&amp;D178&amp;"|"&amp;A178</f>
        <v/>
      </c>
    </row>
    <row r="179">
      <c r="A179" t="n">
        <v>16</v>
      </c>
      <c r="B179" t="inlineStr">
        <is>
          <t>Cuero Rincón Hernando Jesús</t>
        </is>
      </c>
      <c r="C179" t="inlineStr">
        <is>
          <t>LUNES</t>
        </is>
      </c>
      <c r="D179" t="n">
        <v>8</v>
      </c>
      <c r="E179" t="n">
        <v>4</v>
      </c>
      <c r="F179" t="inlineStr">
        <is>
          <t>CLASE</t>
        </is>
      </c>
      <c r="G179" t="inlineStr">
        <is>
          <t>0602</t>
        </is>
      </c>
      <c r="H179" t="inlineStr">
        <is>
          <t>CAS</t>
        </is>
      </c>
      <c r="I179" t="inlineStr"/>
      <c r="J179" t="inlineStr"/>
      <c r="K179" t="inlineStr"/>
      <c r="L179" t="inlineStr">
        <is>
          <t>6°-2</t>
        </is>
      </c>
      <c r="M179" t="inlineStr"/>
      <c r="N179">
        <f>C179&amp;"|"&amp;D179</f>
        <v/>
      </c>
      <c r="O179">
        <f>COUNTIF($N$2:N179,N179)</f>
        <v/>
      </c>
      <c r="P179">
        <f>N179&amp;"|"&amp;O179</f>
        <v/>
      </c>
      <c r="Q179">
        <f>C179&amp;"|"&amp;D179&amp;"|"&amp;A179</f>
        <v/>
      </c>
    </row>
    <row r="180">
      <c r="A180" t="n">
        <v>34</v>
      </c>
      <c r="B180" t="inlineStr">
        <is>
          <t>Ordóñez Tenorio Jaime Marcial</t>
        </is>
      </c>
      <c r="C180" t="inlineStr">
        <is>
          <t>LUNES</t>
        </is>
      </c>
      <c r="D180" t="n">
        <v>8</v>
      </c>
      <c r="E180" t="n">
        <v>4</v>
      </c>
      <c r="F180" t="inlineStr">
        <is>
          <t>CLASE</t>
        </is>
      </c>
      <c r="G180" t="inlineStr">
        <is>
          <t>0701</t>
        </is>
      </c>
      <c r="H180" t="inlineStr">
        <is>
          <t>CNA</t>
        </is>
      </c>
      <c r="I180" t="inlineStr"/>
      <c r="J180" t="inlineStr"/>
      <c r="K180" t="inlineStr"/>
      <c r="L180" t="inlineStr">
        <is>
          <t>7°-1</t>
        </is>
      </c>
      <c r="M180" t="inlineStr"/>
      <c r="N180">
        <f>C180&amp;"|"&amp;D180</f>
        <v/>
      </c>
      <c r="O180">
        <f>COUNTIF($N$2:N180,N180)</f>
        <v/>
      </c>
      <c r="P180">
        <f>N180&amp;"|"&amp;O180</f>
        <v/>
      </c>
      <c r="Q180">
        <f>C180&amp;"|"&amp;D180&amp;"|"&amp;A180</f>
        <v/>
      </c>
    </row>
    <row r="181">
      <c r="A181" t="n">
        <v>1</v>
      </c>
      <c r="B181" t="inlineStr">
        <is>
          <t>Aguirre Riascos Jorge Andrés</t>
        </is>
      </c>
      <c r="C181" t="inlineStr">
        <is>
          <t>LUNES</t>
        </is>
      </c>
      <c r="D181" t="n">
        <v>8</v>
      </c>
      <c r="E181" t="n">
        <v>4</v>
      </c>
      <c r="F181" t="inlineStr">
        <is>
          <t>CLASE</t>
        </is>
      </c>
      <c r="G181" t="inlineStr">
        <is>
          <t>0702</t>
        </is>
      </c>
      <c r="H181" t="inlineStr">
        <is>
          <t>TEI</t>
        </is>
      </c>
      <c r="I181" t="inlineStr"/>
      <c r="J181" t="inlineStr"/>
      <c r="K181" t="inlineStr"/>
      <c r="L181" t="inlineStr">
        <is>
          <t>7°-2</t>
        </is>
      </c>
      <c r="M181" t="inlineStr"/>
      <c r="N181">
        <f>C181&amp;"|"&amp;D181</f>
        <v/>
      </c>
      <c r="O181">
        <f>COUNTIF($N$2:N181,N181)</f>
        <v/>
      </c>
      <c r="P181">
        <f>N181&amp;"|"&amp;O181</f>
        <v/>
      </c>
      <c r="Q181">
        <f>C181&amp;"|"&amp;D181&amp;"|"&amp;A181</f>
        <v/>
      </c>
    </row>
    <row r="182">
      <c r="A182" t="n">
        <v>8</v>
      </c>
      <c r="B182" t="inlineStr">
        <is>
          <t>Casanova Quiñones Yoli del Carmen</t>
        </is>
      </c>
      <c r="C182" t="inlineStr">
        <is>
          <t>LUNES</t>
        </is>
      </c>
      <c r="D182" t="n">
        <v>8</v>
      </c>
      <c r="E182" t="n">
        <v>4</v>
      </c>
      <c r="F182" t="inlineStr">
        <is>
          <t>CLASE</t>
        </is>
      </c>
      <c r="G182" t="inlineStr">
        <is>
          <t>0703</t>
        </is>
      </c>
      <c r="H182" t="inlineStr">
        <is>
          <t>ETR</t>
        </is>
      </c>
      <c r="I182" t="inlineStr"/>
      <c r="J182" t="inlineStr">
        <is>
          <t>Ética / Religión (alternan cada semana)</t>
        </is>
      </c>
      <c r="K182" t="inlineStr"/>
      <c r="L182" t="inlineStr">
        <is>
          <t>7°-3</t>
        </is>
      </c>
      <c r="M182" t="inlineStr">
        <is>
          <t>Ética / Religión (alternan cada semana)</t>
        </is>
      </c>
      <c r="N182">
        <f>C182&amp;"|"&amp;D182</f>
        <v/>
      </c>
      <c r="O182">
        <f>COUNTIF($N$2:N182,N182)</f>
        <v/>
      </c>
      <c r="P182">
        <f>N182&amp;"|"&amp;O182</f>
        <v/>
      </c>
      <c r="Q182">
        <f>C182&amp;"|"&amp;D182&amp;"|"&amp;A182</f>
        <v/>
      </c>
    </row>
    <row r="183">
      <c r="A183" t="n">
        <v>10</v>
      </c>
      <c r="B183" t="inlineStr">
        <is>
          <t>Castillo Cuero Daira Eneida</t>
        </is>
      </c>
      <c r="C183" t="inlineStr">
        <is>
          <t>LUNES</t>
        </is>
      </c>
      <c r="D183" t="n">
        <v>8</v>
      </c>
      <c r="E183" t="n">
        <v>4</v>
      </c>
      <c r="F183" t="inlineStr">
        <is>
          <t>CLASE</t>
        </is>
      </c>
      <c r="G183" t="inlineStr">
        <is>
          <t>0704</t>
        </is>
      </c>
      <c r="H183" t="inlineStr">
        <is>
          <t>CAS</t>
        </is>
      </c>
      <c r="I183" t="inlineStr"/>
      <c r="J183" t="inlineStr"/>
      <c r="K183" t="inlineStr"/>
      <c r="L183" t="inlineStr">
        <is>
          <t>7°-4</t>
        </is>
      </c>
      <c r="M183" t="inlineStr"/>
      <c r="N183">
        <f>C183&amp;"|"&amp;D183</f>
        <v/>
      </c>
      <c r="O183">
        <f>COUNTIF($N$2:N183,N183)</f>
        <v/>
      </c>
      <c r="P183">
        <f>N183&amp;"|"&amp;O183</f>
        <v/>
      </c>
      <c r="Q183">
        <f>C183&amp;"|"&amp;D183&amp;"|"&amp;A183</f>
        <v/>
      </c>
    </row>
    <row r="184">
      <c r="A184" t="n">
        <v>38</v>
      </c>
      <c r="B184" t="inlineStr">
        <is>
          <t>Preciado Torres Oleisa</t>
        </is>
      </c>
      <c r="C184" t="inlineStr">
        <is>
          <t>LUNES</t>
        </is>
      </c>
      <c r="D184" t="n">
        <v>8</v>
      </c>
      <c r="E184" t="n">
        <v>4</v>
      </c>
      <c r="F184" t="inlineStr">
        <is>
          <t>CLASE</t>
        </is>
      </c>
      <c r="G184" t="inlineStr">
        <is>
          <t>0801</t>
        </is>
      </c>
      <c r="H184" t="inlineStr">
        <is>
          <t>MAT</t>
        </is>
      </c>
      <c r="I184" t="inlineStr"/>
      <c r="J184" t="inlineStr"/>
      <c r="K184" t="inlineStr"/>
      <c r="L184" t="inlineStr">
        <is>
          <t>8°-1</t>
        </is>
      </c>
      <c r="M184" t="inlineStr"/>
      <c r="N184">
        <f>C184&amp;"|"&amp;D184</f>
        <v/>
      </c>
      <c r="O184">
        <f>COUNTIF($N$2:N184,N184)</f>
        <v/>
      </c>
      <c r="P184">
        <f>N184&amp;"|"&amp;O184</f>
        <v/>
      </c>
      <c r="Q184">
        <f>C184&amp;"|"&amp;D184&amp;"|"&amp;A184</f>
        <v/>
      </c>
    </row>
    <row r="185">
      <c r="A185" t="n">
        <v>12</v>
      </c>
      <c r="B185" t="inlineStr">
        <is>
          <t>Chillambo Quiñones María Rocío</t>
        </is>
      </c>
      <c r="C185" t="inlineStr">
        <is>
          <t>LUNES</t>
        </is>
      </c>
      <c r="D185" t="n">
        <v>8</v>
      </c>
      <c r="E185" t="n">
        <v>4</v>
      </c>
      <c r="F185" t="inlineStr">
        <is>
          <t>CLASE</t>
        </is>
      </c>
      <c r="G185" t="inlineStr">
        <is>
          <t>0802</t>
        </is>
      </c>
      <c r="H185" t="inlineStr">
        <is>
          <t>CNA</t>
        </is>
      </c>
      <c r="I185" t="inlineStr"/>
      <c r="J185" t="inlineStr"/>
      <c r="K185" t="inlineStr"/>
      <c r="L185" t="inlineStr">
        <is>
          <t>8°-2</t>
        </is>
      </c>
      <c r="M185" t="inlineStr"/>
      <c r="N185">
        <f>C185&amp;"|"&amp;D185</f>
        <v/>
      </c>
      <c r="O185">
        <f>COUNTIF($N$2:N185,N185)</f>
        <v/>
      </c>
      <c r="P185">
        <f>N185&amp;"|"&amp;O185</f>
        <v/>
      </c>
      <c r="Q185">
        <f>C185&amp;"|"&amp;D185&amp;"|"&amp;A185</f>
        <v/>
      </c>
    </row>
    <row r="186">
      <c r="A186" t="n">
        <v>18</v>
      </c>
      <c r="B186" t="inlineStr">
        <is>
          <t>Estacio Estupiñán Rosario</t>
        </is>
      </c>
      <c r="C186" t="inlineStr">
        <is>
          <t>LUNES</t>
        </is>
      </c>
      <c r="D186" t="n">
        <v>8</v>
      </c>
      <c r="E186" t="n">
        <v>4</v>
      </c>
      <c r="F186" t="inlineStr">
        <is>
          <t>CLASE</t>
        </is>
      </c>
      <c r="G186" t="inlineStr">
        <is>
          <t>0901</t>
        </is>
      </c>
      <c r="H186" t="inlineStr">
        <is>
          <t>ETR</t>
        </is>
      </c>
      <c r="I186" t="inlineStr"/>
      <c r="J186" t="inlineStr">
        <is>
          <t>Ética / Religión (alternan cada semana)</t>
        </is>
      </c>
      <c r="K186" t="inlineStr"/>
      <c r="L186" t="inlineStr">
        <is>
          <t>9°-1</t>
        </is>
      </c>
      <c r="M186" t="inlineStr">
        <is>
          <t>Ética / Religión (alternan cada semana)</t>
        </is>
      </c>
      <c r="N186">
        <f>C186&amp;"|"&amp;D186</f>
        <v/>
      </c>
      <c r="O186">
        <f>COUNTIF($N$2:N186,N186)</f>
        <v/>
      </c>
      <c r="P186">
        <f>N186&amp;"|"&amp;O186</f>
        <v/>
      </c>
      <c r="Q186">
        <f>C186&amp;"|"&amp;D186&amp;"|"&amp;A186</f>
        <v/>
      </c>
    </row>
    <row r="187">
      <c r="A187" t="n">
        <v>5</v>
      </c>
      <c r="B187" t="inlineStr">
        <is>
          <t>Bastidas Valencia Zeneida Judith</t>
        </is>
      </c>
      <c r="C187" t="inlineStr">
        <is>
          <t>LUNES</t>
        </is>
      </c>
      <c r="D187" t="n">
        <v>8</v>
      </c>
      <c r="E187" t="n">
        <v>4</v>
      </c>
      <c r="F187" t="inlineStr">
        <is>
          <t>CLASE</t>
        </is>
      </c>
      <c r="G187" t="inlineStr">
        <is>
          <t>0902</t>
        </is>
      </c>
      <c r="H187" t="inlineStr">
        <is>
          <t>MAT</t>
        </is>
      </c>
      <c r="I187" t="inlineStr"/>
      <c r="J187" t="inlineStr"/>
      <c r="K187" t="inlineStr"/>
      <c r="L187" t="inlineStr">
        <is>
          <t>9°-2</t>
        </is>
      </c>
      <c r="M187" t="inlineStr"/>
      <c r="N187">
        <f>C187&amp;"|"&amp;D187</f>
        <v/>
      </c>
      <c r="O187">
        <f>COUNTIF($N$2:N187,N187)</f>
        <v/>
      </c>
      <c r="P187">
        <f>N187&amp;"|"&amp;O187</f>
        <v/>
      </c>
      <c r="Q187">
        <f>C187&amp;"|"&amp;D187&amp;"|"&amp;A187</f>
        <v/>
      </c>
    </row>
    <row r="188">
      <c r="A188" t="n">
        <v>29</v>
      </c>
      <c r="B188" t="inlineStr">
        <is>
          <t>Mindineros Satizábal John Jáver</t>
        </is>
      </c>
      <c r="C188" t="inlineStr">
        <is>
          <t>LUNES</t>
        </is>
      </c>
      <c r="D188" t="n">
        <v>8</v>
      </c>
      <c r="E188" t="n">
        <v>4</v>
      </c>
      <c r="F188" t="inlineStr">
        <is>
          <t>CLASE</t>
        </is>
      </c>
      <c r="G188" t="inlineStr">
        <is>
          <t>1001</t>
        </is>
      </c>
      <c r="H188" t="inlineStr">
        <is>
          <t>TEI</t>
        </is>
      </c>
      <c r="I188" t="inlineStr"/>
      <c r="J188" t="inlineStr"/>
      <c r="K188" t="inlineStr"/>
      <c r="L188" t="inlineStr">
        <is>
          <t>10°-1</t>
        </is>
      </c>
      <c r="M188" t="inlineStr"/>
      <c r="N188">
        <f>C188&amp;"|"&amp;D188</f>
        <v/>
      </c>
      <c r="O188">
        <f>COUNTIF($N$2:N188,N188)</f>
        <v/>
      </c>
      <c r="P188">
        <f>N188&amp;"|"&amp;O188</f>
        <v/>
      </c>
      <c r="Q188">
        <f>C188&amp;"|"&amp;D188&amp;"|"&amp;A188</f>
        <v/>
      </c>
    </row>
    <row r="189">
      <c r="A189" t="n">
        <v>2</v>
      </c>
      <c r="B189" t="inlineStr">
        <is>
          <t>Angulo Lucero Andrés Mauricio</t>
        </is>
      </c>
      <c r="C189" t="inlineStr">
        <is>
          <t>LUNES</t>
        </is>
      </c>
      <c r="D189" t="n">
        <v>8</v>
      </c>
      <c r="E189" t="n">
        <v>4</v>
      </c>
      <c r="F189" t="inlineStr">
        <is>
          <t>CLASE</t>
        </is>
      </c>
      <c r="G189" t="inlineStr">
        <is>
          <t>1002</t>
        </is>
      </c>
      <c r="H189" t="inlineStr">
        <is>
          <t>TEI</t>
        </is>
      </c>
      <c r="I189" t="inlineStr"/>
      <c r="J189" t="inlineStr"/>
      <c r="K189" t="inlineStr"/>
      <c r="L189" t="inlineStr">
        <is>
          <t>10°-2</t>
        </is>
      </c>
      <c r="M189" t="inlineStr"/>
      <c r="N189">
        <f>C189&amp;"|"&amp;D189</f>
        <v/>
      </c>
      <c r="O189">
        <f>COUNTIF($N$2:N189,N189)</f>
        <v/>
      </c>
      <c r="P189">
        <f>N189&amp;"|"&amp;O189</f>
        <v/>
      </c>
      <c r="Q189">
        <f>C189&amp;"|"&amp;D189&amp;"|"&amp;A189</f>
        <v/>
      </c>
    </row>
    <row r="190">
      <c r="A190" t="n">
        <v>31</v>
      </c>
      <c r="B190" t="inlineStr">
        <is>
          <t>Montaño Arizala Leidis Claudina</t>
        </is>
      </c>
      <c r="C190" t="inlineStr">
        <is>
          <t>LUNES</t>
        </is>
      </c>
      <c r="D190" t="n">
        <v>8</v>
      </c>
      <c r="E190" t="n">
        <v>4</v>
      </c>
      <c r="F190" t="inlineStr">
        <is>
          <t>CLASE</t>
        </is>
      </c>
      <c r="G190" t="inlineStr">
        <is>
          <t>1102</t>
        </is>
      </c>
      <c r="H190" t="inlineStr">
        <is>
          <t>ETR</t>
        </is>
      </c>
      <c r="I190" t="inlineStr"/>
      <c r="J190" t="inlineStr">
        <is>
          <t>Ética / Religión (alternan cada semana)</t>
        </is>
      </c>
      <c r="K190" t="inlineStr"/>
      <c r="L190" t="inlineStr">
        <is>
          <t>11°-2</t>
        </is>
      </c>
      <c r="M190" t="inlineStr">
        <is>
          <t>Ética / Religión (alternan cada semana)</t>
        </is>
      </c>
      <c r="N190">
        <f>C190&amp;"|"&amp;D190</f>
        <v/>
      </c>
      <c r="O190">
        <f>COUNTIF($N$2:N190,N190)</f>
        <v/>
      </c>
      <c r="P190">
        <f>N190&amp;"|"&amp;O190</f>
        <v/>
      </c>
      <c r="Q190">
        <f>C190&amp;"|"&amp;D190&amp;"|"&amp;A190</f>
        <v/>
      </c>
    </row>
    <row r="191">
      <c r="A191" t="n">
        <v>57</v>
      </c>
      <c r="B191" t="inlineStr">
        <is>
          <t>Armero Dájome Jesús</t>
        </is>
      </c>
      <c r="C191" t="inlineStr">
        <is>
          <t>LUNES</t>
        </is>
      </c>
      <c r="D191" t="n">
        <v>8</v>
      </c>
      <c r="E191" t="n">
        <v>4</v>
      </c>
      <c r="F191" t="inlineStr">
        <is>
          <t>CLASE</t>
        </is>
      </c>
      <c r="G191" t="inlineStr">
        <is>
          <t>CS101</t>
        </is>
      </c>
      <c r="H191" t="inlineStr">
        <is>
          <t>ERD</t>
        </is>
      </c>
      <c r="I191" t="inlineStr"/>
      <c r="J191" t="inlineStr"/>
      <c r="K191" t="inlineStr"/>
      <c r="L191" t="inlineStr">
        <is>
          <t>CS 1-1</t>
        </is>
      </c>
      <c r="M191" t="inlineStr"/>
      <c r="N191">
        <f>C191&amp;"|"&amp;D191</f>
        <v/>
      </c>
      <c r="O191">
        <f>COUNTIF($N$2:N191,N191)</f>
        <v/>
      </c>
      <c r="P191">
        <f>N191&amp;"|"&amp;O191</f>
        <v/>
      </c>
      <c r="Q191">
        <f>C191&amp;"|"&amp;D191&amp;"|"&amp;A191</f>
        <v/>
      </c>
    </row>
    <row r="192">
      <c r="A192" t="n">
        <v>42</v>
      </c>
      <c r="B192" t="inlineStr">
        <is>
          <t>Quiñones Cabezas Marcos Vidal</t>
        </is>
      </c>
      <c r="C192" t="inlineStr">
        <is>
          <t>LUNES</t>
        </is>
      </c>
      <c r="D192" t="n">
        <v>8</v>
      </c>
      <c r="E192" t="n">
        <v>4</v>
      </c>
      <c r="F192" t="inlineStr">
        <is>
          <t>CLASE</t>
        </is>
      </c>
      <c r="G192" t="inlineStr">
        <is>
          <t>CS102</t>
        </is>
      </c>
      <c r="H192" t="inlineStr">
        <is>
          <t>MAT</t>
        </is>
      </c>
      <c r="I192" t="inlineStr"/>
      <c r="J192" t="inlineStr"/>
      <c r="K192" t="inlineStr"/>
      <c r="L192" t="inlineStr">
        <is>
          <t>CS 1-2</t>
        </is>
      </c>
      <c r="M192" t="inlineStr"/>
      <c r="N192">
        <f>C192&amp;"|"&amp;D192</f>
        <v/>
      </c>
      <c r="O192">
        <f>COUNTIF($N$2:N192,N192)</f>
        <v/>
      </c>
      <c r="P192">
        <f>N192&amp;"|"&amp;O192</f>
        <v/>
      </c>
      <c r="Q192">
        <f>C192&amp;"|"&amp;D192&amp;"|"&amp;A192</f>
        <v/>
      </c>
    </row>
    <row r="193">
      <c r="A193" t="n">
        <v>51</v>
      </c>
      <c r="B193" t="inlineStr">
        <is>
          <t>Valverde Montaño María Teresa</t>
        </is>
      </c>
      <c r="C193" t="inlineStr">
        <is>
          <t>LUNES</t>
        </is>
      </c>
      <c r="D193" t="n">
        <v>8</v>
      </c>
      <c r="E193" t="n">
        <v>4</v>
      </c>
      <c r="F193" t="inlineStr">
        <is>
          <t>CLASE</t>
        </is>
      </c>
      <c r="G193" t="inlineStr">
        <is>
          <t>CS202</t>
        </is>
      </c>
      <c r="H193" t="inlineStr">
        <is>
          <t>CAS</t>
        </is>
      </c>
      <c r="I193" t="inlineStr"/>
      <c r="J193" t="inlineStr"/>
      <c r="K193" t="inlineStr"/>
      <c r="L193" t="inlineStr">
        <is>
          <t>CS 2-2</t>
        </is>
      </c>
      <c r="M193" t="inlineStr"/>
      <c r="N193">
        <f>C193&amp;"|"&amp;D193</f>
        <v/>
      </c>
      <c r="O193">
        <f>COUNTIF($N$2:N193,N193)</f>
        <v/>
      </c>
      <c r="P193">
        <f>N193&amp;"|"&amp;O193</f>
        <v/>
      </c>
      <c r="Q193">
        <f>C193&amp;"|"&amp;D193&amp;"|"&amp;A193</f>
        <v/>
      </c>
    </row>
    <row r="194">
      <c r="A194" t="n">
        <v>3</v>
      </c>
      <c r="B194" t="inlineStr">
        <is>
          <t>Arboleda Ortiz Luz América</t>
        </is>
      </c>
      <c r="C194" t="inlineStr">
        <is>
          <t>LUNES</t>
        </is>
      </c>
      <c r="D194" t="n">
        <v>8</v>
      </c>
      <c r="E194" t="n">
        <v>4</v>
      </c>
      <c r="F194" t="inlineStr">
        <is>
          <t>ENFASIS</t>
        </is>
      </c>
      <c r="G194" t="inlineStr"/>
      <c r="H194" t="inlineStr">
        <is>
          <t>ART</t>
        </is>
      </c>
      <c r="I194" t="inlineStr">
        <is>
          <t>1101</t>
        </is>
      </c>
      <c r="J194" t="inlineStr">
        <is>
          <t>EQUIPO DE 4: cada docente atiende un grupo de estudiantes en su área</t>
        </is>
      </c>
      <c r="K194" t="inlineStr">
        <is>
          <t>Montaño Anchico Favio Héctor (CAS); Ramírez Guerra Jimmy Eduardo (ERD); Villota Rubio Héctor Hugo (CNA)</t>
        </is>
      </c>
      <c r="L194" t="inlineStr">
        <is>
          <t>ÉNFASIS 11°-1</t>
        </is>
      </c>
      <c r="M194" t="inlineStr">
        <is>
          <t>EQUIPO DE 4: cada docente atiende un grupo de estudiantes en su área · Con: Montaño Anchico Favio Héctor (CAS); Ramírez Guerra Jimmy Eduardo (ERD); Villota Rubio Héctor Hugo (CNA)</t>
        </is>
      </c>
      <c r="N194">
        <f>C194&amp;"|"&amp;D194</f>
        <v/>
      </c>
      <c r="O194">
        <f>COUNTIF($N$2:N194,N194)</f>
        <v/>
      </c>
      <c r="P194">
        <f>N194&amp;"|"&amp;O194</f>
        <v/>
      </c>
      <c r="Q194">
        <f>C194&amp;"|"&amp;D194&amp;"|"&amp;A194</f>
        <v/>
      </c>
    </row>
    <row r="195">
      <c r="A195" t="n">
        <v>30</v>
      </c>
      <c r="B195" t="inlineStr">
        <is>
          <t>Montaño Anchico Favio Héctor</t>
        </is>
      </c>
      <c r="C195" t="inlineStr">
        <is>
          <t>LUNES</t>
        </is>
      </c>
      <c r="D195" t="n">
        <v>8</v>
      </c>
      <c r="E195" t="n">
        <v>4</v>
      </c>
      <c r="F195" t="inlineStr">
        <is>
          <t>ENFASIS</t>
        </is>
      </c>
      <c r="G195" t="inlineStr"/>
      <c r="H195" t="inlineStr">
        <is>
          <t>CAS</t>
        </is>
      </c>
      <c r="I195" t="inlineStr">
        <is>
          <t>1101</t>
        </is>
      </c>
      <c r="J195" t="inlineStr">
        <is>
          <t>EQUIPO DE 4: cada docente atiende un grupo de estudiantes en su área</t>
        </is>
      </c>
      <c r="K195" t="inlineStr">
        <is>
          <t>Arboleda Ortiz Luz América (ART); Ramírez Guerra Jimmy Eduardo (ERD); Villota Rubio Héctor Hugo (CNA)</t>
        </is>
      </c>
      <c r="L195" t="inlineStr">
        <is>
          <t>ÉNFASIS 11°-1</t>
        </is>
      </c>
      <c r="M195" t="inlineStr">
        <is>
          <t>EQUIPO DE 4: cada docente atiende un grupo de estudiantes en su área · Con: Arboleda Ortiz Luz América (ART); Ramírez Guerra Jimmy Eduardo (ERD); Villota Rubio Héctor Hugo (CNA)</t>
        </is>
      </c>
      <c r="N195">
        <f>C195&amp;"|"&amp;D195</f>
        <v/>
      </c>
      <c r="O195">
        <f>COUNTIF($N$2:N195,N195)</f>
        <v/>
      </c>
      <c r="P195">
        <f>N195&amp;"|"&amp;O195</f>
        <v/>
      </c>
      <c r="Q195">
        <f>C195&amp;"|"&amp;D195&amp;"|"&amp;A195</f>
        <v/>
      </c>
    </row>
    <row r="196">
      <c r="A196" t="n">
        <v>43</v>
      </c>
      <c r="B196" t="inlineStr">
        <is>
          <t>Ramírez Guerra Jimmy Eduardo</t>
        </is>
      </c>
      <c r="C196" t="inlineStr">
        <is>
          <t>LUNES</t>
        </is>
      </c>
      <c r="D196" t="n">
        <v>8</v>
      </c>
      <c r="E196" t="n">
        <v>4</v>
      </c>
      <c r="F196" t="inlineStr">
        <is>
          <t>ENFASIS</t>
        </is>
      </c>
      <c r="G196" t="inlineStr"/>
      <c r="H196" t="inlineStr">
        <is>
          <t>ERD</t>
        </is>
      </c>
      <c r="I196" t="inlineStr">
        <is>
          <t>1101</t>
        </is>
      </c>
      <c r="J196" t="inlineStr">
        <is>
          <t>EQUIPO DE 4: cada docente atiende un grupo de estudiantes en su área</t>
        </is>
      </c>
      <c r="K196" t="inlineStr">
        <is>
          <t>Arboleda Ortiz Luz América (ART); Montaño Anchico Favio Héctor (CAS); Villota Rubio Héctor Hugo (CNA)</t>
        </is>
      </c>
      <c r="L196" t="inlineStr">
        <is>
          <t>ÉNFASIS 11°-1</t>
        </is>
      </c>
      <c r="M196" t="inlineStr">
        <is>
          <t>EQUIPO DE 4: cada docente atiende un grupo de estudiantes en su área · Con: Arboleda Ortiz Luz América (ART); Montaño Anchico Favio Héctor (CAS); Villota Rubio Héctor Hugo (CNA)</t>
        </is>
      </c>
      <c r="N196">
        <f>C196&amp;"|"&amp;D196</f>
        <v/>
      </c>
      <c r="O196">
        <f>COUNTIF($N$2:N196,N196)</f>
        <v/>
      </c>
      <c r="P196">
        <f>N196&amp;"|"&amp;O196</f>
        <v/>
      </c>
      <c r="Q196">
        <f>C196&amp;"|"&amp;D196&amp;"|"&amp;A196</f>
        <v/>
      </c>
    </row>
    <row r="197">
      <c r="A197" t="n">
        <v>53</v>
      </c>
      <c r="B197" t="inlineStr">
        <is>
          <t>Villota Rubio Héctor Hugo</t>
        </is>
      </c>
      <c r="C197" t="inlineStr">
        <is>
          <t>LUNES</t>
        </is>
      </c>
      <c r="D197" t="n">
        <v>8</v>
      </c>
      <c r="E197" t="n">
        <v>4</v>
      </c>
      <c r="F197" t="inlineStr">
        <is>
          <t>ENFASIS</t>
        </is>
      </c>
      <c r="G197" t="inlineStr"/>
      <c r="H197" t="inlineStr">
        <is>
          <t>CNA</t>
        </is>
      </c>
      <c r="I197" t="inlineStr">
        <is>
          <t>1101</t>
        </is>
      </c>
      <c r="J197" t="inlineStr">
        <is>
          <t>EQUIPO DE 4: cada docente atiende un grupo de estudiantes en su área</t>
        </is>
      </c>
      <c r="K197" t="inlineStr">
        <is>
          <t>Arboleda Ortiz Luz América (ART); Montaño Anchico Favio Héctor (CAS); Ramírez Guerra Jimmy Eduardo (ERD)</t>
        </is>
      </c>
      <c r="L197" t="inlineStr">
        <is>
          <t>ÉNFASIS 11°-1</t>
        </is>
      </c>
      <c r="M197" t="inlineStr">
        <is>
          <t>EQUIPO DE 4: cada docente atiende un grupo de estudiantes en su área · Con: Arboleda Ortiz Luz América (ART); Montaño Anchico Favio Héctor (CAS); Ramírez Guerra Jimmy Eduardo (ERD)</t>
        </is>
      </c>
      <c r="N197">
        <f>C197&amp;"|"&amp;D197</f>
        <v/>
      </c>
      <c r="O197">
        <f>COUNTIF($N$2:N197,N197)</f>
        <v/>
      </c>
      <c r="P197">
        <f>N197&amp;"|"&amp;O197</f>
        <v/>
      </c>
      <c r="Q197">
        <f>C197&amp;"|"&amp;D197&amp;"|"&amp;A197</f>
        <v/>
      </c>
    </row>
    <row r="198">
      <c r="A198" t="n">
        <v>22</v>
      </c>
      <c r="B198" t="inlineStr">
        <is>
          <t>González Castillo Jólmer Jimy</t>
        </is>
      </c>
      <c r="C198" t="inlineStr">
        <is>
          <t>LUNES</t>
        </is>
      </c>
      <c r="D198" t="n">
        <v>8</v>
      </c>
      <c r="E198" t="n">
        <v>4</v>
      </c>
      <c r="F198" t="inlineStr">
        <is>
          <t>ENFASIS</t>
        </is>
      </c>
      <c r="G198" t="inlineStr"/>
      <c r="H198" t="inlineStr">
        <is>
          <t>ERD</t>
        </is>
      </c>
      <c r="I198" t="inlineStr">
        <is>
          <t>CS201</t>
        </is>
      </c>
      <c r="J198" t="inlineStr">
        <is>
          <t>EQUIPO DE 4: cada docente atiende un grupo de estudiantes en su área</t>
        </is>
      </c>
      <c r="K198" t="inlineStr">
        <is>
          <t>Valencia Marínez Saidy Eufemia (ART); Meza Banguera Gladys Alicia (CAS); Lemos Guancha Miriam (CNA)</t>
        </is>
      </c>
      <c r="L198" t="inlineStr">
        <is>
          <t>ÉNFASIS CS 2-1</t>
        </is>
      </c>
      <c r="M198" t="inlineStr">
        <is>
          <t>EQUIPO DE 4: cada docente atiende un grupo de estudiantes en su área · Con: Valencia Marínez Saidy Eufemia (ART); Meza Banguera Gladys Alicia (CAS); Lemos Guancha Miriam (CNA)</t>
        </is>
      </c>
      <c r="N198">
        <f>C198&amp;"|"&amp;D198</f>
        <v/>
      </c>
      <c r="O198">
        <f>COUNTIF($N$2:N198,N198)</f>
        <v/>
      </c>
      <c r="P198">
        <f>N198&amp;"|"&amp;O198</f>
        <v/>
      </c>
      <c r="Q198">
        <f>C198&amp;"|"&amp;D198&amp;"|"&amp;A198</f>
        <v/>
      </c>
    </row>
    <row r="199">
      <c r="A199" t="n">
        <v>25</v>
      </c>
      <c r="B199" t="inlineStr">
        <is>
          <t>Lemos Guancha Miriam</t>
        </is>
      </c>
      <c r="C199" t="inlineStr">
        <is>
          <t>LUNES</t>
        </is>
      </c>
      <c r="D199" t="n">
        <v>8</v>
      </c>
      <c r="E199" t="n">
        <v>4</v>
      </c>
      <c r="F199" t="inlineStr">
        <is>
          <t>ENFASIS</t>
        </is>
      </c>
      <c r="G199" t="inlineStr"/>
      <c r="H199" t="inlineStr">
        <is>
          <t>CNA</t>
        </is>
      </c>
      <c r="I199" t="inlineStr">
        <is>
          <t>CS201</t>
        </is>
      </c>
      <c r="J199" t="inlineStr">
        <is>
          <t>EQUIPO DE 4: cada docente atiende un grupo de estudiantes en su área</t>
        </is>
      </c>
      <c r="K199" t="inlineStr">
        <is>
          <t>Valencia Marínez Saidy Eufemia (ART); Meza Banguera Gladys Alicia (CAS); González Castillo Jólmer Jimy (ERD)</t>
        </is>
      </c>
      <c r="L199" t="inlineStr">
        <is>
          <t>ÉNFASIS CS 2-1</t>
        </is>
      </c>
      <c r="M199" t="inlineStr">
        <is>
          <t>EQUIPO DE 4: cada docente atiende un grupo de estudiantes en su área · Con: Valencia Marínez Saidy Eufemia (ART); Meza Banguera Gladys Alicia (CAS); González Castillo Jólmer Jimy (ERD)</t>
        </is>
      </c>
      <c r="N199">
        <f>C199&amp;"|"&amp;D199</f>
        <v/>
      </c>
      <c r="O199">
        <f>COUNTIF($N$2:N199,N199)</f>
        <v/>
      </c>
      <c r="P199">
        <f>N199&amp;"|"&amp;O199</f>
        <v/>
      </c>
      <c r="Q199">
        <f>C199&amp;"|"&amp;D199&amp;"|"&amp;A199</f>
        <v/>
      </c>
    </row>
    <row r="200">
      <c r="A200" t="n">
        <v>28</v>
      </c>
      <c r="B200" t="inlineStr">
        <is>
          <t>Meza Banguera Gladys Alicia</t>
        </is>
      </c>
      <c r="C200" t="inlineStr">
        <is>
          <t>LUNES</t>
        </is>
      </c>
      <c r="D200" t="n">
        <v>8</v>
      </c>
      <c r="E200" t="n">
        <v>4</v>
      </c>
      <c r="F200" t="inlineStr">
        <is>
          <t>ENFASIS</t>
        </is>
      </c>
      <c r="G200" t="inlineStr"/>
      <c r="H200" t="inlineStr">
        <is>
          <t>CAS</t>
        </is>
      </c>
      <c r="I200" t="inlineStr">
        <is>
          <t>CS201</t>
        </is>
      </c>
      <c r="J200" t="inlineStr">
        <is>
          <t>EQUIPO DE 4: cada docente atiende un grupo de estudiantes en su área</t>
        </is>
      </c>
      <c r="K200" t="inlineStr">
        <is>
          <t>Valencia Marínez Saidy Eufemia (ART); González Castillo Jólmer Jimy (ERD); Lemos Guancha Miriam (CNA)</t>
        </is>
      </c>
      <c r="L200" t="inlineStr">
        <is>
          <t>ÉNFASIS CS 2-1</t>
        </is>
      </c>
      <c r="M200" t="inlineStr">
        <is>
          <t>EQUIPO DE 4: cada docente atiende un grupo de estudiantes en su área · Con: Valencia Marínez Saidy Eufemia (ART); González Castillo Jólmer Jimy (ERD); Lemos Guancha Miriam (CNA)</t>
        </is>
      </c>
      <c r="N200">
        <f>C200&amp;"|"&amp;D200</f>
        <v/>
      </c>
      <c r="O200">
        <f>COUNTIF($N$2:N200,N200)</f>
        <v/>
      </c>
      <c r="P200">
        <f>N200&amp;"|"&amp;O200</f>
        <v/>
      </c>
      <c r="Q200">
        <f>C200&amp;"|"&amp;D200&amp;"|"&amp;A200</f>
        <v/>
      </c>
    </row>
    <row r="201">
      <c r="A201" t="n">
        <v>49</v>
      </c>
      <c r="B201" t="inlineStr">
        <is>
          <t>Valencia Marínez Saidy Eufemia</t>
        </is>
      </c>
      <c r="C201" t="inlineStr">
        <is>
          <t>LUNES</t>
        </is>
      </c>
      <c r="D201" t="n">
        <v>8</v>
      </c>
      <c r="E201" t="n">
        <v>4</v>
      </c>
      <c r="F201" t="inlineStr">
        <is>
          <t>ENFASIS</t>
        </is>
      </c>
      <c r="G201" t="inlineStr"/>
      <c r="H201" t="inlineStr">
        <is>
          <t>ART</t>
        </is>
      </c>
      <c r="I201" t="inlineStr">
        <is>
          <t>CS201</t>
        </is>
      </c>
      <c r="J201" t="inlineStr">
        <is>
          <t>EQUIPO DE 4: cada docente atiende un grupo de estudiantes en su área</t>
        </is>
      </c>
      <c r="K201" t="inlineStr">
        <is>
          <t>Meza Banguera Gladys Alicia (CAS); González Castillo Jólmer Jimy (ERD); Lemos Guancha Miriam (CNA)</t>
        </is>
      </c>
      <c r="L201" t="inlineStr">
        <is>
          <t>ÉNFASIS CS 2-1</t>
        </is>
      </c>
      <c r="M201" t="inlineStr">
        <is>
          <t>EQUIPO DE 4: cada docente atiende un grupo de estudiantes en su área · Con: Meza Banguera Gladys Alicia (CAS); González Castillo Jólmer Jimy (ERD); Lemos Guancha Miriam (CNA)</t>
        </is>
      </c>
      <c r="N201">
        <f>C201&amp;"|"&amp;D201</f>
        <v/>
      </c>
      <c r="O201">
        <f>COUNTIF($N$2:N201,N201)</f>
        <v/>
      </c>
      <c r="P201">
        <f>N201&amp;"|"&amp;O201</f>
        <v/>
      </c>
      <c r="Q201">
        <f>C201&amp;"|"&amp;D201&amp;"|"&amp;A201</f>
        <v/>
      </c>
    </row>
    <row r="202">
      <c r="A202" t="n">
        <v>42</v>
      </c>
      <c r="B202" t="inlineStr">
        <is>
          <t>Quiñones Cabezas Marcos Vidal</t>
        </is>
      </c>
      <c r="C202" t="inlineStr">
        <is>
          <t>MARTES</t>
        </is>
      </c>
      <c r="D202" t="n">
        <v>1</v>
      </c>
      <c r="E202" t="n">
        <v>1</v>
      </c>
      <c r="F202" t="inlineStr">
        <is>
          <t>CLASE</t>
        </is>
      </c>
      <c r="G202" t="inlineStr">
        <is>
          <t>0601</t>
        </is>
      </c>
      <c r="H202" t="inlineStr">
        <is>
          <t>MAT</t>
        </is>
      </c>
      <c r="I202" t="inlineStr"/>
      <c r="J202" t="inlineStr"/>
      <c r="K202" t="inlineStr"/>
      <c r="L202" t="inlineStr">
        <is>
          <t>6°-1</t>
        </is>
      </c>
      <c r="M202" t="inlineStr"/>
      <c r="N202">
        <f>C202&amp;"|"&amp;D202</f>
        <v/>
      </c>
      <c r="O202">
        <f>COUNTIF($N$2:N202,N202)</f>
        <v/>
      </c>
      <c r="P202">
        <f>N202&amp;"|"&amp;O202</f>
        <v/>
      </c>
      <c r="Q202">
        <f>C202&amp;"|"&amp;D202&amp;"|"&amp;A202</f>
        <v/>
      </c>
    </row>
    <row r="203">
      <c r="A203" t="n">
        <v>16</v>
      </c>
      <c r="B203" t="inlineStr">
        <is>
          <t>Cuero Rincón Hernando Jesús</t>
        </is>
      </c>
      <c r="C203" t="inlineStr">
        <is>
          <t>MARTES</t>
        </is>
      </c>
      <c r="D203" t="n">
        <v>1</v>
      </c>
      <c r="E203" t="n">
        <v>1</v>
      </c>
      <c r="F203" t="inlineStr">
        <is>
          <t>CLASE</t>
        </is>
      </c>
      <c r="G203" t="inlineStr">
        <is>
          <t>0602</t>
        </is>
      </c>
      <c r="H203" t="inlineStr">
        <is>
          <t>TEI</t>
        </is>
      </c>
      <c r="I203" t="inlineStr"/>
      <c r="J203" t="inlineStr"/>
      <c r="K203" t="inlineStr"/>
      <c r="L203" t="inlineStr">
        <is>
          <t>6°-2</t>
        </is>
      </c>
      <c r="M203" t="inlineStr"/>
      <c r="N203">
        <f>C203&amp;"|"&amp;D203</f>
        <v/>
      </c>
      <c r="O203">
        <f>COUNTIF($N$2:N203,N203)</f>
        <v/>
      </c>
      <c r="P203">
        <f>N203&amp;"|"&amp;O203</f>
        <v/>
      </c>
      <c r="Q203">
        <f>C203&amp;"|"&amp;D203&amp;"|"&amp;A203</f>
        <v/>
      </c>
    </row>
    <row r="204">
      <c r="A204" t="n">
        <v>4</v>
      </c>
      <c r="B204" t="inlineStr">
        <is>
          <t>Arizala Castro Roberto Carlos</t>
        </is>
      </c>
      <c r="C204" t="inlineStr">
        <is>
          <t>MARTES</t>
        </is>
      </c>
      <c r="D204" t="n">
        <v>1</v>
      </c>
      <c r="E204" t="n">
        <v>1</v>
      </c>
      <c r="F204" t="inlineStr">
        <is>
          <t>CLASE</t>
        </is>
      </c>
      <c r="G204" t="inlineStr">
        <is>
          <t>0704</t>
        </is>
      </c>
      <c r="H204" t="inlineStr">
        <is>
          <t>ERD</t>
        </is>
      </c>
      <c r="I204" t="inlineStr"/>
      <c r="J204" t="inlineStr"/>
      <c r="K204" t="inlineStr"/>
      <c r="L204" t="inlineStr">
        <is>
          <t>7°-4</t>
        </is>
      </c>
      <c r="M204" t="inlineStr"/>
      <c r="N204">
        <f>C204&amp;"|"&amp;D204</f>
        <v/>
      </c>
      <c r="O204">
        <f>COUNTIF($N$2:N204,N204)</f>
        <v/>
      </c>
      <c r="P204">
        <f>N204&amp;"|"&amp;O204</f>
        <v/>
      </c>
      <c r="Q204">
        <f>C204&amp;"|"&amp;D204&amp;"|"&amp;A204</f>
        <v/>
      </c>
    </row>
    <row r="205">
      <c r="A205" t="n">
        <v>51</v>
      </c>
      <c r="B205" t="inlineStr">
        <is>
          <t>Valverde Montaño María Teresa</t>
        </is>
      </c>
      <c r="C205" t="inlineStr">
        <is>
          <t>MARTES</t>
        </is>
      </c>
      <c r="D205" t="n">
        <v>1</v>
      </c>
      <c r="E205" t="n">
        <v>1</v>
      </c>
      <c r="F205" t="inlineStr">
        <is>
          <t>CLASE</t>
        </is>
      </c>
      <c r="G205" t="inlineStr">
        <is>
          <t>0801</t>
        </is>
      </c>
      <c r="H205" t="inlineStr">
        <is>
          <t>CAS</t>
        </is>
      </c>
      <c r="I205" t="inlineStr"/>
      <c r="J205" t="inlineStr"/>
      <c r="K205" t="inlineStr"/>
      <c r="L205" t="inlineStr">
        <is>
          <t>8°-1</t>
        </is>
      </c>
      <c r="M205" t="inlineStr"/>
      <c r="N205">
        <f>C205&amp;"|"&amp;D205</f>
        <v/>
      </c>
      <c r="O205">
        <f>COUNTIF($N$2:N205,N205)</f>
        <v/>
      </c>
      <c r="P205">
        <f>N205&amp;"|"&amp;O205</f>
        <v/>
      </c>
      <c r="Q205">
        <f>C205&amp;"|"&amp;D205&amp;"|"&amp;A205</f>
        <v/>
      </c>
    </row>
    <row r="206">
      <c r="A206" t="n">
        <v>38</v>
      </c>
      <c r="B206" t="inlineStr">
        <is>
          <t>Preciado Torres Oleisa</t>
        </is>
      </c>
      <c r="C206" t="inlineStr">
        <is>
          <t>MARTES</t>
        </is>
      </c>
      <c r="D206" t="n">
        <v>1</v>
      </c>
      <c r="E206" t="n">
        <v>1</v>
      </c>
      <c r="F206" t="inlineStr">
        <is>
          <t>CLASE</t>
        </is>
      </c>
      <c r="G206" t="inlineStr">
        <is>
          <t>0802</t>
        </is>
      </c>
      <c r="H206" t="inlineStr">
        <is>
          <t>MAT</t>
        </is>
      </c>
      <c r="I206" t="inlineStr"/>
      <c r="J206" t="inlineStr"/>
      <c r="K206" t="inlineStr"/>
      <c r="L206" t="inlineStr">
        <is>
          <t>8°-2</t>
        </is>
      </c>
      <c r="M206" t="inlineStr"/>
      <c r="N206">
        <f>C206&amp;"|"&amp;D206</f>
        <v/>
      </c>
      <c r="O206">
        <f>COUNTIF($N$2:N206,N206)</f>
        <v/>
      </c>
      <c r="P206">
        <f>N206&amp;"|"&amp;O206</f>
        <v/>
      </c>
      <c r="Q206">
        <f>C206&amp;"|"&amp;D206&amp;"|"&amp;A206</f>
        <v/>
      </c>
    </row>
    <row r="207">
      <c r="A207" t="n">
        <v>49</v>
      </c>
      <c r="B207" t="inlineStr">
        <is>
          <t>Valencia Marínez Saidy Eufemia</t>
        </is>
      </c>
      <c r="C207" t="inlineStr">
        <is>
          <t>MARTES</t>
        </is>
      </c>
      <c r="D207" t="n">
        <v>1</v>
      </c>
      <c r="E207" t="n">
        <v>1</v>
      </c>
      <c r="F207" t="inlineStr">
        <is>
          <t>CLASE</t>
        </is>
      </c>
      <c r="G207" t="inlineStr">
        <is>
          <t>0901</t>
        </is>
      </c>
      <c r="H207" t="inlineStr">
        <is>
          <t>ART</t>
        </is>
      </c>
      <c r="I207" t="inlineStr"/>
      <c r="J207" t="inlineStr"/>
      <c r="K207" t="inlineStr"/>
      <c r="L207" t="inlineStr">
        <is>
          <t>9°-1</t>
        </is>
      </c>
      <c r="M207" t="inlineStr"/>
      <c r="N207">
        <f>C207&amp;"|"&amp;D207</f>
        <v/>
      </c>
      <c r="O207">
        <f>COUNTIF($N$2:N207,N207)</f>
        <v/>
      </c>
      <c r="P207">
        <f>N207&amp;"|"&amp;O207</f>
        <v/>
      </c>
      <c r="Q207">
        <f>C207&amp;"|"&amp;D207&amp;"|"&amp;A207</f>
        <v/>
      </c>
    </row>
    <row r="208">
      <c r="A208" t="n">
        <v>25</v>
      </c>
      <c r="B208" t="inlineStr">
        <is>
          <t>Lemos Guancha Miriam</t>
        </is>
      </c>
      <c r="C208" t="inlineStr">
        <is>
          <t>MARTES</t>
        </is>
      </c>
      <c r="D208" t="n">
        <v>1</v>
      </c>
      <c r="E208" t="n">
        <v>1</v>
      </c>
      <c r="F208" t="inlineStr">
        <is>
          <t>CLASE</t>
        </is>
      </c>
      <c r="G208" t="inlineStr">
        <is>
          <t>1001</t>
        </is>
      </c>
      <c r="H208" t="inlineStr">
        <is>
          <t>CNA</t>
        </is>
      </c>
      <c r="I208" t="inlineStr"/>
      <c r="J208" t="inlineStr"/>
      <c r="K208" t="inlineStr"/>
      <c r="L208" t="inlineStr">
        <is>
          <t>10°-1</t>
        </is>
      </c>
      <c r="M208" t="inlineStr"/>
      <c r="N208">
        <f>C208&amp;"|"&amp;D208</f>
        <v/>
      </c>
      <c r="O208">
        <f>COUNTIF($N$2:N208,N208)</f>
        <v/>
      </c>
      <c r="P208">
        <f>N208&amp;"|"&amp;O208</f>
        <v/>
      </c>
      <c r="Q208">
        <f>C208&amp;"|"&amp;D208&amp;"|"&amp;A208</f>
        <v/>
      </c>
    </row>
    <row r="209">
      <c r="A209" t="n">
        <v>30</v>
      </c>
      <c r="B209" t="inlineStr">
        <is>
          <t>Montaño Anchico Favio Héctor</t>
        </is>
      </c>
      <c r="C209" t="inlineStr">
        <is>
          <t>MARTES</t>
        </is>
      </c>
      <c r="D209" t="n">
        <v>1</v>
      </c>
      <c r="E209" t="n">
        <v>1</v>
      </c>
      <c r="F209" t="inlineStr">
        <is>
          <t>CLASE</t>
        </is>
      </c>
      <c r="G209" t="inlineStr">
        <is>
          <t>1002</t>
        </is>
      </c>
      <c r="H209" t="inlineStr">
        <is>
          <t>CAS</t>
        </is>
      </c>
      <c r="I209" t="inlineStr"/>
      <c r="J209" t="inlineStr"/>
      <c r="K209" t="inlineStr"/>
      <c r="L209" t="inlineStr">
        <is>
          <t>10°-2</t>
        </is>
      </c>
      <c r="M209" t="inlineStr"/>
      <c r="N209">
        <f>C209&amp;"|"&amp;D209</f>
        <v/>
      </c>
      <c r="O209">
        <f>COUNTIF($N$2:N209,N209)</f>
        <v/>
      </c>
      <c r="P209">
        <f>N209&amp;"|"&amp;O209</f>
        <v/>
      </c>
      <c r="Q209">
        <f>C209&amp;"|"&amp;D209&amp;"|"&amp;A209</f>
        <v/>
      </c>
    </row>
    <row r="210">
      <c r="A210" t="n">
        <v>43</v>
      </c>
      <c r="B210" t="inlineStr">
        <is>
          <t>Ramírez Guerra Jimmy Eduardo</t>
        </is>
      </c>
      <c r="C210" t="inlineStr">
        <is>
          <t>MARTES</t>
        </is>
      </c>
      <c r="D210" t="n">
        <v>1</v>
      </c>
      <c r="E210" t="n">
        <v>1</v>
      </c>
      <c r="F210" t="inlineStr">
        <is>
          <t>CLASE</t>
        </is>
      </c>
      <c r="G210" t="inlineStr">
        <is>
          <t>1101</t>
        </is>
      </c>
      <c r="H210" t="inlineStr">
        <is>
          <t>ERD</t>
        </is>
      </c>
      <c r="I210" t="inlineStr"/>
      <c r="J210" t="inlineStr"/>
      <c r="K210" t="inlineStr"/>
      <c r="L210" t="inlineStr">
        <is>
          <t>11°-1</t>
        </is>
      </c>
      <c r="M210" t="inlineStr"/>
      <c r="N210">
        <f>C210&amp;"|"&amp;D210</f>
        <v/>
      </c>
      <c r="O210">
        <f>COUNTIF($N$2:N210,N210)</f>
        <v/>
      </c>
      <c r="P210">
        <f>N210&amp;"|"&amp;O210</f>
        <v/>
      </c>
      <c r="Q210">
        <f>C210&amp;"|"&amp;D210&amp;"|"&amp;A210</f>
        <v/>
      </c>
    </row>
    <row r="211">
      <c r="A211" t="n">
        <v>35</v>
      </c>
      <c r="B211" t="inlineStr">
        <is>
          <t>Ortiz Araujo Adiela Carlota</t>
        </is>
      </c>
      <c r="C211" t="inlineStr">
        <is>
          <t>MARTES</t>
        </is>
      </c>
      <c r="D211" t="n">
        <v>1</v>
      </c>
      <c r="E211" t="n">
        <v>1</v>
      </c>
      <c r="F211" t="inlineStr">
        <is>
          <t>CLASE</t>
        </is>
      </c>
      <c r="G211" t="inlineStr">
        <is>
          <t>CS201</t>
        </is>
      </c>
      <c r="H211" t="inlineStr">
        <is>
          <t>CSI</t>
        </is>
      </c>
      <c r="I211" t="inlineStr"/>
      <c r="J211" t="inlineStr">
        <is>
          <t>Sociales / Inglés (alternan cada semana)</t>
        </is>
      </c>
      <c r="K211" t="inlineStr"/>
      <c r="L211" t="inlineStr">
        <is>
          <t>CS 2-1</t>
        </is>
      </c>
      <c r="M211" t="inlineStr">
        <is>
          <t>Sociales / Inglés (alternan cada semana)</t>
        </is>
      </c>
      <c r="N211">
        <f>C211&amp;"|"&amp;D211</f>
        <v/>
      </c>
      <c r="O211">
        <f>COUNTIF($N$2:N211,N211)</f>
        <v/>
      </c>
      <c r="P211">
        <f>N211&amp;"|"&amp;O211</f>
        <v/>
      </c>
      <c r="Q211">
        <f>C211&amp;"|"&amp;D211&amp;"|"&amp;A211</f>
        <v/>
      </c>
    </row>
    <row r="212">
      <c r="A212" t="n">
        <v>19</v>
      </c>
      <c r="B212" t="inlineStr">
        <is>
          <t>Fernández Vélez Alfredo Enrique</t>
        </is>
      </c>
      <c r="C212" t="inlineStr">
        <is>
          <t>MARTES</t>
        </is>
      </c>
      <c r="D212" t="n">
        <v>1</v>
      </c>
      <c r="E212" t="n">
        <v>1</v>
      </c>
      <c r="F212" t="inlineStr">
        <is>
          <t>CLASE</t>
        </is>
      </c>
      <c r="G212" t="inlineStr">
        <is>
          <t>CS202</t>
        </is>
      </c>
      <c r="H212" t="inlineStr">
        <is>
          <t>TEI</t>
        </is>
      </c>
      <c r="I212" t="inlineStr"/>
      <c r="J212" t="inlineStr"/>
      <c r="K212" t="inlineStr"/>
      <c r="L212" t="inlineStr">
        <is>
          <t>CS 2-2</t>
        </is>
      </c>
      <c r="M212" t="inlineStr"/>
      <c r="N212">
        <f>C212&amp;"|"&amp;D212</f>
        <v/>
      </c>
      <c r="O212">
        <f>COUNTIF($N$2:N212,N212)</f>
        <v/>
      </c>
      <c r="P212">
        <f>N212&amp;"|"&amp;O212</f>
        <v/>
      </c>
      <c r="Q212">
        <f>C212&amp;"|"&amp;D212&amp;"|"&amp;A212</f>
        <v/>
      </c>
    </row>
    <row r="213">
      <c r="A213" t="n">
        <v>10</v>
      </c>
      <c r="B213" t="inlineStr">
        <is>
          <t>Castillo Cuero Daira Eneida</t>
        </is>
      </c>
      <c r="C213" t="inlineStr">
        <is>
          <t>MARTES</t>
        </is>
      </c>
      <c r="D213" t="n">
        <v>1</v>
      </c>
      <c r="E213" t="n">
        <v>1</v>
      </c>
      <c r="F213" t="inlineStr">
        <is>
          <t>ENFASIS</t>
        </is>
      </c>
      <c r="G213" t="inlineStr"/>
      <c r="H213" t="inlineStr">
        <is>
          <t>CAS</t>
        </is>
      </c>
      <c r="I213" t="inlineStr">
        <is>
          <t>0701</t>
        </is>
      </c>
      <c r="J213" t="inlineStr">
        <is>
          <t>PAREJA: comparten el énfasis y alternan por semana</t>
        </is>
      </c>
      <c r="K213" t="inlineStr">
        <is>
          <t>Puches Ana Milena (ART)</t>
        </is>
      </c>
      <c r="L213" t="inlineStr">
        <is>
          <t>ÉNFASIS 7°-1</t>
        </is>
      </c>
      <c r="M213" t="inlineStr">
        <is>
          <t>PAREJA: comparten el énfasis y alternan por semana · Con: Puches Ana Milena (ART)</t>
        </is>
      </c>
      <c r="N213">
        <f>C213&amp;"|"&amp;D213</f>
        <v/>
      </c>
      <c r="O213">
        <f>COUNTIF($N$2:N213,N213)</f>
        <v/>
      </c>
      <c r="P213">
        <f>N213&amp;"|"&amp;O213</f>
        <v/>
      </c>
      <c r="Q213">
        <f>C213&amp;"|"&amp;D213&amp;"|"&amp;A213</f>
        <v/>
      </c>
    </row>
    <row r="214">
      <c r="A214" t="n">
        <v>39</v>
      </c>
      <c r="B214" t="inlineStr">
        <is>
          <t>Puches Ana Milena</t>
        </is>
      </c>
      <c r="C214" t="inlineStr">
        <is>
          <t>MARTES</t>
        </is>
      </c>
      <c r="D214" t="n">
        <v>1</v>
      </c>
      <c r="E214" t="n">
        <v>1</v>
      </c>
      <c r="F214" t="inlineStr">
        <is>
          <t>ENFASIS</t>
        </is>
      </c>
      <c r="G214" t="inlineStr"/>
      <c r="H214" t="inlineStr">
        <is>
          <t>ART</t>
        </is>
      </c>
      <c r="I214" t="inlineStr">
        <is>
          <t>0701</t>
        </is>
      </c>
      <c r="J214" t="inlineStr">
        <is>
          <t>PAREJA: comparten el énfasis y alternan por semana</t>
        </is>
      </c>
      <c r="K214" t="inlineStr">
        <is>
          <t>Castillo Cuero Daira Eneida (CAS)</t>
        </is>
      </c>
      <c r="L214" t="inlineStr">
        <is>
          <t>ÉNFASIS 7°-1</t>
        </is>
      </c>
      <c r="M214" t="inlineStr">
        <is>
          <t>PAREJA: comparten el énfasis y alternan por semana · Con: Castillo Cuero Daira Eneida (CAS)</t>
        </is>
      </c>
      <c r="N214">
        <f>C214&amp;"|"&amp;D214</f>
        <v/>
      </c>
      <c r="O214">
        <f>COUNTIF($N$2:N214,N214)</f>
        <v/>
      </c>
      <c r="P214">
        <f>N214&amp;"|"&amp;O214</f>
        <v/>
      </c>
      <c r="Q214">
        <f>C214&amp;"|"&amp;D214&amp;"|"&amp;A214</f>
        <v/>
      </c>
    </row>
    <row r="215">
      <c r="A215" t="n">
        <v>12</v>
      </c>
      <c r="B215" t="inlineStr">
        <is>
          <t>Chillambo Quiñones María Rocío</t>
        </is>
      </c>
      <c r="C215" t="inlineStr">
        <is>
          <t>MARTES</t>
        </is>
      </c>
      <c r="D215" t="n">
        <v>1</v>
      </c>
      <c r="E215" t="n">
        <v>1</v>
      </c>
      <c r="F215" t="inlineStr">
        <is>
          <t>ENFASIS</t>
        </is>
      </c>
      <c r="G215" t="inlineStr"/>
      <c r="H215" t="inlineStr">
        <is>
          <t>CNA</t>
        </is>
      </c>
      <c r="I215" t="inlineStr">
        <is>
          <t>0702</t>
        </is>
      </c>
      <c r="J215" t="inlineStr">
        <is>
          <t>PAREJA: comparten el énfasis y alternan por semana</t>
        </is>
      </c>
      <c r="K215" t="inlineStr">
        <is>
          <t>Cuero Bamba Berte Levi (ERD)</t>
        </is>
      </c>
      <c r="L215" t="inlineStr">
        <is>
          <t>ÉNFASIS 7°-2</t>
        </is>
      </c>
      <c r="M215" t="inlineStr">
        <is>
          <t>PAREJA: comparten el énfasis y alternan por semana · Con: Cuero Bamba Berte Levi (ERD)</t>
        </is>
      </c>
      <c r="N215">
        <f>C215&amp;"|"&amp;D215</f>
        <v/>
      </c>
      <c r="O215">
        <f>COUNTIF($N$2:N215,N215)</f>
        <v/>
      </c>
      <c r="P215">
        <f>N215&amp;"|"&amp;O215</f>
        <v/>
      </c>
      <c r="Q215">
        <f>C215&amp;"|"&amp;D215&amp;"|"&amp;A215</f>
        <v/>
      </c>
    </row>
    <row r="216">
      <c r="A216" t="n">
        <v>15</v>
      </c>
      <c r="B216" t="inlineStr">
        <is>
          <t>Cuero Bamba Berte Levi</t>
        </is>
      </c>
      <c r="C216" t="inlineStr">
        <is>
          <t>MARTES</t>
        </is>
      </c>
      <c r="D216" t="n">
        <v>1</v>
      </c>
      <c r="E216" t="n">
        <v>1</v>
      </c>
      <c r="F216" t="inlineStr">
        <is>
          <t>ENFASIS</t>
        </is>
      </c>
      <c r="G216" t="inlineStr"/>
      <c r="H216" t="inlineStr">
        <is>
          <t>ERD</t>
        </is>
      </c>
      <c r="I216" t="inlineStr">
        <is>
          <t>0702</t>
        </is>
      </c>
      <c r="J216" t="inlineStr">
        <is>
          <t>PAREJA: comparten el énfasis y alternan por semana</t>
        </is>
      </c>
      <c r="K216" t="inlineStr">
        <is>
          <t>Chillambo Quiñones María Rocío (CNA)</t>
        </is>
      </c>
      <c r="L216" t="inlineStr">
        <is>
          <t>ÉNFASIS 7°-2</t>
        </is>
      </c>
      <c r="M216" t="inlineStr">
        <is>
          <t>PAREJA: comparten el énfasis y alternan por semana · Con: Chillambo Quiñones María Rocío (CNA)</t>
        </is>
      </c>
      <c r="N216">
        <f>C216&amp;"|"&amp;D216</f>
        <v/>
      </c>
      <c r="O216">
        <f>COUNTIF($N$2:N216,N216)</f>
        <v/>
      </c>
      <c r="P216">
        <f>N216&amp;"|"&amp;O216</f>
        <v/>
      </c>
      <c r="Q216">
        <f>C216&amp;"|"&amp;D216&amp;"|"&amp;A216</f>
        <v/>
      </c>
    </row>
    <row r="217">
      <c r="A217" t="n">
        <v>8</v>
      </c>
      <c r="B217" t="inlineStr">
        <is>
          <t>Casanova Quiñones Yoli del Carmen</t>
        </is>
      </c>
      <c r="C217" t="inlineStr">
        <is>
          <t>MARTES</t>
        </is>
      </c>
      <c r="D217" t="n">
        <v>1</v>
      </c>
      <c r="E217" t="n">
        <v>1</v>
      </c>
      <c r="F217" t="inlineStr">
        <is>
          <t>ENFASIS</t>
        </is>
      </c>
      <c r="G217" t="inlineStr"/>
      <c r="H217" t="inlineStr">
        <is>
          <t>ETR</t>
        </is>
      </c>
      <c r="I217" t="inlineStr">
        <is>
          <t>0703</t>
        </is>
      </c>
      <c r="J217" t="inlineStr">
        <is>
          <t>PAREJA: comparten el énfasis y alternan por semana</t>
        </is>
      </c>
      <c r="K217" t="inlineStr">
        <is>
          <t>Quintero Ramírez María del Carmen (CSI)</t>
        </is>
      </c>
      <c r="L217" t="inlineStr">
        <is>
          <t>ÉNFASIS 7°-3</t>
        </is>
      </c>
      <c r="M217" t="inlineStr">
        <is>
          <t>PAREJA: comparten el énfasis y alternan por semana · Con: Quintero Ramírez María del Carmen (CSI)</t>
        </is>
      </c>
      <c r="N217">
        <f>C217&amp;"|"&amp;D217</f>
        <v/>
      </c>
      <c r="O217">
        <f>COUNTIF($N$2:N217,N217)</f>
        <v/>
      </c>
      <c r="P217">
        <f>N217&amp;"|"&amp;O217</f>
        <v/>
      </c>
      <c r="Q217">
        <f>C217&amp;"|"&amp;D217&amp;"|"&amp;A217</f>
        <v/>
      </c>
    </row>
    <row r="218">
      <c r="A218" t="n">
        <v>41</v>
      </c>
      <c r="B218" t="inlineStr">
        <is>
          <t>Quintero Ramírez María del Carmen</t>
        </is>
      </c>
      <c r="C218" t="inlineStr">
        <is>
          <t>MARTES</t>
        </is>
      </c>
      <c r="D218" t="n">
        <v>1</v>
      </c>
      <c r="E218" t="n">
        <v>1</v>
      </c>
      <c r="F218" t="inlineStr">
        <is>
          <t>ENFASIS</t>
        </is>
      </c>
      <c r="G218" t="inlineStr"/>
      <c r="H218" t="inlineStr">
        <is>
          <t>CSI</t>
        </is>
      </c>
      <c r="I218" t="inlineStr">
        <is>
          <t>0703</t>
        </is>
      </c>
      <c r="J218" t="inlineStr">
        <is>
          <t>PAREJA: comparten el énfasis y alternan por semana</t>
        </is>
      </c>
      <c r="K218" t="inlineStr">
        <is>
          <t>Casanova Quiñones Yoli del Carmen (ETR)</t>
        </is>
      </c>
      <c r="L218" t="inlineStr">
        <is>
          <t>ÉNFASIS 7°-3</t>
        </is>
      </c>
      <c r="M218" t="inlineStr">
        <is>
          <t>PAREJA: comparten el énfasis y alternan por semana · Con: Casanova Quiñones Yoli del Carmen (ETR)</t>
        </is>
      </c>
      <c r="N218">
        <f>C218&amp;"|"&amp;D218</f>
        <v/>
      </c>
      <c r="O218">
        <f>COUNTIF($N$2:N218,N218)</f>
        <v/>
      </c>
      <c r="P218">
        <f>N218&amp;"|"&amp;O218</f>
        <v/>
      </c>
      <c r="Q218">
        <f>C218&amp;"|"&amp;D218&amp;"|"&amp;A218</f>
        <v/>
      </c>
    </row>
    <row r="219">
      <c r="A219" t="n">
        <v>5</v>
      </c>
      <c r="B219" t="inlineStr">
        <is>
          <t>Bastidas Valencia Zeneida Judith</t>
        </is>
      </c>
      <c r="C219" t="inlineStr">
        <is>
          <t>MARTES</t>
        </is>
      </c>
      <c r="D219" t="n">
        <v>1</v>
      </c>
      <c r="E219" t="n">
        <v>1</v>
      </c>
      <c r="F219" t="inlineStr">
        <is>
          <t>ENFASIS</t>
        </is>
      </c>
      <c r="G219" t="inlineStr"/>
      <c r="H219" t="inlineStr">
        <is>
          <t>MAT</t>
        </is>
      </c>
      <c r="I219" t="inlineStr">
        <is>
          <t>0902</t>
        </is>
      </c>
      <c r="J219" t="inlineStr">
        <is>
          <t>EQUIPO DE 4: cada docente atiende un grupo de estudiantes en su área</t>
        </is>
      </c>
      <c r="K219" t="inlineStr">
        <is>
          <t>Betancourth Ocampo Yohana Patricia (CSI); Estacio Estupiñán Rosario (ETR); Mindineros Satizábal John Jáver (TEI)</t>
        </is>
      </c>
      <c r="L219" t="inlineStr">
        <is>
          <t>ÉNFASIS 9°-2</t>
        </is>
      </c>
      <c r="M219" t="inlineStr">
        <is>
          <t>EQUIPO DE 4: cada docente atiende un grupo de estudiantes en su área · Con: Betancourth Ocampo Yohana Patricia (CSI); Estacio Estupiñán Rosario (ETR); Mindineros Satizábal John Jáver (TEI)</t>
        </is>
      </c>
      <c r="N219">
        <f>C219&amp;"|"&amp;D219</f>
        <v/>
      </c>
      <c r="O219">
        <f>COUNTIF($N$2:N219,N219)</f>
        <v/>
      </c>
      <c r="P219">
        <f>N219&amp;"|"&amp;O219</f>
        <v/>
      </c>
      <c r="Q219">
        <f>C219&amp;"|"&amp;D219&amp;"|"&amp;A219</f>
        <v/>
      </c>
    </row>
    <row r="220">
      <c r="A220" t="n">
        <v>6</v>
      </c>
      <c r="B220" t="inlineStr">
        <is>
          <t>Betancourth Ocampo Yohana Patricia</t>
        </is>
      </c>
      <c r="C220" t="inlineStr">
        <is>
          <t>MARTES</t>
        </is>
      </c>
      <c r="D220" t="n">
        <v>1</v>
      </c>
      <c r="E220" t="n">
        <v>1</v>
      </c>
      <c r="F220" t="inlineStr">
        <is>
          <t>ENFASIS</t>
        </is>
      </c>
      <c r="G220" t="inlineStr"/>
      <c r="H220" t="inlineStr">
        <is>
          <t>CSI</t>
        </is>
      </c>
      <c r="I220" t="inlineStr">
        <is>
          <t>0902</t>
        </is>
      </c>
      <c r="J220" t="inlineStr">
        <is>
          <t>EQUIPO DE 4: cada docente atiende un grupo de estudiantes en su área</t>
        </is>
      </c>
      <c r="K220" t="inlineStr">
        <is>
          <t>Estacio Estupiñán Rosario (ETR); Bastidas Valencia Zeneida Judith (MAT); Mindineros Satizábal John Jáver (TEI)</t>
        </is>
      </c>
      <c r="L220" t="inlineStr">
        <is>
          <t>ÉNFASIS 9°-2</t>
        </is>
      </c>
      <c r="M220" t="inlineStr">
        <is>
          <t>EQUIPO DE 4: cada docente atiende un grupo de estudiantes en su área · Con: Estacio Estupiñán Rosario (ETR); Bastidas Valencia Zeneida Judith (MAT); Mindineros Satizábal John Jáver (TEI)</t>
        </is>
      </c>
      <c r="N220">
        <f>C220&amp;"|"&amp;D220</f>
        <v/>
      </c>
      <c r="O220">
        <f>COUNTIF($N$2:N220,N220)</f>
        <v/>
      </c>
      <c r="P220">
        <f>N220&amp;"|"&amp;O220</f>
        <v/>
      </c>
      <c r="Q220">
        <f>C220&amp;"|"&amp;D220&amp;"|"&amp;A220</f>
        <v/>
      </c>
    </row>
    <row r="221">
      <c r="A221" t="n">
        <v>18</v>
      </c>
      <c r="B221" t="inlineStr">
        <is>
          <t>Estacio Estupiñán Rosario</t>
        </is>
      </c>
      <c r="C221" t="inlineStr">
        <is>
          <t>MARTES</t>
        </is>
      </c>
      <c r="D221" t="n">
        <v>1</v>
      </c>
      <c r="E221" t="n">
        <v>1</v>
      </c>
      <c r="F221" t="inlineStr">
        <is>
          <t>ENFASIS</t>
        </is>
      </c>
      <c r="G221" t="inlineStr"/>
      <c r="H221" t="inlineStr">
        <is>
          <t>ETR</t>
        </is>
      </c>
      <c r="I221" t="inlineStr">
        <is>
          <t>0902</t>
        </is>
      </c>
      <c r="J221" t="inlineStr">
        <is>
          <t>EQUIPO DE 4: cada docente atiende un grupo de estudiantes en su área</t>
        </is>
      </c>
      <c r="K221" t="inlineStr">
        <is>
          <t>Betancourth Ocampo Yohana Patricia (CSI); Bastidas Valencia Zeneida Judith (MAT); Mindineros Satizábal John Jáver (TEI)</t>
        </is>
      </c>
      <c r="L221" t="inlineStr">
        <is>
          <t>ÉNFASIS 9°-2</t>
        </is>
      </c>
      <c r="M221" t="inlineStr">
        <is>
          <t>EQUIPO DE 4: cada docente atiende un grupo de estudiantes en su área · Con: Betancourth Ocampo Yohana Patricia (CSI); Bastidas Valencia Zeneida Judith (MAT); Mindineros Satizábal John Jáver (TEI)</t>
        </is>
      </c>
      <c r="N221">
        <f>C221&amp;"|"&amp;D221</f>
        <v/>
      </c>
      <c r="O221">
        <f>COUNTIF($N$2:N221,N221)</f>
        <v/>
      </c>
      <c r="P221">
        <f>N221&amp;"|"&amp;O221</f>
        <v/>
      </c>
      <c r="Q221">
        <f>C221&amp;"|"&amp;D221&amp;"|"&amp;A221</f>
        <v/>
      </c>
    </row>
    <row r="222">
      <c r="A222" t="n">
        <v>29</v>
      </c>
      <c r="B222" t="inlineStr">
        <is>
          <t>Mindineros Satizábal John Jáver</t>
        </is>
      </c>
      <c r="C222" t="inlineStr">
        <is>
          <t>MARTES</t>
        </is>
      </c>
      <c r="D222" t="n">
        <v>1</v>
      </c>
      <c r="E222" t="n">
        <v>1</v>
      </c>
      <c r="F222" t="inlineStr">
        <is>
          <t>ENFASIS</t>
        </is>
      </c>
      <c r="G222" t="inlineStr"/>
      <c r="H222" t="inlineStr">
        <is>
          <t>TEI</t>
        </is>
      </c>
      <c r="I222" t="inlineStr">
        <is>
          <t>0902</t>
        </is>
      </c>
      <c r="J222" t="inlineStr">
        <is>
          <t>EQUIPO DE 4: cada docente atiende un grupo de estudiantes en su área</t>
        </is>
      </c>
      <c r="K222" t="inlineStr">
        <is>
          <t>Betancourth Ocampo Yohana Patricia (CSI); Estacio Estupiñán Rosario (ETR); Bastidas Valencia Zeneida Judith (MAT)</t>
        </is>
      </c>
      <c r="L222" t="inlineStr">
        <is>
          <t>ÉNFASIS 9°-2</t>
        </is>
      </c>
      <c r="M222" t="inlineStr">
        <is>
          <t>EQUIPO DE 4: cada docente atiende un grupo de estudiantes en su área · Con: Betancourth Ocampo Yohana Patricia (CSI); Estacio Estupiñán Rosario (ETR); Bastidas Valencia Zeneida Judith (MAT)</t>
        </is>
      </c>
      <c r="N222">
        <f>C222&amp;"|"&amp;D222</f>
        <v/>
      </c>
      <c r="O222">
        <f>COUNTIF($N$2:N222,N222)</f>
        <v/>
      </c>
      <c r="P222">
        <f>N222&amp;"|"&amp;O222</f>
        <v/>
      </c>
      <c r="Q222">
        <f>C222&amp;"|"&amp;D222&amp;"|"&amp;A222</f>
        <v/>
      </c>
    </row>
    <row r="223">
      <c r="A223" t="n">
        <v>2</v>
      </c>
      <c r="B223" t="inlineStr">
        <is>
          <t>Angulo Lucero Andrés Mauricio</t>
        </is>
      </c>
      <c r="C223" t="inlineStr">
        <is>
          <t>MARTES</t>
        </is>
      </c>
      <c r="D223" t="n">
        <v>1</v>
      </c>
      <c r="E223" t="n">
        <v>1</v>
      </c>
      <c r="F223" t="inlineStr">
        <is>
          <t>ENFASIS</t>
        </is>
      </c>
      <c r="G223" t="inlineStr"/>
      <c r="H223" t="inlineStr">
        <is>
          <t>TEI</t>
        </is>
      </c>
      <c r="I223" t="inlineStr">
        <is>
          <t>1102</t>
        </is>
      </c>
      <c r="J223" t="inlineStr">
        <is>
          <t>EQUIPO DE 4: cada docente atiende un grupo de estudiantes en su área</t>
        </is>
      </c>
      <c r="K223" t="inlineStr">
        <is>
          <t>Pulgarín Ortiz César Marino (CSI); Montaño Arizala Leidis Claudina (ETR); Villota Rubio Janeth del Carmen (MAT)</t>
        </is>
      </c>
      <c r="L223" t="inlineStr">
        <is>
          <t>ÉNFASIS 11°-2</t>
        </is>
      </c>
      <c r="M223" t="inlineStr">
        <is>
          <t>EQUIPO DE 4: cada docente atiende un grupo de estudiantes en su área · Con: Pulgarín Ortiz César Marino (CSI); Montaño Arizala Leidis Claudina (ETR); Villota Rubio Janeth del Carmen (MAT)</t>
        </is>
      </c>
      <c r="N223">
        <f>C223&amp;"|"&amp;D223</f>
        <v/>
      </c>
      <c r="O223">
        <f>COUNTIF($N$2:N223,N223)</f>
        <v/>
      </c>
      <c r="P223">
        <f>N223&amp;"|"&amp;O223</f>
        <v/>
      </c>
      <c r="Q223">
        <f>C223&amp;"|"&amp;D223&amp;"|"&amp;A223</f>
        <v/>
      </c>
    </row>
    <row r="224">
      <c r="A224" t="n">
        <v>31</v>
      </c>
      <c r="B224" t="inlineStr">
        <is>
          <t>Montaño Arizala Leidis Claudina</t>
        </is>
      </c>
      <c r="C224" t="inlineStr">
        <is>
          <t>MARTES</t>
        </is>
      </c>
      <c r="D224" t="n">
        <v>1</v>
      </c>
      <c r="E224" t="n">
        <v>1</v>
      </c>
      <c r="F224" t="inlineStr">
        <is>
          <t>ENFASIS</t>
        </is>
      </c>
      <c r="G224" t="inlineStr"/>
      <c r="H224" t="inlineStr">
        <is>
          <t>ETR</t>
        </is>
      </c>
      <c r="I224" t="inlineStr">
        <is>
          <t>1102</t>
        </is>
      </c>
      <c r="J224" t="inlineStr">
        <is>
          <t>EQUIPO DE 4: cada docente atiende un grupo de estudiantes en su área</t>
        </is>
      </c>
      <c r="K224" t="inlineStr">
        <is>
          <t>Pulgarín Ortiz César Marino (CSI); Villota Rubio Janeth del Carmen (MAT); Angulo Lucero Andrés Mauricio (TEI)</t>
        </is>
      </c>
      <c r="L224" t="inlineStr">
        <is>
          <t>ÉNFASIS 11°-2</t>
        </is>
      </c>
      <c r="M224" t="inlineStr">
        <is>
          <t>EQUIPO DE 4: cada docente atiende un grupo de estudiantes en su área · Con: Pulgarín Ortiz César Marino (CSI); Villota Rubio Janeth del Carmen (MAT); Angulo Lucero Andrés Mauricio (TEI)</t>
        </is>
      </c>
      <c r="N224">
        <f>C224&amp;"|"&amp;D224</f>
        <v/>
      </c>
      <c r="O224">
        <f>COUNTIF($N$2:N224,N224)</f>
        <v/>
      </c>
      <c r="P224">
        <f>N224&amp;"|"&amp;O224</f>
        <v/>
      </c>
      <c r="Q224">
        <f>C224&amp;"|"&amp;D224&amp;"|"&amp;A224</f>
        <v/>
      </c>
    </row>
    <row r="225">
      <c r="A225" t="n">
        <v>40</v>
      </c>
      <c r="B225" t="inlineStr">
        <is>
          <t>Pulgarín Ortiz César Marino</t>
        </is>
      </c>
      <c r="C225" t="inlineStr">
        <is>
          <t>MARTES</t>
        </is>
      </c>
      <c r="D225" t="n">
        <v>1</v>
      </c>
      <c r="E225" t="n">
        <v>1</v>
      </c>
      <c r="F225" t="inlineStr">
        <is>
          <t>ENFASIS</t>
        </is>
      </c>
      <c r="G225" t="inlineStr"/>
      <c r="H225" t="inlineStr">
        <is>
          <t>CSI</t>
        </is>
      </c>
      <c r="I225" t="inlineStr">
        <is>
          <t>1102</t>
        </is>
      </c>
      <c r="J225" t="inlineStr">
        <is>
          <t>EQUIPO DE 4: cada docente atiende un grupo de estudiantes en su área</t>
        </is>
      </c>
      <c r="K225" t="inlineStr">
        <is>
          <t>Montaño Arizala Leidis Claudina (ETR); Villota Rubio Janeth del Carmen (MAT); Angulo Lucero Andrés Mauricio (TEI)</t>
        </is>
      </c>
      <c r="L225" t="inlineStr">
        <is>
          <t>ÉNFASIS 11°-2</t>
        </is>
      </c>
      <c r="M225" t="inlineStr">
        <is>
          <t>EQUIPO DE 4: cada docente atiende un grupo de estudiantes en su área · Con: Montaño Arizala Leidis Claudina (ETR); Villota Rubio Janeth del Carmen (MAT); Angulo Lucero Andrés Mauricio (TEI)</t>
        </is>
      </c>
      <c r="N225">
        <f>C225&amp;"|"&amp;D225</f>
        <v/>
      </c>
      <c r="O225">
        <f>COUNTIF($N$2:N225,N225)</f>
        <v/>
      </c>
      <c r="P225">
        <f>N225&amp;"|"&amp;O225</f>
        <v/>
      </c>
      <c r="Q225">
        <f>C225&amp;"|"&amp;D225&amp;"|"&amp;A225</f>
        <v/>
      </c>
    </row>
    <row r="226">
      <c r="A226" t="n">
        <v>54</v>
      </c>
      <c r="B226" t="inlineStr">
        <is>
          <t>Villota Rubio Janeth del Carmen</t>
        </is>
      </c>
      <c r="C226" t="inlineStr">
        <is>
          <t>MARTES</t>
        </is>
      </c>
      <c r="D226" t="n">
        <v>1</v>
      </c>
      <c r="E226" t="n">
        <v>1</v>
      </c>
      <c r="F226" t="inlineStr">
        <is>
          <t>ENFASIS</t>
        </is>
      </c>
      <c r="G226" t="inlineStr"/>
      <c r="H226" t="inlineStr">
        <is>
          <t>MAT</t>
        </is>
      </c>
      <c r="I226" t="inlineStr">
        <is>
          <t>1102</t>
        </is>
      </c>
      <c r="J226" t="inlineStr">
        <is>
          <t>EQUIPO DE 4: cada docente atiende un grupo de estudiantes en su área</t>
        </is>
      </c>
      <c r="K226" t="inlineStr">
        <is>
          <t>Pulgarín Ortiz César Marino (CSI); Montaño Arizala Leidis Claudina (ETR); Angulo Lucero Andrés Mauricio (TEI)</t>
        </is>
      </c>
      <c r="L226" t="inlineStr">
        <is>
          <t>ÉNFASIS 11°-2</t>
        </is>
      </c>
      <c r="M226" t="inlineStr">
        <is>
          <t>EQUIPO DE 4: cada docente atiende un grupo de estudiantes en su área · Con: Pulgarín Ortiz César Marino (CSI); Montaño Arizala Leidis Claudina (ETR); Angulo Lucero Andrés Mauricio (TEI)</t>
        </is>
      </c>
      <c r="N226">
        <f>C226&amp;"|"&amp;D226</f>
        <v/>
      </c>
      <c r="O226">
        <f>COUNTIF($N$2:N226,N226)</f>
        <v/>
      </c>
      <c r="P226">
        <f>N226&amp;"|"&amp;O226</f>
        <v/>
      </c>
      <c r="Q226">
        <f>C226&amp;"|"&amp;D226&amp;"|"&amp;A226</f>
        <v/>
      </c>
    </row>
    <row r="227">
      <c r="A227" t="n">
        <v>20</v>
      </c>
      <c r="B227" t="inlineStr">
        <is>
          <t>García Gobea Saydi Magali</t>
        </is>
      </c>
      <c r="C227" t="inlineStr">
        <is>
          <t>MARTES</t>
        </is>
      </c>
      <c r="D227" t="n">
        <v>1</v>
      </c>
      <c r="E227" t="n">
        <v>1</v>
      </c>
      <c r="F227" t="inlineStr">
        <is>
          <t>ENFASIS</t>
        </is>
      </c>
      <c r="G227" t="inlineStr"/>
      <c r="H227" t="inlineStr">
        <is>
          <t>CSI</t>
        </is>
      </c>
      <c r="I227" t="inlineStr">
        <is>
          <t>CS101</t>
        </is>
      </c>
      <c r="J227" t="inlineStr">
        <is>
          <t>PAREJA: comparten el énfasis y alternan por semana</t>
        </is>
      </c>
      <c r="K227" t="inlineStr">
        <is>
          <t>Lozano Torres Amanda Inés (ETR)</t>
        </is>
      </c>
      <c r="L227" t="inlineStr">
        <is>
          <t>ÉNFASIS CS 1-1</t>
        </is>
      </c>
      <c r="M227" t="inlineStr">
        <is>
          <t>PAREJA: comparten el énfasis y alternan por semana · Con: Lozano Torres Amanda Inés (ETR)</t>
        </is>
      </c>
      <c r="N227">
        <f>C227&amp;"|"&amp;D227</f>
        <v/>
      </c>
      <c r="O227">
        <f>COUNTIF($N$2:N227,N227)</f>
        <v/>
      </c>
      <c r="P227">
        <f>N227&amp;"|"&amp;O227</f>
        <v/>
      </c>
      <c r="Q227">
        <f>C227&amp;"|"&amp;D227&amp;"|"&amp;A227</f>
        <v/>
      </c>
    </row>
    <row r="228">
      <c r="A228" t="n">
        <v>26</v>
      </c>
      <c r="B228" t="inlineStr">
        <is>
          <t>Lozano Torres Amanda Inés</t>
        </is>
      </c>
      <c r="C228" t="inlineStr">
        <is>
          <t>MARTES</t>
        </is>
      </c>
      <c r="D228" t="n">
        <v>1</v>
      </c>
      <c r="E228" t="n">
        <v>1</v>
      </c>
      <c r="F228" t="inlineStr">
        <is>
          <t>ENFASIS</t>
        </is>
      </c>
      <c r="G228" t="inlineStr"/>
      <c r="H228" t="inlineStr">
        <is>
          <t>ETR</t>
        </is>
      </c>
      <c r="I228" t="inlineStr">
        <is>
          <t>CS101</t>
        </is>
      </c>
      <c r="J228" t="inlineStr">
        <is>
          <t>PAREJA: comparten el énfasis y alternan por semana</t>
        </is>
      </c>
      <c r="K228" t="inlineStr">
        <is>
          <t>García Gobea Saydi Magali (CSI)</t>
        </is>
      </c>
      <c r="L228" t="inlineStr">
        <is>
          <t>ÉNFASIS CS 1-1</t>
        </is>
      </c>
      <c r="M228" t="inlineStr">
        <is>
          <t>PAREJA: comparten el énfasis y alternan por semana · Con: García Gobea Saydi Magali (CSI)</t>
        </is>
      </c>
      <c r="N228">
        <f>C228&amp;"|"&amp;D228</f>
        <v/>
      </c>
      <c r="O228">
        <f>COUNTIF($N$2:N228,N228)</f>
        <v/>
      </c>
      <c r="P228">
        <f>N228&amp;"|"&amp;O228</f>
        <v/>
      </c>
      <c r="Q228">
        <f>C228&amp;"|"&amp;D228&amp;"|"&amp;A228</f>
        <v/>
      </c>
    </row>
    <row r="229">
      <c r="A229" t="n">
        <v>1</v>
      </c>
      <c r="B229" t="inlineStr">
        <is>
          <t>Aguirre Riascos Jorge Andrés</t>
        </is>
      </c>
      <c r="C229" t="inlineStr">
        <is>
          <t>MARTES</t>
        </is>
      </c>
      <c r="D229" t="n">
        <v>1</v>
      </c>
      <c r="E229" t="n">
        <v>1</v>
      </c>
      <c r="F229" t="inlineStr">
        <is>
          <t>ENFASIS</t>
        </is>
      </c>
      <c r="G229" t="inlineStr"/>
      <c r="H229" t="inlineStr">
        <is>
          <t>TEI</t>
        </is>
      </c>
      <c r="I229" t="inlineStr">
        <is>
          <t>CS102</t>
        </is>
      </c>
      <c r="J229" t="inlineStr">
        <is>
          <t>PAREJA: comparten el énfasis y alternan por semana</t>
        </is>
      </c>
      <c r="K229" t="inlineStr">
        <is>
          <t>Vásquez Valencia Segundo Leoncio (MAT)</t>
        </is>
      </c>
      <c r="L229" t="inlineStr">
        <is>
          <t>ÉNFASIS CS 1-2</t>
        </is>
      </c>
      <c r="M229" t="inlineStr">
        <is>
          <t>PAREJA: comparten el énfasis y alternan por semana · Con: Vásquez Valencia Segundo Leoncio (MAT)</t>
        </is>
      </c>
      <c r="N229">
        <f>C229&amp;"|"&amp;D229</f>
        <v/>
      </c>
      <c r="O229">
        <f>COUNTIF($N$2:N229,N229)</f>
        <v/>
      </c>
      <c r="P229">
        <f>N229&amp;"|"&amp;O229</f>
        <v/>
      </c>
      <c r="Q229">
        <f>C229&amp;"|"&amp;D229&amp;"|"&amp;A229</f>
        <v/>
      </c>
    </row>
    <row r="230">
      <c r="A230" t="n">
        <v>52</v>
      </c>
      <c r="B230" t="inlineStr">
        <is>
          <t>Vásquez Valencia Segundo Leoncio</t>
        </is>
      </c>
      <c r="C230" t="inlineStr">
        <is>
          <t>MARTES</t>
        </is>
      </c>
      <c r="D230" t="n">
        <v>1</v>
      </c>
      <c r="E230" t="n">
        <v>1</v>
      </c>
      <c r="F230" t="inlineStr">
        <is>
          <t>ENFASIS</t>
        </is>
      </c>
      <c r="G230" t="inlineStr"/>
      <c r="H230" t="inlineStr">
        <is>
          <t>MAT</t>
        </is>
      </c>
      <c r="I230" t="inlineStr">
        <is>
          <t>CS102</t>
        </is>
      </c>
      <c r="J230" t="inlineStr">
        <is>
          <t>PAREJA: comparten el énfasis y alternan por semana</t>
        </is>
      </c>
      <c r="K230" t="inlineStr">
        <is>
          <t>Aguirre Riascos Jorge Andrés (TEI)</t>
        </is>
      </c>
      <c r="L230" t="inlineStr">
        <is>
          <t>ÉNFASIS CS 1-2</t>
        </is>
      </c>
      <c r="M230" t="inlineStr">
        <is>
          <t>PAREJA: comparten el énfasis y alternan por semana · Con: Aguirre Riascos Jorge Andrés (TEI)</t>
        </is>
      </c>
      <c r="N230">
        <f>C230&amp;"|"&amp;D230</f>
        <v/>
      </c>
      <c r="O230">
        <f>COUNTIF($N$2:N230,N230)</f>
        <v/>
      </c>
      <c r="P230">
        <f>N230&amp;"|"&amp;O230</f>
        <v/>
      </c>
      <c r="Q230">
        <f>C230&amp;"|"&amp;D230&amp;"|"&amp;A230</f>
        <v/>
      </c>
    </row>
    <row r="231">
      <c r="A231" t="n">
        <v>42</v>
      </c>
      <c r="B231" t="inlineStr">
        <is>
          <t>Quiñones Cabezas Marcos Vidal</t>
        </is>
      </c>
      <c r="C231" t="inlineStr">
        <is>
          <t>MARTES</t>
        </is>
      </c>
      <c r="D231" t="n">
        <v>2</v>
      </c>
      <c r="E231" t="n">
        <v>1</v>
      </c>
      <c r="F231" t="inlineStr">
        <is>
          <t>CLASE</t>
        </is>
      </c>
      <c r="G231" t="inlineStr">
        <is>
          <t>0601</t>
        </is>
      </c>
      <c r="H231" t="inlineStr">
        <is>
          <t>MAT</t>
        </is>
      </c>
      <c r="I231" t="inlineStr"/>
      <c r="J231" t="inlineStr"/>
      <c r="K231" t="inlineStr"/>
      <c r="L231" t="inlineStr">
        <is>
          <t>6°-1</t>
        </is>
      </c>
      <c r="M231" t="inlineStr"/>
      <c r="N231">
        <f>C231&amp;"|"&amp;D231</f>
        <v/>
      </c>
      <c r="O231">
        <f>COUNTIF($N$2:N231,N231)</f>
        <v/>
      </c>
      <c r="P231">
        <f>N231&amp;"|"&amp;O231</f>
        <v/>
      </c>
      <c r="Q231">
        <f>C231&amp;"|"&amp;D231&amp;"|"&amp;A231</f>
        <v/>
      </c>
    </row>
    <row r="232">
      <c r="A232" t="n">
        <v>16</v>
      </c>
      <c r="B232" t="inlineStr">
        <is>
          <t>Cuero Rincón Hernando Jesús</t>
        </is>
      </c>
      <c r="C232" t="inlineStr">
        <is>
          <t>MARTES</t>
        </is>
      </c>
      <c r="D232" t="n">
        <v>2</v>
      </c>
      <c r="E232" t="n">
        <v>1</v>
      </c>
      <c r="F232" t="inlineStr">
        <is>
          <t>CLASE</t>
        </is>
      </c>
      <c r="G232" t="inlineStr">
        <is>
          <t>0602</t>
        </is>
      </c>
      <c r="H232" t="inlineStr">
        <is>
          <t>TEI</t>
        </is>
      </c>
      <c r="I232" t="inlineStr"/>
      <c r="J232" t="inlineStr"/>
      <c r="K232" t="inlineStr"/>
      <c r="L232" t="inlineStr">
        <is>
          <t>6°-2</t>
        </is>
      </c>
      <c r="M232" t="inlineStr"/>
      <c r="N232">
        <f>C232&amp;"|"&amp;D232</f>
        <v/>
      </c>
      <c r="O232">
        <f>COUNTIF($N$2:N232,N232)</f>
        <v/>
      </c>
      <c r="P232">
        <f>N232&amp;"|"&amp;O232</f>
        <v/>
      </c>
      <c r="Q232">
        <f>C232&amp;"|"&amp;D232&amp;"|"&amp;A232</f>
        <v/>
      </c>
    </row>
    <row r="233">
      <c r="A233" t="n">
        <v>4</v>
      </c>
      <c r="B233" t="inlineStr">
        <is>
          <t>Arizala Castro Roberto Carlos</t>
        </is>
      </c>
      <c r="C233" t="inlineStr">
        <is>
          <t>MARTES</t>
        </is>
      </c>
      <c r="D233" t="n">
        <v>2</v>
      </c>
      <c r="E233" t="n">
        <v>1</v>
      </c>
      <c r="F233" t="inlineStr">
        <is>
          <t>CLASE</t>
        </is>
      </c>
      <c r="G233" t="inlineStr">
        <is>
          <t>0704</t>
        </is>
      </c>
      <c r="H233" t="inlineStr">
        <is>
          <t>ERD</t>
        </is>
      </c>
      <c r="I233" t="inlineStr"/>
      <c r="J233" t="inlineStr"/>
      <c r="K233" t="inlineStr"/>
      <c r="L233" t="inlineStr">
        <is>
          <t>7°-4</t>
        </is>
      </c>
      <c r="M233" t="inlineStr"/>
      <c r="N233">
        <f>C233&amp;"|"&amp;D233</f>
        <v/>
      </c>
      <c r="O233">
        <f>COUNTIF($N$2:N233,N233)</f>
        <v/>
      </c>
      <c r="P233">
        <f>N233&amp;"|"&amp;O233</f>
        <v/>
      </c>
      <c r="Q233">
        <f>C233&amp;"|"&amp;D233&amp;"|"&amp;A233</f>
        <v/>
      </c>
    </row>
    <row r="234">
      <c r="A234" t="n">
        <v>51</v>
      </c>
      <c r="B234" t="inlineStr">
        <is>
          <t>Valverde Montaño María Teresa</t>
        </is>
      </c>
      <c r="C234" t="inlineStr">
        <is>
          <t>MARTES</t>
        </is>
      </c>
      <c r="D234" t="n">
        <v>2</v>
      </c>
      <c r="E234" t="n">
        <v>1</v>
      </c>
      <c r="F234" t="inlineStr">
        <is>
          <t>CLASE</t>
        </is>
      </c>
      <c r="G234" t="inlineStr">
        <is>
          <t>0801</t>
        </is>
      </c>
      <c r="H234" t="inlineStr">
        <is>
          <t>CAS</t>
        </is>
      </c>
      <c r="I234" t="inlineStr"/>
      <c r="J234" t="inlineStr"/>
      <c r="K234" t="inlineStr"/>
      <c r="L234" t="inlineStr">
        <is>
          <t>8°-1</t>
        </is>
      </c>
      <c r="M234" t="inlineStr"/>
      <c r="N234">
        <f>C234&amp;"|"&amp;D234</f>
        <v/>
      </c>
      <c r="O234">
        <f>COUNTIF($N$2:N234,N234)</f>
        <v/>
      </c>
      <c r="P234">
        <f>N234&amp;"|"&amp;O234</f>
        <v/>
      </c>
      <c r="Q234">
        <f>C234&amp;"|"&amp;D234&amp;"|"&amp;A234</f>
        <v/>
      </c>
    </row>
    <row r="235">
      <c r="A235" t="n">
        <v>38</v>
      </c>
      <c r="B235" t="inlineStr">
        <is>
          <t>Preciado Torres Oleisa</t>
        </is>
      </c>
      <c r="C235" t="inlineStr">
        <is>
          <t>MARTES</t>
        </is>
      </c>
      <c r="D235" t="n">
        <v>2</v>
      </c>
      <c r="E235" t="n">
        <v>1</v>
      </c>
      <c r="F235" t="inlineStr">
        <is>
          <t>CLASE</t>
        </is>
      </c>
      <c r="G235" t="inlineStr">
        <is>
          <t>0802</t>
        </is>
      </c>
      <c r="H235" t="inlineStr">
        <is>
          <t>MAT</t>
        </is>
      </c>
      <c r="I235" t="inlineStr"/>
      <c r="J235" t="inlineStr"/>
      <c r="K235" t="inlineStr"/>
      <c r="L235" t="inlineStr">
        <is>
          <t>8°-2</t>
        </is>
      </c>
      <c r="M235" t="inlineStr"/>
      <c r="N235">
        <f>C235&amp;"|"&amp;D235</f>
        <v/>
      </c>
      <c r="O235">
        <f>COUNTIF($N$2:N235,N235)</f>
        <v/>
      </c>
      <c r="P235">
        <f>N235&amp;"|"&amp;O235</f>
        <v/>
      </c>
      <c r="Q235">
        <f>C235&amp;"|"&amp;D235&amp;"|"&amp;A235</f>
        <v/>
      </c>
    </row>
    <row r="236">
      <c r="A236" t="n">
        <v>49</v>
      </c>
      <c r="B236" t="inlineStr">
        <is>
          <t>Valencia Marínez Saidy Eufemia</t>
        </is>
      </c>
      <c r="C236" t="inlineStr">
        <is>
          <t>MARTES</t>
        </is>
      </c>
      <c r="D236" t="n">
        <v>2</v>
      </c>
      <c r="E236" t="n">
        <v>1</v>
      </c>
      <c r="F236" t="inlineStr">
        <is>
          <t>CLASE</t>
        </is>
      </c>
      <c r="G236" t="inlineStr">
        <is>
          <t>0901</t>
        </is>
      </c>
      <c r="H236" t="inlineStr">
        <is>
          <t>ART</t>
        </is>
      </c>
      <c r="I236" t="inlineStr"/>
      <c r="J236" t="inlineStr"/>
      <c r="K236" t="inlineStr"/>
      <c r="L236" t="inlineStr">
        <is>
          <t>9°-1</t>
        </is>
      </c>
      <c r="M236" t="inlineStr"/>
      <c r="N236">
        <f>C236&amp;"|"&amp;D236</f>
        <v/>
      </c>
      <c r="O236">
        <f>COUNTIF($N$2:N236,N236)</f>
        <v/>
      </c>
      <c r="P236">
        <f>N236&amp;"|"&amp;O236</f>
        <v/>
      </c>
      <c r="Q236">
        <f>C236&amp;"|"&amp;D236&amp;"|"&amp;A236</f>
        <v/>
      </c>
    </row>
    <row r="237">
      <c r="A237" t="n">
        <v>25</v>
      </c>
      <c r="B237" t="inlineStr">
        <is>
          <t>Lemos Guancha Miriam</t>
        </is>
      </c>
      <c r="C237" t="inlineStr">
        <is>
          <t>MARTES</t>
        </is>
      </c>
      <c r="D237" t="n">
        <v>2</v>
      </c>
      <c r="E237" t="n">
        <v>1</v>
      </c>
      <c r="F237" t="inlineStr">
        <is>
          <t>CLASE</t>
        </is>
      </c>
      <c r="G237" t="inlineStr">
        <is>
          <t>1001</t>
        </is>
      </c>
      <c r="H237" t="inlineStr">
        <is>
          <t>CNA</t>
        </is>
      </c>
      <c r="I237" t="inlineStr"/>
      <c r="J237" t="inlineStr"/>
      <c r="K237" t="inlineStr"/>
      <c r="L237" t="inlineStr">
        <is>
          <t>10°-1</t>
        </is>
      </c>
      <c r="M237" t="inlineStr"/>
      <c r="N237">
        <f>C237&amp;"|"&amp;D237</f>
        <v/>
      </c>
      <c r="O237">
        <f>COUNTIF($N$2:N237,N237)</f>
        <v/>
      </c>
      <c r="P237">
        <f>N237&amp;"|"&amp;O237</f>
        <v/>
      </c>
      <c r="Q237">
        <f>C237&amp;"|"&amp;D237&amp;"|"&amp;A237</f>
        <v/>
      </c>
    </row>
    <row r="238">
      <c r="A238" t="n">
        <v>30</v>
      </c>
      <c r="B238" t="inlineStr">
        <is>
          <t>Montaño Anchico Favio Héctor</t>
        </is>
      </c>
      <c r="C238" t="inlineStr">
        <is>
          <t>MARTES</t>
        </is>
      </c>
      <c r="D238" t="n">
        <v>2</v>
      </c>
      <c r="E238" t="n">
        <v>1</v>
      </c>
      <c r="F238" t="inlineStr">
        <is>
          <t>CLASE</t>
        </is>
      </c>
      <c r="G238" t="inlineStr">
        <is>
          <t>1002</t>
        </is>
      </c>
      <c r="H238" t="inlineStr">
        <is>
          <t>CAS</t>
        </is>
      </c>
      <c r="I238" t="inlineStr"/>
      <c r="J238" t="inlineStr"/>
      <c r="K238" t="inlineStr"/>
      <c r="L238" t="inlineStr">
        <is>
          <t>10°-2</t>
        </is>
      </c>
      <c r="M238" t="inlineStr"/>
      <c r="N238">
        <f>C238&amp;"|"&amp;D238</f>
        <v/>
      </c>
      <c r="O238">
        <f>COUNTIF($N$2:N238,N238)</f>
        <v/>
      </c>
      <c r="P238">
        <f>N238&amp;"|"&amp;O238</f>
        <v/>
      </c>
      <c r="Q238">
        <f>C238&amp;"|"&amp;D238&amp;"|"&amp;A238</f>
        <v/>
      </c>
    </row>
    <row r="239">
      <c r="A239" t="n">
        <v>43</v>
      </c>
      <c r="B239" t="inlineStr">
        <is>
          <t>Ramírez Guerra Jimmy Eduardo</t>
        </is>
      </c>
      <c r="C239" t="inlineStr">
        <is>
          <t>MARTES</t>
        </is>
      </c>
      <c r="D239" t="n">
        <v>2</v>
      </c>
      <c r="E239" t="n">
        <v>1</v>
      </c>
      <c r="F239" t="inlineStr">
        <is>
          <t>CLASE</t>
        </is>
      </c>
      <c r="G239" t="inlineStr">
        <is>
          <t>1101</t>
        </is>
      </c>
      <c r="H239" t="inlineStr">
        <is>
          <t>ERD</t>
        </is>
      </c>
      <c r="I239" t="inlineStr"/>
      <c r="J239" t="inlineStr"/>
      <c r="K239" t="inlineStr"/>
      <c r="L239" t="inlineStr">
        <is>
          <t>11°-1</t>
        </is>
      </c>
      <c r="M239" t="inlineStr"/>
      <c r="N239">
        <f>C239&amp;"|"&amp;D239</f>
        <v/>
      </c>
      <c r="O239">
        <f>COUNTIF($N$2:N239,N239)</f>
        <v/>
      </c>
      <c r="P239">
        <f>N239&amp;"|"&amp;O239</f>
        <v/>
      </c>
      <c r="Q239">
        <f>C239&amp;"|"&amp;D239&amp;"|"&amp;A239</f>
        <v/>
      </c>
    </row>
    <row r="240">
      <c r="A240" t="n">
        <v>35</v>
      </c>
      <c r="B240" t="inlineStr">
        <is>
          <t>Ortiz Araujo Adiela Carlota</t>
        </is>
      </c>
      <c r="C240" t="inlineStr">
        <is>
          <t>MARTES</t>
        </is>
      </c>
      <c r="D240" t="n">
        <v>2</v>
      </c>
      <c r="E240" t="n">
        <v>1</v>
      </c>
      <c r="F240" t="inlineStr">
        <is>
          <t>CLASE</t>
        </is>
      </c>
      <c r="G240" t="inlineStr">
        <is>
          <t>CS201</t>
        </is>
      </c>
      <c r="H240" t="inlineStr">
        <is>
          <t>CSI</t>
        </is>
      </c>
      <c r="I240" t="inlineStr"/>
      <c r="J240" t="inlineStr">
        <is>
          <t>Sociales / Inglés (alternan cada semana)</t>
        </is>
      </c>
      <c r="K240" t="inlineStr"/>
      <c r="L240" t="inlineStr">
        <is>
          <t>CS 2-1</t>
        </is>
      </c>
      <c r="M240" t="inlineStr">
        <is>
          <t>Sociales / Inglés (alternan cada semana)</t>
        </is>
      </c>
      <c r="N240">
        <f>C240&amp;"|"&amp;D240</f>
        <v/>
      </c>
      <c r="O240">
        <f>COUNTIF($N$2:N240,N240)</f>
        <v/>
      </c>
      <c r="P240">
        <f>N240&amp;"|"&amp;O240</f>
        <v/>
      </c>
      <c r="Q240">
        <f>C240&amp;"|"&amp;D240&amp;"|"&amp;A240</f>
        <v/>
      </c>
    </row>
    <row r="241">
      <c r="A241" t="n">
        <v>19</v>
      </c>
      <c r="B241" t="inlineStr">
        <is>
          <t>Fernández Vélez Alfredo Enrique</t>
        </is>
      </c>
      <c r="C241" t="inlineStr">
        <is>
          <t>MARTES</t>
        </is>
      </c>
      <c r="D241" t="n">
        <v>2</v>
      </c>
      <c r="E241" t="n">
        <v>1</v>
      </c>
      <c r="F241" t="inlineStr">
        <is>
          <t>CLASE</t>
        </is>
      </c>
      <c r="G241" t="inlineStr">
        <is>
          <t>CS202</t>
        </is>
      </c>
      <c r="H241" t="inlineStr">
        <is>
          <t>TEI</t>
        </is>
      </c>
      <c r="I241" t="inlineStr"/>
      <c r="J241" t="inlineStr"/>
      <c r="K241" t="inlineStr"/>
      <c r="L241" t="inlineStr">
        <is>
          <t>CS 2-2</t>
        </is>
      </c>
      <c r="M241" t="inlineStr"/>
      <c r="N241">
        <f>C241&amp;"|"&amp;D241</f>
        <v/>
      </c>
      <c r="O241">
        <f>COUNTIF($N$2:N241,N241)</f>
        <v/>
      </c>
      <c r="P241">
        <f>N241&amp;"|"&amp;O241</f>
        <v/>
      </c>
      <c r="Q241">
        <f>C241&amp;"|"&amp;D241&amp;"|"&amp;A241</f>
        <v/>
      </c>
    </row>
    <row r="242">
      <c r="A242" t="n">
        <v>10</v>
      </c>
      <c r="B242" t="inlineStr">
        <is>
          <t>Castillo Cuero Daira Eneida</t>
        </is>
      </c>
      <c r="C242" t="inlineStr">
        <is>
          <t>MARTES</t>
        </is>
      </c>
      <c r="D242" t="n">
        <v>2</v>
      </c>
      <c r="E242" t="n">
        <v>1</v>
      </c>
      <c r="F242" t="inlineStr">
        <is>
          <t>ENFASIS</t>
        </is>
      </c>
      <c r="G242" t="inlineStr"/>
      <c r="H242" t="inlineStr">
        <is>
          <t>CAS</t>
        </is>
      </c>
      <c r="I242" t="inlineStr">
        <is>
          <t>0701</t>
        </is>
      </c>
      <c r="J242" t="inlineStr">
        <is>
          <t>PAREJA: comparten el énfasis y alternan por semana</t>
        </is>
      </c>
      <c r="K242" t="inlineStr">
        <is>
          <t>Puches Ana Milena (ART)</t>
        </is>
      </c>
      <c r="L242" t="inlineStr">
        <is>
          <t>ÉNFASIS 7°-1</t>
        </is>
      </c>
      <c r="M242" t="inlineStr">
        <is>
          <t>PAREJA: comparten el énfasis y alternan por semana · Con: Puches Ana Milena (ART)</t>
        </is>
      </c>
      <c r="N242">
        <f>C242&amp;"|"&amp;D242</f>
        <v/>
      </c>
      <c r="O242">
        <f>COUNTIF($N$2:N242,N242)</f>
        <v/>
      </c>
      <c r="P242">
        <f>N242&amp;"|"&amp;O242</f>
        <v/>
      </c>
      <c r="Q242">
        <f>C242&amp;"|"&amp;D242&amp;"|"&amp;A242</f>
        <v/>
      </c>
    </row>
    <row r="243">
      <c r="A243" t="n">
        <v>39</v>
      </c>
      <c r="B243" t="inlineStr">
        <is>
          <t>Puches Ana Milena</t>
        </is>
      </c>
      <c r="C243" t="inlineStr">
        <is>
          <t>MARTES</t>
        </is>
      </c>
      <c r="D243" t="n">
        <v>2</v>
      </c>
      <c r="E243" t="n">
        <v>1</v>
      </c>
      <c r="F243" t="inlineStr">
        <is>
          <t>ENFASIS</t>
        </is>
      </c>
      <c r="G243" t="inlineStr"/>
      <c r="H243" t="inlineStr">
        <is>
          <t>ART</t>
        </is>
      </c>
      <c r="I243" t="inlineStr">
        <is>
          <t>0701</t>
        </is>
      </c>
      <c r="J243" t="inlineStr">
        <is>
          <t>PAREJA: comparten el énfasis y alternan por semana</t>
        </is>
      </c>
      <c r="K243" t="inlineStr">
        <is>
          <t>Castillo Cuero Daira Eneida (CAS)</t>
        </is>
      </c>
      <c r="L243" t="inlineStr">
        <is>
          <t>ÉNFASIS 7°-1</t>
        </is>
      </c>
      <c r="M243" t="inlineStr">
        <is>
          <t>PAREJA: comparten el énfasis y alternan por semana · Con: Castillo Cuero Daira Eneida (CAS)</t>
        </is>
      </c>
      <c r="N243">
        <f>C243&amp;"|"&amp;D243</f>
        <v/>
      </c>
      <c r="O243">
        <f>COUNTIF($N$2:N243,N243)</f>
        <v/>
      </c>
      <c r="P243">
        <f>N243&amp;"|"&amp;O243</f>
        <v/>
      </c>
      <c r="Q243">
        <f>C243&amp;"|"&amp;D243&amp;"|"&amp;A243</f>
        <v/>
      </c>
    </row>
    <row r="244">
      <c r="A244" t="n">
        <v>12</v>
      </c>
      <c r="B244" t="inlineStr">
        <is>
          <t>Chillambo Quiñones María Rocío</t>
        </is>
      </c>
      <c r="C244" t="inlineStr">
        <is>
          <t>MARTES</t>
        </is>
      </c>
      <c r="D244" t="n">
        <v>2</v>
      </c>
      <c r="E244" t="n">
        <v>1</v>
      </c>
      <c r="F244" t="inlineStr">
        <is>
          <t>ENFASIS</t>
        </is>
      </c>
      <c r="G244" t="inlineStr"/>
      <c r="H244" t="inlineStr">
        <is>
          <t>CNA</t>
        </is>
      </c>
      <c r="I244" t="inlineStr">
        <is>
          <t>0702</t>
        </is>
      </c>
      <c r="J244" t="inlineStr">
        <is>
          <t>PAREJA: comparten el énfasis y alternan por semana</t>
        </is>
      </c>
      <c r="K244" t="inlineStr">
        <is>
          <t>Cuero Bamba Berte Levi (ERD)</t>
        </is>
      </c>
      <c r="L244" t="inlineStr">
        <is>
          <t>ÉNFASIS 7°-2</t>
        </is>
      </c>
      <c r="M244" t="inlineStr">
        <is>
          <t>PAREJA: comparten el énfasis y alternan por semana · Con: Cuero Bamba Berte Levi (ERD)</t>
        </is>
      </c>
      <c r="N244">
        <f>C244&amp;"|"&amp;D244</f>
        <v/>
      </c>
      <c r="O244">
        <f>COUNTIF($N$2:N244,N244)</f>
        <v/>
      </c>
      <c r="P244">
        <f>N244&amp;"|"&amp;O244</f>
        <v/>
      </c>
      <c r="Q244">
        <f>C244&amp;"|"&amp;D244&amp;"|"&amp;A244</f>
        <v/>
      </c>
    </row>
    <row r="245">
      <c r="A245" t="n">
        <v>15</v>
      </c>
      <c r="B245" t="inlineStr">
        <is>
          <t>Cuero Bamba Berte Levi</t>
        </is>
      </c>
      <c r="C245" t="inlineStr">
        <is>
          <t>MARTES</t>
        </is>
      </c>
      <c r="D245" t="n">
        <v>2</v>
      </c>
      <c r="E245" t="n">
        <v>1</v>
      </c>
      <c r="F245" t="inlineStr">
        <is>
          <t>ENFASIS</t>
        </is>
      </c>
      <c r="G245" t="inlineStr"/>
      <c r="H245" t="inlineStr">
        <is>
          <t>ERD</t>
        </is>
      </c>
      <c r="I245" t="inlineStr">
        <is>
          <t>0702</t>
        </is>
      </c>
      <c r="J245" t="inlineStr">
        <is>
          <t>PAREJA: comparten el énfasis y alternan por semana</t>
        </is>
      </c>
      <c r="K245" t="inlineStr">
        <is>
          <t>Chillambo Quiñones María Rocío (CNA)</t>
        </is>
      </c>
      <c r="L245" t="inlineStr">
        <is>
          <t>ÉNFASIS 7°-2</t>
        </is>
      </c>
      <c r="M245" t="inlineStr">
        <is>
          <t>PAREJA: comparten el énfasis y alternan por semana · Con: Chillambo Quiñones María Rocío (CNA)</t>
        </is>
      </c>
      <c r="N245">
        <f>C245&amp;"|"&amp;D245</f>
        <v/>
      </c>
      <c r="O245">
        <f>COUNTIF($N$2:N245,N245)</f>
        <v/>
      </c>
      <c r="P245">
        <f>N245&amp;"|"&amp;O245</f>
        <v/>
      </c>
      <c r="Q245">
        <f>C245&amp;"|"&amp;D245&amp;"|"&amp;A245</f>
        <v/>
      </c>
    </row>
    <row r="246">
      <c r="A246" t="n">
        <v>8</v>
      </c>
      <c r="B246" t="inlineStr">
        <is>
          <t>Casanova Quiñones Yoli del Carmen</t>
        </is>
      </c>
      <c r="C246" t="inlineStr">
        <is>
          <t>MARTES</t>
        </is>
      </c>
      <c r="D246" t="n">
        <v>2</v>
      </c>
      <c r="E246" t="n">
        <v>1</v>
      </c>
      <c r="F246" t="inlineStr">
        <is>
          <t>ENFASIS</t>
        </is>
      </c>
      <c r="G246" t="inlineStr"/>
      <c r="H246" t="inlineStr">
        <is>
          <t>ETR</t>
        </is>
      </c>
      <c r="I246" t="inlineStr">
        <is>
          <t>0703</t>
        </is>
      </c>
      <c r="J246" t="inlineStr">
        <is>
          <t>PAREJA: comparten el énfasis y alternan por semana</t>
        </is>
      </c>
      <c r="K246" t="inlineStr">
        <is>
          <t>Quintero Ramírez María del Carmen (CSI)</t>
        </is>
      </c>
      <c r="L246" t="inlineStr">
        <is>
          <t>ÉNFASIS 7°-3</t>
        </is>
      </c>
      <c r="M246" t="inlineStr">
        <is>
          <t>PAREJA: comparten el énfasis y alternan por semana · Con: Quintero Ramírez María del Carmen (CSI)</t>
        </is>
      </c>
      <c r="N246">
        <f>C246&amp;"|"&amp;D246</f>
        <v/>
      </c>
      <c r="O246">
        <f>COUNTIF($N$2:N246,N246)</f>
        <v/>
      </c>
      <c r="P246">
        <f>N246&amp;"|"&amp;O246</f>
        <v/>
      </c>
      <c r="Q246">
        <f>C246&amp;"|"&amp;D246&amp;"|"&amp;A246</f>
        <v/>
      </c>
    </row>
    <row r="247">
      <c r="A247" t="n">
        <v>41</v>
      </c>
      <c r="B247" t="inlineStr">
        <is>
          <t>Quintero Ramírez María del Carmen</t>
        </is>
      </c>
      <c r="C247" t="inlineStr">
        <is>
          <t>MARTES</t>
        </is>
      </c>
      <c r="D247" t="n">
        <v>2</v>
      </c>
      <c r="E247" t="n">
        <v>1</v>
      </c>
      <c r="F247" t="inlineStr">
        <is>
          <t>ENFASIS</t>
        </is>
      </c>
      <c r="G247" t="inlineStr"/>
      <c r="H247" t="inlineStr">
        <is>
          <t>CSI</t>
        </is>
      </c>
      <c r="I247" t="inlineStr">
        <is>
          <t>0703</t>
        </is>
      </c>
      <c r="J247" t="inlineStr">
        <is>
          <t>PAREJA: comparten el énfasis y alternan por semana</t>
        </is>
      </c>
      <c r="K247" t="inlineStr">
        <is>
          <t>Casanova Quiñones Yoli del Carmen (ETR)</t>
        </is>
      </c>
      <c r="L247" t="inlineStr">
        <is>
          <t>ÉNFASIS 7°-3</t>
        </is>
      </c>
      <c r="M247" t="inlineStr">
        <is>
          <t>PAREJA: comparten el énfasis y alternan por semana · Con: Casanova Quiñones Yoli del Carmen (ETR)</t>
        </is>
      </c>
      <c r="N247">
        <f>C247&amp;"|"&amp;D247</f>
        <v/>
      </c>
      <c r="O247">
        <f>COUNTIF($N$2:N247,N247)</f>
        <v/>
      </c>
      <c r="P247">
        <f>N247&amp;"|"&amp;O247</f>
        <v/>
      </c>
      <c r="Q247">
        <f>C247&amp;"|"&amp;D247&amp;"|"&amp;A247</f>
        <v/>
      </c>
    </row>
    <row r="248">
      <c r="A248" t="n">
        <v>5</v>
      </c>
      <c r="B248" t="inlineStr">
        <is>
          <t>Bastidas Valencia Zeneida Judith</t>
        </is>
      </c>
      <c r="C248" t="inlineStr">
        <is>
          <t>MARTES</t>
        </is>
      </c>
      <c r="D248" t="n">
        <v>2</v>
      </c>
      <c r="E248" t="n">
        <v>1</v>
      </c>
      <c r="F248" t="inlineStr">
        <is>
          <t>ENFASIS</t>
        </is>
      </c>
      <c r="G248" t="inlineStr"/>
      <c r="H248" t="inlineStr">
        <is>
          <t>MAT</t>
        </is>
      </c>
      <c r="I248" t="inlineStr">
        <is>
          <t>0902</t>
        </is>
      </c>
      <c r="J248" t="inlineStr">
        <is>
          <t>EQUIPO DE 4: cada docente atiende un grupo de estudiantes en su área</t>
        </is>
      </c>
      <c r="K248" t="inlineStr">
        <is>
          <t>Betancourth Ocampo Yohana Patricia (CSI); Estacio Estupiñán Rosario (ETR); Mindineros Satizábal John Jáver (TEI)</t>
        </is>
      </c>
      <c r="L248" t="inlineStr">
        <is>
          <t>ÉNFASIS 9°-2</t>
        </is>
      </c>
      <c r="M248" t="inlineStr">
        <is>
          <t>EQUIPO DE 4: cada docente atiende un grupo de estudiantes en su área · Con: Betancourth Ocampo Yohana Patricia (CSI); Estacio Estupiñán Rosario (ETR); Mindineros Satizábal John Jáver (TEI)</t>
        </is>
      </c>
      <c r="N248">
        <f>C248&amp;"|"&amp;D248</f>
        <v/>
      </c>
      <c r="O248">
        <f>COUNTIF($N$2:N248,N248)</f>
        <v/>
      </c>
      <c r="P248">
        <f>N248&amp;"|"&amp;O248</f>
        <v/>
      </c>
      <c r="Q248">
        <f>C248&amp;"|"&amp;D248&amp;"|"&amp;A248</f>
        <v/>
      </c>
    </row>
    <row r="249">
      <c r="A249" t="n">
        <v>6</v>
      </c>
      <c r="B249" t="inlineStr">
        <is>
          <t>Betancourth Ocampo Yohana Patricia</t>
        </is>
      </c>
      <c r="C249" t="inlineStr">
        <is>
          <t>MARTES</t>
        </is>
      </c>
      <c r="D249" t="n">
        <v>2</v>
      </c>
      <c r="E249" t="n">
        <v>1</v>
      </c>
      <c r="F249" t="inlineStr">
        <is>
          <t>ENFASIS</t>
        </is>
      </c>
      <c r="G249" t="inlineStr"/>
      <c r="H249" t="inlineStr">
        <is>
          <t>CSI</t>
        </is>
      </c>
      <c r="I249" t="inlineStr">
        <is>
          <t>0902</t>
        </is>
      </c>
      <c r="J249" t="inlineStr">
        <is>
          <t>EQUIPO DE 4: cada docente atiende un grupo de estudiantes en su área</t>
        </is>
      </c>
      <c r="K249" t="inlineStr">
        <is>
          <t>Estacio Estupiñán Rosario (ETR); Bastidas Valencia Zeneida Judith (MAT); Mindineros Satizábal John Jáver (TEI)</t>
        </is>
      </c>
      <c r="L249" t="inlineStr">
        <is>
          <t>ÉNFASIS 9°-2</t>
        </is>
      </c>
      <c r="M249" t="inlineStr">
        <is>
          <t>EQUIPO DE 4: cada docente atiende un grupo de estudiantes en su área · Con: Estacio Estupiñán Rosario (ETR); Bastidas Valencia Zeneida Judith (MAT); Mindineros Satizábal John Jáver (TEI)</t>
        </is>
      </c>
      <c r="N249">
        <f>C249&amp;"|"&amp;D249</f>
        <v/>
      </c>
      <c r="O249">
        <f>COUNTIF($N$2:N249,N249)</f>
        <v/>
      </c>
      <c r="P249">
        <f>N249&amp;"|"&amp;O249</f>
        <v/>
      </c>
      <c r="Q249">
        <f>C249&amp;"|"&amp;D249&amp;"|"&amp;A249</f>
        <v/>
      </c>
    </row>
    <row r="250">
      <c r="A250" t="n">
        <v>18</v>
      </c>
      <c r="B250" t="inlineStr">
        <is>
          <t>Estacio Estupiñán Rosario</t>
        </is>
      </c>
      <c r="C250" t="inlineStr">
        <is>
          <t>MARTES</t>
        </is>
      </c>
      <c r="D250" t="n">
        <v>2</v>
      </c>
      <c r="E250" t="n">
        <v>1</v>
      </c>
      <c r="F250" t="inlineStr">
        <is>
          <t>ENFASIS</t>
        </is>
      </c>
      <c r="G250" t="inlineStr"/>
      <c r="H250" t="inlineStr">
        <is>
          <t>ETR</t>
        </is>
      </c>
      <c r="I250" t="inlineStr">
        <is>
          <t>0902</t>
        </is>
      </c>
      <c r="J250" t="inlineStr">
        <is>
          <t>EQUIPO DE 4: cada docente atiende un grupo de estudiantes en su área</t>
        </is>
      </c>
      <c r="K250" t="inlineStr">
        <is>
          <t>Betancourth Ocampo Yohana Patricia (CSI); Bastidas Valencia Zeneida Judith (MAT); Mindineros Satizábal John Jáver (TEI)</t>
        </is>
      </c>
      <c r="L250" t="inlineStr">
        <is>
          <t>ÉNFASIS 9°-2</t>
        </is>
      </c>
      <c r="M250" t="inlineStr">
        <is>
          <t>EQUIPO DE 4: cada docente atiende un grupo de estudiantes en su área · Con: Betancourth Ocampo Yohana Patricia (CSI); Bastidas Valencia Zeneida Judith (MAT); Mindineros Satizábal John Jáver (TEI)</t>
        </is>
      </c>
      <c r="N250">
        <f>C250&amp;"|"&amp;D250</f>
        <v/>
      </c>
      <c r="O250">
        <f>COUNTIF($N$2:N250,N250)</f>
        <v/>
      </c>
      <c r="P250">
        <f>N250&amp;"|"&amp;O250</f>
        <v/>
      </c>
      <c r="Q250">
        <f>C250&amp;"|"&amp;D250&amp;"|"&amp;A250</f>
        <v/>
      </c>
    </row>
    <row r="251">
      <c r="A251" t="n">
        <v>29</v>
      </c>
      <c r="B251" t="inlineStr">
        <is>
          <t>Mindineros Satizábal John Jáver</t>
        </is>
      </c>
      <c r="C251" t="inlineStr">
        <is>
          <t>MARTES</t>
        </is>
      </c>
      <c r="D251" t="n">
        <v>2</v>
      </c>
      <c r="E251" t="n">
        <v>1</v>
      </c>
      <c r="F251" t="inlineStr">
        <is>
          <t>ENFASIS</t>
        </is>
      </c>
      <c r="G251" t="inlineStr"/>
      <c r="H251" t="inlineStr">
        <is>
          <t>TEI</t>
        </is>
      </c>
      <c r="I251" t="inlineStr">
        <is>
          <t>0902</t>
        </is>
      </c>
      <c r="J251" t="inlineStr">
        <is>
          <t>EQUIPO DE 4: cada docente atiende un grupo de estudiantes en su área</t>
        </is>
      </c>
      <c r="K251" t="inlineStr">
        <is>
          <t>Betancourth Ocampo Yohana Patricia (CSI); Estacio Estupiñán Rosario (ETR); Bastidas Valencia Zeneida Judith (MAT)</t>
        </is>
      </c>
      <c r="L251" t="inlineStr">
        <is>
          <t>ÉNFASIS 9°-2</t>
        </is>
      </c>
      <c r="M251" t="inlineStr">
        <is>
          <t>EQUIPO DE 4: cada docente atiende un grupo de estudiantes en su área · Con: Betancourth Ocampo Yohana Patricia (CSI); Estacio Estupiñán Rosario (ETR); Bastidas Valencia Zeneida Judith (MAT)</t>
        </is>
      </c>
      <c r="N251">
        <f>C251&amp;"|"&amp;D251</f>
        <v/>
      </c>
      <c r="O251">
        <f>COUNTIF($N$2:N251,N251)</f>
        <v/>
      </c>
      <c r="P251">
        <f>N251&amp;"|"&amp;O251</f>
        <v/>
      </c>
      <c r="Q251">
        <f>C251&amp;"|"&amp;D251&amp;"|"&amp;A251</f>
        <v/>
      </c>
    </row>
    <row r="252">
      <c r="A252" t="n">
        <v>2</v>
      </c>
      <c r="B252" t="inlineStr">
        <is>
          <t>Angulo Lucero Andrés Mauricio</t>
        </is>
      </c>
      <c r="C252" t="inlineStr">
        <is>
          <t>MARTES</t>
        </is>
      </c>
      <c r="D252" t="n">
        <v>2</v>
      </c>
      <c r="E252" t="n">
        <v>1</v>
      </c>
      <c r="F252" t="inlineStr">
        <is>
          <t>ENFASIS</t>
        </is>
      </c>
      <c r="G252" t="inlineStr"/>
      <c r="H252" t="inlineStr">
        <is>
          <t>TEI</t>
        </is>
      </c>
      <c r="I252" t="inlineStr">
        <is>
          <t>1102</t>
        </is>
      </c>
      <c r="J252" t="inlineStr">
        <is>
          <t>EQUIPO DE 4: cada docente atiende un grupo de estudiantes en su área</t>
        </is>
      </c>
      <c r="K252" t="inlineStr">
        <is>
          <t>Pulgarín Ortiz César Marino (CSI); Montaño Arizala Leidis Claudina (ETR); Villota Rubio Janeth del Carmen (MAT)</t>
        </is>
      </c>
      <c r="L252" t="inlineStr">
        <is>
          <t>ÉNFASIS 11°-2</t>
        </is>
      </c>
      <c r="M252" t="inlineStr">
        <is>
          <t>EQUIPO DE 4: cada docente atiende un grupo de estudiantes en su área · Con: Pulgarín Ortiz César Marino (CSI); Montaño Arizala Leidis Claudina (ETR); Villota Rubio Janeth del Carmen (MAT)</t>
        </is>
      </c>
      <c r="N252">
        <f>C252&amp;"|"&amp;D252</f>
        <v/>
      </c>
      <c r="O252">
        <f>COUNTIF($N$2:N252,N252)</f>
        <v/>
      </c>
      <c r="P252">
        <f>N252&amp;"|"&amp;O252</f>
        <v/>
      </c>
      <c r="Q252">
        <f>C252&amp;"|"&amp;D252&amp;"|"&amp;A252</f>
        <v/>
      </c>
    </row>
    <row r="253">
      <c r="A253" t="n">
        <v>31</v>
      </c>
      <c r="B253" t="inlineStr">
        <is>
          <t>Montaño Arizala Leidis Claudina</t>
        </is>
      </c>
      <c r="C253" t="inlineStr">
        <is>
          <t>MARTES</t>
        </is>
      </c>
      <c r="D253" t="n">
        <v>2</v>
      </c>
      <c r="E253" t="n">
        <v>1</v>
      </c>
      <c r="F253" t="inlineStr">
        <is>
          <t>ENFASIS</t>
        </is>
      </c>
      <c r="G253" t="inlineStr"/>
      <c r="H253" t="inlineStr">
        <is>
          <t>ETR</t>
        </is>
      </c>
      <c r="I253" t="inlineStr">
        <is>
          <t>1102</t>
        </is>
      </c>
      <c r="J253" t="inlineStr">
        <is>
          <t>EQUIPO DE 4: cada docente atiende un grupo de estudiantes en su área</t>
        </is>
      </c>
      <c r="K253" t="inlineStr">
        <is>
          <t>Pulgarín Ortiz César Marino (CSI); Villota Rubio Janeth del Carmen (MAT); Angulo Lucero Andrés Mauricio (TEI)</t>
        </is>
      </c>
      <c r="L253" t="inlineStr">
        <is>
          <t>ÉNFASIS 11°-2</t>
        </is>
      </c>
      <c r="M253" t="inlineStr">
        <is>
          <t>EQUIPO DE 4: cada docente atiende un grupo de estudiantes en su área · Con: Pulgarín Ortiz César Marino (CSI); Villota Rubio Janeth del Carmen (MAT); Angulo Lucero Andrés Mauricio (TEI)</t>
        </is>
      </c>
      <c r="N253">
        <f>C253&amp;"|"&amp;D253</f>
        <v/>
      </c>
      <c r="O253">
        <f>COUNTIF($N$2:N253,N253)</f>
        <v/>
      </c>
      <c r="P253">
        <f>N253&amp;"|"&amp;O253</f>
        <v/>
      </c>
      <c r="Q253">
        <f>C253&amp;"|"&amp;D253&amp;"|"&amp;A253</f>
        <v/>
      </c>
    </row>
    <row r="254">
      <c r="A254" t="n">
        <v>40</v>
      </c>
      <c r="B254" t="inlineStr">
        <is>
          <t>Pulgarín Ortiz César Marino</t>
        </is>
      </c>
      <c r="C254" t="inlineStr">
        <is>
          <t>MARTES</t>
        </is>
      </c>
      <c r="D254" t="n">
        <v>2</v>
      </c>
      <c r="E254" t="n">
        <v>1</v>
      </c>
      <c r="F254" t="inlineStr">
        <is>
          <t>ENFASIS</t>
        </is>
      </c>
      <c r="G254" t="inlineStr"/>
      <c r="H254" t="inlineStr">
        <is>
          <t>CSI</t>
        </is>
      </c>
      <c r="I254" t="inlineStr">
        <is>
          <t>1102</t>
        </is>
      </c>
      <c r="J254" t="inlineStr">
        <is>
          <t>EQUIPO DE 4: cada docente atiende un grupo de estudiantes en su área</t>
        </is>
      </c>
      <c r="K254" t="inlineStr">
        <is>
          <t>Montaño Arizala Leidis Claudina (ETR); Villota Rubio Janeth del Carmen (MAT); Angulo Lucero Andrés Mauricio (TEI)</t>
        </is>
      </c>
      <c r="L254" t="inlineStr">
        <is>
          <t>ÉNFASIS 11°-2</t>
        </is>
      </c>
      <c r="M254" t="inlineStr">
        <is>
          <t>EQUIPO DE 4: cada docente atiende un grupo de estudiantes en su área · Con: Montaño Arizala Leidis Claudina (ETR); Villota Rubio Janeth del Carmen (MAT); Angulo Lucero Andrés Mauricio (TEI)</t>
        </is>
      </c>
      <c r="N254">
        <f>C254&amp;"|"&amp;D254</f>
        <v/>
      </c>
      <c r="O254">
        <f>COUNTIF($N$2:N254,N254)</f>
        <v/>
      </c>
      <c r="P254">
        <f>N254&amp;"|"&amp;O254</f>
        <v/>
      </c>
      <c r="Q254">
        <f>C254&amp;"|"&amp;D254&amp;"|"&amp;A254</f>
        <v/>
      </c>
    </row>
    <row r="255">
      <c r="A255" t="n">
        <v>54</v>
      </c>
      <c r="B255" t="inlineStr">
        <is>
          <t>Villota Rubio Janeth del Carmen</t>
        </is>
      </c>
      <c r="C255" t="inlineStr">
        <is>
          <t>MARTES</t>
        </is>
      </c>
      <c r="D255" t="n">
        <v>2</v>
      </c>
      <c r="E255" t="n">
        <v>1</v>
      </c>
      <c r="F255" t="inlineStr">
        <is>
          <t>ENFASIS</t>
        </is>
      </c>
      <c r="G255" t="inlineStr"/>
      <c r="H255" t="inlineStr">
        <is>
          <t>MAT</t>
        </is>
      </c>
      <c r="I255" t="inlineStr">
        <is>
          <t>1102</t>
        </is>
      </c>
      <c r="J255" t="inlineStr">
        <is>
          <t>EQUIPO DE 4: cada docente atiende un grupo de estudiantes en su área</t>
        </is>
      </c>
      <c r="K255" t="inlineStr">
        <is>
          <t>Pulgarín Ortiz César Marino (CSI); Montaño Arizala Leidis Claudina (ETR); Angulo Lucero Andrés Mauricio (TEI)</t>
        </is>
      </c>
      <c r="L255" t="inlineStr">
        <is>
          <t>ÉNFASIS 11°-2</t>
        </is>
      </c>
      <c r="M255" t="inlineStr">
        <is>
          <t>EQUIPO DE 4: cada docente atiende un grupo de estudiantes en su área · Con: Pulgarín Ortiz César Marino (CSI); Montaño Arizala Leidis Claudina (ETR); Angulo Lucero Andrés Mauricio (TEI)</t>
        </is>
      </c>
      <c r="N255">
        <f>C255&amp;"|"&amp;D255</f>
        <v/>
      </c>
      <c r="O255">
        <f>COUNTIF($N$2:N255,N255)</f>
        <v/>
      </c>
      <c r="P255">
        <f>N255&amp;"|"&amp;O255</f>
        <v/>
      </c>
      <c r="Q255">
        <f>C255&amp;"|"&amp;D255&amp;"|"&amp;A255</f>
        <v/>
      </c>
    </row>
    <row r="256">
      <c r="A256" t="n">
        <v>20</v>
      </c>
      <c r="B256" t="inlineStr">
        <is>
          <t>García Gobea Saydi Magali</t>
        </is>
      </c>
      <c r="C256" t="inlineStr">
        <is>
          <t>MARTES</t>
        </is>
      </c>
      <c r="D256" t="n">
        <v>2</v>
      </c>
      <c r="E256" t="n">
        <v>1</v>
      </c>
      <c r="F256" t="inlineStr">
        <is>
          <t>ENFASIS</t>
        </is>
      </c>
      <c r="G256" t="inlineStr"/>
      <c r="H256" t="inlineStr">
        <is>
          <t>CSI</t>
        </is>
      </c>
      <c r="I256" t="inlineStr">
        <is>
          <t>CS101</t>
        </is>
      </c>
      <c r="J256" t="inlineStr">
        <is>
          <t>PAREJA: comparten el énfasis y alternan por semana</t>
        </is>
      </c>
      <c r="K256" t="inlineStr">
        <is>
          <t>Lozano Torres Amanda Inés (ETR)</t>
        </is>
      </c>
      <c r="L256" t="inlineStr">
        <is>
          <t>ÉNFASIS CS 1-1</t>
        </is>
      </c>
      <c r="M256" t="inlineStr">
        <is>
          <t>PAREJA: comparten el énfasis y alternan por semana · Con: Lozano Torres Amanda Inés (ETR)</t>
        </is>
      </c>
      <c r="N256">
        <f>C256&amp;"|"&amp;D256</f>
        <v/>
      </c>
      <c r="O256">
        <f>COUNTIF($N$2:N256,N256)</f>
        <v/>
      </c>
      <c r="P256">
        <f>N256&amp;"|"&amp;O256</f>
        <v/>
      </c>
      <c r="Q256">
        <f>C256&amp;"|"&amp;D256&amp;"|"&amp;A256</f>
        <v/>
      </c>
    </row>
    <row r="257">
      <c r="A257" t="n">
        <v>26</v>
      </c>
      <c r="B257" t="inlineStr">
        <is>
          <t>Lozano Torres Amanda Inés</t>
        </is>
      </c>
      <c r="C257" t="inlineStr">
        <is>
          <t>MARTES</t>
        </is>
      </c>
      <c r="D257" t="n">
        <v>2</v>
      </c>
      <c r="E257" t="n">
        <v>1</v>
      </c>
      <c r="F257" t="inlineStr">
        <is>
          <t>ENFASIS</t>
        </is>
      </c>
      <c r="G257" t="inlineStr"/>
      <c r="H257" t="inlineStr">
        <is>
          <t>ETR</t>
        </is>
      </c>
      <c r="I257" t="inlineStr">
        <is>
          <t>CS101</t>
        </is>
      </c>
      <c r="J257" t="inlineStr">
        <is>
          <t>PAREJA: comparten el énfasis y alternan por semana</t>
        </is>
      </c>
      <c r="K257" t="inlineStr">
        <is>
          <t>García Gobea Saydi Magali (CSI)</t>
        </is>
      </c>
      <c r="L257" t="inlineStr">
        <is>
          <t>ÉNFASIS CS 1-1</t>
        </is>
      </c>
      <c r="M257" t="inlineStr">
        <is>
          <t>PAREJA: comparten el énfasis y alternan por semana · Con: García Gobea Saydi Magali (CSI)</t>
        </is>
      </c>
      <c r="N257">
        <f>C257&amp;"|"&amp;D257</f>
        <v/>
      </c>
      <c r="O257">
        <f>COUNTIF($N$2:N257,N257)</f>
        <v/>
      </c>
      <c r="P257">
        <f>N257&amp;"|"&amp;O257</f>
        <v/>
      </c>
      <c r="Q257">
        <f>C257&amp;"|"&amp;D257&amp;"|"&amp;A257</f>
        <v/>
      </c>
    </row>
    <row r="258">
      <c r="A258" t="n">
        <v>1</v>
      </c>
      <c r="B258" t="inlineStr">
        <is>
          <t>Aguirre Riascos Jorge Andrés</t>
        </is>
      </c>
      <c r="C258" t="inlineStr">
        <is>
          <t>MARTES</t>
        </is>
      </c>
      <c r="D258" t="n">
        <v>2</v>
      </c>
      <c r="E258" t="n">
        <v>1</v>
      </c>
      <c r="F258" t="inlineStr">
        <is>
          <t>ENFASIS</t>
        </is>
      </c>
      <c r="G258" t="inlineStr"/>
      <c r="H258" t="inlineStr">
        <is>
          <t>TEI</t>
        </is>
      </c>
      <c r="I258" t="inlineStr">
        <is>
          <t>CS102</t>
        </is>
      </c>
      <c r="J258" t="inlineStr">
        <is>
          <t>PAREJA: comparten el énfasis y alternan por semana</t>
        </is>
      </c>
      <c r="K258" t="inlineStr">
        <is>
          <t>Vásquez Valencia Segundo Leoncio (MAT)</t>
        </is>
      </c>
      <c r="L258" t="inlineStr">
        <is>
          <t>ÉNFASIS CS 1-2</t>
        </is>
      </c>
      <c r="M258" t="inlineStr">
        <is>
          <t>PAREJA: comparten el énfasis y alternan por semana · Con: Vásquez Valencia Segundo Leoncio (MAT)</t>
        </is>
      </c>
      <c r="N258">
        <f>C258&amp;"|"&amp;D258</f>
        <v/>
      </c>
      <c r="O258">
        <f>COUNTIF($N$2:N258,N258)</f>
        <v/>
      </c>
      <c r="P258">
        <f>N258&amp;"|"&amp;O258</f>
        <v/>
      </c>
      <c r="Q258">
        <f>C258&amp;"|"&amp;D258&amp;"|"&amp;A258</f>
        <v/>
      </c>
    </row>
    <row r="259">
      <c r="A259" t="n">
        <v>52</v>
      </c>
      <c r="B259" t="inlineStr">
        <is>
          <t>Vásquez Valencia Segundo Leoncio</t>
        </is>
      </c>
      <c r="C259" t="inlineStr">
        <is>
          <t>MARTES</t>
        </is>
      </c>
      <c r="D259" t="n">
        <v>2</v>
      </c>
      <c r="E259" t="n">
        <v>1</v>
      </c>
      <c r="F259" t="inlineStr">
        <is>
          <t>ENFASIS</t>
        </is>
      </c>
      <c r="G259" t="inlineStr"/>
      <c r="H259" t="inlineStr">
        <is>
          <t>MAT</t>
        </is>
      </c>
      <c r="I259" t="inlineStr">
        <is>
          <t>CS102</t>
        </is>
      </c>
      <c r="J259" t="inlineStr">
        <is>
          <t>PAREJA: comparten el énfasis y alternan por semana</t>
        </is>
      </c>
      <c r="K259" t="inlineStr">
        <is>
          <t>Aguirre Riascos Jorge Andrés (TEI)</t>
        </is>
      </c>
      <c r="L259" t="inlineStr">
        <is>
          <t>ÉNFASIS CS 1-2</t>
        </is>
      </c>
      <c r="M259" t="inlineStr">
        <is>
          <t>PAREJA: comparten el énfasis y alternan por semana · Con: Aguirre Riascos Jorge Andrés (TEI)</t>
        </is>
      </c>
      <c r="N259">
        <f>C259&amp;"|"&amp;D259</f>
        <v/>
      </c>
      <c r="O259">
        <f>COUNTIF($N$2:N259,N259)</f>
        <v/>
      </c>
      <c r="P259">
        <f>N259&amp;"|"&amp;O259</f>
        <v/>
      </c>
      <c r="Q259">
        <f>C259&amp;"|"&amp;D259&amp;"|"&amp;A259</f>
        <v/>
      </c>
    </row>
    <row r="260">
      <c r="A260" t="n">
        <v>37</v>
      </c>
      <c r="B260" t="inlineStr">
        <is>
          <t>Prado Quiñones Genís Maribel</t>
        </is>
      </c>
      <c r="C260" t="inlineStr">
        <is>
          <t>MARTES</t>
        </is>
      </c>
      <c r="D260" t="n">
        <v>3</v>
      </c>
      <c r="E260" t="n">
        <v>2</v>
      </c>
      <c r="F260" t="inlineStr">
        <is>
          <t>CLASE</t>
        </is>
      </c>
      <c r="G260" t="inlineStr">
        <is>
          <t>0601</t>
        </is>
      </c>
      <c r="H260" t="inlineStr">
        <is>
          <t>CNA</t>
        </is>
      </c>
      <c r="I260" t="inlineStr"/>
      <c r="J260" t="inlineStr"/>
      <c r="K260" t="inlineStr"/>
      <c r="L260" t="inlineStr">
        <is>
          <t>6°-1</t>
        </is>
      </c>
      <c r="M260" t="inlineStr"/>
      <c r="N260">
        <f>C260&amp;"|"&amp;D260</f>
        <v/>
      </c>
      <c r="O260">
        <f>COUNTIF($N$2:N260,N260)</f>
        <v/>
      </c>
      <c r="P260">
        <f>N260&amp;"|"&amp;O260</f>
        <v/>
      </c>
      <c r="Q260">
        <f>C260&amp;"|"&amp;D260&amp;"|"&amp;A260</f>
        <v/>
      </c>
    </row>
    <row r="261">
      <c r="A261" t="n">
        <v>16</v>
      </c>
      <c r="B261" t="inlineStr">
        <is>
          <t>Cuero Rincón Hernando Jesús</t>
        </is>
      </c>
      <c r="C261" t="inlineStr">
        <is>
          <t>MARTES</t>
        </is>
      </c>
      <c r="D261" t="n">
        <v>3</v>
      </c>
      <c r="E261" t="n">
        <v>2</v>
      </c>
      <c r="F261" t="inlineStr">
        <is>
          <t>CLASE</t>
        </is>
      </c>
      <c r="G261" t="inlineStr">
        <is>
          <t>0602</t>
        </is>
      </c>
      <c r="H261" t="inlineStr">
        <is>
          <t>CAS</t>
        </is>
      </c>
      <c r="I261" t="inlineStr"/>
      <c r="J261" t="inlineStr"/>
      <c r="K261" t="inlineStr"/>
      <c r="L261" t="inlineStr">
        <is>
          <t>6°-2</t>
        </is>
      </c>
      <c r="M261" t="inlineStr"/>
      <c r="N261">
        <f>C261&amp;"|"&amp;D261</f>
        <v/>
      </c>
      <c r="O261">
        <f>COUNTIF($N$2:N261,N261)</f>
        <v/>
      </c>
      <c r="P261">
        <f>N261&amp;"|"&amp;O261</f>
        <v/>
      </c>
      <c r="Q261">
        <f>C261&amp;"|"&amp;D261&amp;"|"&amp;A261</f>
        <v/>
      </c>
    </row>
    <row r="262">
      <c r="A262" t="n">
        <v>52</v>
      </c>
      <c r="B262" t="inlineStr">
        <is>
          <t>Vásquez Valencia Segundo Leoncio</t>
        </is>
      </c>
      <c r="C262" t="inlineStr">
        <is>
          <t>MARTES</t>
        </is>
      </c>
      <c r="D262" t="n">
        <v>3</v>
      </c>
      <c r="E262" t="n">
        <v>2</v>
      </c>
      <c r="F262" t="inlineStr">
        <is>
          <t>CLASE</t>
        </is>
      </c>
      <c r="G262" t="inlineStr">
        <is>
          <t>0701</t>
        </is>
      </c>
      <c r="H262" t="inlineStr">
        <is>
          <t>MAT</t>
        </is>
      </c>
      <c r="I262" t="inlineStr"/>
      <c r="J262" t="inlineStr"/>
      <c r="K262" t="inlineStr"/>
      <c r="L262" t="inlineStr">
        <is>
          <t>7°-1</t>
        </is>
      </c>
      <c r="M262" t="inlineStr"/>
      <c r="N262">
        <f>C262&amp;"|"&amp;D262</f>
        <v/>
      </c>
      <c r="O262">
        <f>COUNTIF($N$2:N262,N262)</f>
        <v/>
      </c>
      <c r="P262">
        <f>N262&amp;"|"&amp;O262</f>
        <v/>
      </c>
      <c r="Q262">
        <f>C262&amp;"|"&amp;D262&amp;"|"&amp;A262</f>
        <v/>
      </c>
    </row>
    <row r="263">
      <c r="A263" t="n">
        <v>1</v>
      </c>
      <c r="B263" t="inlineStr">
        <is>
          <t>Aguirre Riascos Jorge Andrés</t>
        </is>
      </c>
      <c r="C263" t="inlineStr">
        <is>
          <t>MARTES</t>
        </is>
      </c>
      <c r="D263" t="n">
        <v>3</v>
      </c>
      <c r="E263" t="n">
        <v>2</v>
      </c>
      <c r="F263" t="inlineStr">
        <is>
          <t>CLASE</t>
        </is>
      </c>
      <c r="G263" t="inlineStr">
        <is>
          <t>0702</t>
        </is>
      </c>
      <c r="H263" t="inlineStr">
        <is>
          <t>TEI</t>
        </is>
      </c>
      <c r="I263" t="inlineStr"/>
      <c r="J263" t="inlineStr"/>
      <c r="K263" t="inlineStr"/>
      <c r="L263" t="inlineStr">
        <is>
          <t>7°-2</t>
        </is>
      </c>
      <c r="M263" t="inlineStr"/>
      <c r="N263">
        <f>C263&amp;"|"&amp;D263</f>
        <v/>
      </c>
      <c r="O263">
        <f>COUNTIF($N$2:N263,N263)</f>
        <v/>
      </c>
      <c r="P263">
        <f>N263&amp;"|"&amp;O263</f>
        <v/>
      </c>
      <c r="Q263">
        <f>C263&amp;"|"&amp;D263&amp;"|"&amp;A263</f>
        <v/>
      </c>
    </row>
    <row r="264">
      <c r="A264" t="n">
        <v>39</v>
      </c>
      <c r="B264" t="inlineStr">
        <is>
          <t>Puches Ana Milena</t>
        </is>
      </c>
      <c r="C264" t="inlineStr">
        <is>
          <t>MARTES</t>
        </is>
      </c>
      <c r="D264" t="n">
        <v>3</v>
      </c>
      <c r="E264" t="n">
        <v>2</v>
      </c>
      <c r="F264" t="inlineStr">
        <is>
          <t>CLASE</t>
        </is>
      </c>
      <c r="G264" t="inlineStr">
        <is>
          <t>0703</t>
        </is>
      </c>
      <c r="H264" t="inlineStr">
        <is>
          <t>ART</t>
        </is>
      </c>
      <c r="I264" t="inlineStr"/>
      <c r="J264" t="inlineStr"/>
      <c r="K264" t="inlineStr"/>
      <c r="L264" t="inlineStr">
        <is>
          <t>7°-3</t>
        </is>
      </c>
      <c r="M264" t="inlineStr"/>
      <c r="N264">
        <f>C264&amp;"|"&amp;D264</f>
        <v/>
      </c>
      <c r="O264">
        <f>COUNTIF($N$2:N264,N264)</f>
        <v/>
      </c>
      <c r="P264">
        <f>N264&amp;"|"&amp;O264</f>
        <v/>
      </c>
      <c r="Q264">
        <f>C264&amp;"|"&amp;D264&amp;"|"&amp;A264</f>
        <v/>
      </c>
    </row>
    <row r="265">
      <c r="A265" t="n">
        <v>41</v>
      </c>
      <c r="B265" t="inlineStr">
        <is>
          <t>Quintero Ramírez María del Carmen</t>
        </is>
      </c>
      <c r="C265" t="inlineStr">
        <is>
          <t>MARTES</t>
        </is>
      </c>
      <c r="D265" t="n">
        <v>3</v>
      </c>
      <c r="E265" t="n">
        <v>2</v>
      </c>
      <c r="F265" t="inlineStr">
        <is>
          <t>CLASE</t>
        </is>
      </c>
      <c r="G265" t="inlineStr">
        <is>
          <t>0704</t>
        </is>
      </c>
      <c r="H265" t="inlineStr">
        <is>
          <t>CSI</t>
        </is>
      </c>
      <c r="I265" t="inlineStr"/>
      <c r="J265" t="inlineStr">
        <is>
          <t>Sociales / Inglés (alternan cada semana)</t>
        </is>
      </c>
      <c r="K265" t="inlineStr"/>
      <c r="L265" t="inlineStr">
        <is>
          <t>7°-4</t>
        </is>
      </c>
      <c r="M265" t="inlineStr">
        <is>
          <t>Sociales / Inglés (alternan cada semana)</t>
        </is>
      </c>
      <c r="N265">
        <f>C265&amp;"|"&amp;D265</f>
        <v/>
      </c>
      <c r="O265">
        <f>COUNTIF($N$2:N265,N265)</f>
        <v/>
      </c>
      <c r="P265">
        <f>N265&amp;"|"&amp;O265</f>
        <v/>
      </c>
      <c r="Q265">
        <f>C265&amp;"|"&amp;D265&amp;"|"&amp;A265</f>
        <v/>
      </c>
    </row>
    <row r="266">
      <c r="A266" t="n">
        <v>9</v>
      </c>
      <c r="B266" t="inlineStr">
        <is>
          <t>Castillo Angulo Martha Cecilia</t>
        </is>
      </c>
      <c r="C266" t="inlineStr">
        <is>
          <t>MARTES</t>
        </is>
      </c>
      <c r="D266" t="n">
        <v>3</v>
      </c>
      <c r="E266" t="n">
        <v>2</v>
      </c>
      <c r="F266" t="inlineStr">
        <is>
          <t>CLASE</t>
        </is>
      </c>
      <c r="G266" t="inlineStr">
        <is>
          <t>0802</t>
        </is>
      </c>
      <c r="H266" t="inlineStr">
        <is>
          <t>ETR</t>
        </is>
      </c>
      <c r="I266" t="inlineStr"/>
      <c r="J266" t="inlineStr">
        <is>
          <t>Ética / Religión (alternan cada semana)</t>
        </is>
      </c>
      <c r="K266" t="inlineStr"/>
      <c r="L266" t="inlineStr">
        <is>
          <t>8°-2</t>
        </is>
      </c>
      <c r="M266" t="inlineStr">
        <is>
          <t>Ética / Religión (alternan cada semana)</t>
        </is>
      </c>
      <c r="N266">
        <f>C266&amp;"|"&amp;D266</f>
        <v/>
      </c>
      <c r="O266">
        <f>COUNTIF($N$2:N266,N266)</f>
        <v/>
      </c>
      <c r="P266">
        <f>N266&amp;"|"&amp;O266</f>
        <v/>
      </c>
      <c r="Q266">
        <f>C266&amp;"|"&amp;D266&amp;"|"&amp;A266</f>
        <v/>
      </c>
    </row>
    <row r="267">
      <c r="A267" t="n">
        <v>18</v>
      </c>
      <c r="B267" t="inlineStr">
        <is>
          <t>Estacio Estupiñán Rosario</t>
        </is>
      </c>
      <c r="C267" t="inlineStr">
        <is>
          <t>MARTES</t>
        </is>
      </c>
      <c r="D267" t="n">
        <v>3</v>
      </c>
      <c r="E267" t="n">
        <v>2</v>
      </c>
      <c r="F267" t="inlineStr">
        <is>
          <t>CLASE</t>
        </is>
      </c>
      <c r="G267" t="inlineStr">
        <is>
          <t>0901</t>
        </is>
      </c>
      <c r="H267" t="inlineStr">
        <is>
          <t>ETR</t>
        </is>
      </c>
      <c r="I267" t="inlineStr"/>
      <c r="J267" t="inlineStr">
        <is>
          <t>Ética / Religión (alternan cada semana)</t>
        </is>
      </c>
      <c r="K267" t="inlineStr"/>
      <c r="L267" t="inlineStr">
        <is>
          <t>9°-1</t>
        </is>
      </c>
      <c r="M267" t="inlineStr">
        <is>
          <t>Ética / Religión (alternan cada semana)</t>
        </is>
      </c>
      <c r="N267">
        <f>C267&amp;"|"&amp;D267</f>
        <v/>
      </c>
      <c r="O267">
        <f>COUNTIF($N$2:N267,N267)</f>
        <v/>
      </c>
      <c r="P267">
        <f>N267&amp;"|"&amp;O267</f>
        <v/>
      </c>
      <c r="Q267">
        <f>C267&amp;"|"&amp;D267&amp;"|"&amp;A267</f>
        <v/>
      </c>
    </row>
    <row r="268">
      <c r="A268" t="n">
        <v>5</v>
      </c>
      <c r="B268" t="inlineStr">
        <is>
          <t>Bastidas Valencia Zeneida Judith</t>
        </is>
      </c>
      <c r="C268" t="inlineStr">
        <is>
          <t>MARTES</t>
        </is>
      </c>
      <c r="D268" t="n">
        <v>3</v>
      </c>
      <c r="E268" t="n">
        <v>2</v>
      </c>
      <c r="F268" t="inlineStr">
        <is>
          <t>CLASE</t>
        </is>
      </c>
      <c r="G268" t="inlineStr">
        <is>
          <t>0902</t>
        </is>
      </c>
      <c r="H268" t="inlineStr">
        <is>
          <t>MAT</t>
        </is>
      </c>
      <c r="I268" t="inlineStr"/>
      <c r="J268" t="inlineStr"/>
      <c r="K268" t="inlineStr"/>
      <c r="L268" t="inlineStr">
        <is>
          <t>9°-2</t>
        </is>
      </c>
      <c r="M268" t="inlineStr"/>
      <c r="N268">
        <f>C268&amp;"|"&amp;D268</f>
        <v/>
      </c>
      <c r="O268">
        <f>COUNTIF($N$2:N268,N268)</f>
        <v/>
      </c>
      <c r="P268">
        <f>N268&amp;"|"&amp;O268</f>
        <v/>
      </c>
      <c r="Q268">
        <f>C268&amp;"|"&amp;D268&amp;"|"&amp;A268</f>
        <v/>
      </c>
    </row>
    <row r="269">
      <c r="A269" t="n">
        <v>29</v>
      </c>
      <c r="B269" t="inlineStr">
        <is>
          <t>Mindineros Satizábal John Jáver</t>
        </is>
      </c>
      <c r="C269" t="inlineStr">
        <is>
          <t>MARTES</t>
        </is>
      </c>
      <c r="D269" t="n">
        <v>3</v>
      </c>
      <c r="E269" t="n">
        <v>2</v>
      </c>
      <c r="F269" t="inlineStr">
        <is>
          <t>CLASE</t>
        </is>
      </c>
      <c r="G269" t="inlineStr">
        <is>
          <t>1001</t>
        </is>
      </c>
      <c r="H269" t="inlineStr">
        <is>
          <t>TEI</t>
        </is>
      </c>
      <c r="I269" t="inlineStr"/>
      <c r="J269" t="inlineStr"/>
      <c r="K269" t="inlineStr"/>
      <c r="L269" t="inlineStr">
        <is>
          <t>10°-1</t>
        </is>
      </c>
      <c r="M269" t="inlineStr"/>
      <c r="N269">
        <f>C269&amp;"|"&amp;D269</f>
        <v/>
      </c>
      <c r="O269">
        <f>COUNTIF($N$2:N269,N269)</f>
        <v/>
      </c>
      <c r="P269">
        <f>N269&amp;"|"&amp;O269</f>
        <v/>
      </c>
      <c r="Q269">
        <f>C269&amp;"|"&amp;D269&amp;"|"&amp;A269</f>
        <v/>
      </c>
    </row>
    <row r="270">
      <c r="A270" t="n">
        <v>2</v>
      </c>
      <c r="B270" t="inlineStr">
        <is>
          <t>Angulo Lucero Andrés Mauricio</t>
        </is>
      </c>
      <c r="C270" t="inlineStr">
        <is>
          <t>MARTES</t>
        </is>
      </c>
      <c r="D270" t="n">
        <v>3</v>
      </c>
      <c r="E270" t="n">
        <v>2</v>
      </c>
      <c r="F270" t="inlineStr">
        <is>
          <t>CLASE</t>
        </is>
      </c>
      <c r="G270" t="inlineStr">
        <is>
          <t>1002</t>
        </is>
      </c>
      <c r="H270" t="inlineStr">
        <is>
          <t>TEI</t>
        </is>
      </c>
      <c r="I270" t="inlineStr"/>
      <c r="J270" t="inlineStr"/>
      <c r="K270" t="inlineStr"/>
      <c r="L270" t="inlineStr">
        <is>
          <t>10°-2</t>
        </is>
      </c>
      <c r="M270" t="inlineStr"/>
      <c r="N270">
        <f>C270&amp;"|"&amp;D270</f>
        <v/>
      </c>
      <c r="O270">
        <f>COUNTIF($N$2:N270,N270)</f>
        <v/>
      </c>
      <c r="P270">
        <f>N270&amp;"|"&amp;O270</f>
        <v/>
      </c>
      <c r="Q270">
        <f>C270&amp;"|"&amp;D270&amp;"|"&amp;A270</f>
        <v/>
      </c>
    </row>
    <row r="271">
      <c r="A271" t="n">
        <v>40</v>
      </c>
      <c r="B271" t="inlineStr">
        <is>
          <t>Pulgarín Ortiz César Marino</t>
        </is>
      </c>
      <c r="C271" t="inlineStr">
        <is>
          <t>MARTES</t>
        </is>
      </c>
      <c r="D271" t="n">
        <v>3</v>
      </c>
      <c r="E271" t="n">
        <v>2</v>
      </c>
      <c r="F271" t="inlineStr">
        <is>
          <t>CLASE</t>
        </is>
      </c>
      <c r="G271" t="inlineStr">
        <is>
          <t>1102</t>
        </is>
      </c>
      <c r="H271" t="inlineStr">
        <is>
          <t>CSI</t>
        </is>
      </c>
      <c r="I271" t="inlineStr"/>
      <c r="J271" t="inlineStr">
        <is>
          <t>Sociales / Inglés (alternan cada semana)</t>
        </is>
      </c>
      <c r="K271" t="inlineStr"/>
      <c r="L271" t="inlineStr">
        <is>
          <t>11°-2</t>
        </is>
      </c>
      <c r="M271" t="inlineStr">
        <is>
          <t>Sociales / Inglés (alternan cada semana)</t>
        </is>
      </c>
      <c r="N271">
        <f>C271&amp;"|"&amp;D271</f>
        <v/>
      </c>
      <c r="O271">
        <f>COUNTIF($N$2:N271,N271)</f>
        <v/>
      </c>
      <c r="P271">
        <f>N271&amp;"|"&amp;O271</f>
        <v/>
      </c>
      <c r="Q271">
        <f>C271&amp;"|"&amp;D271&amp;"|"&amp;A271</f>
        <v/>
      </c>
    </row>
    <row r="272">
      <c r="A272" t="n">
        <v>42</v>
      </c>
      <c r="B272" t="inlineStr">
        <is>
          <t>Quiñones Cabezas Marcos Vidal</t>
        </is>
      </c>
      <c r="C272" t="inlineStr">
        <is>
          <t>MARTES</t>
        </is>
      </c>
      <c r="D272" t="n">
        <v>3</v>
      </c>
      <c r="E272" t="n">
        <v>2</v>
      </c>
      <c r="F272" t="inlineStr">
        <is>
          <t>CLASE</t>
        </is>
      </c>
      <c r="G272" t="inlineStr">
        <is>
          <t>CS101</t>
        </is>
      </c>
      <c r="H272" t="inlineStr">
        <is>
          <t>MAT</t>
        </is>
      </c>
      <c r="I272" t="inlineStr"/>
      <c r="J272" t="inlineStr"/>
      <c r="K272" t="inlineStr"/>
      <c r="L272" t="inlineStr">
        <is>
          <t>CS 1-1</t>
        </is>
      </c>
      <c r="M272" t="inlineStr"/>
      <c r="N272">
        <f>C272&amp;"|"&amp;D272</f>
        <v/>
      </c>
      <c r="O272">
        <f>COUNTIF($N$2:N272,N272)</f>
        <v/>
      </c>
      <c r="P272">
        <f>N272&amp;"|"&amp;O272</f>
        <v/>
      </c>
      <c r="Q272">
        <f>C272&amp;"|"&amp;D272&amp;"|"&amp;A272</f>
        <v/>
      </c>
    </row>
    <row r="273">
      <c r="A273" t="n">
        <v>26</v>
      </c>
      <c r="B273" t="inlineStr">
        <is>
          <t>Lozano Torres Amanda Inés</t>
        </is>
      </c>
      <c r="C273" t="inlineStr">
        <is>
          <t>MARTES</t>
        </is>
      </c>
      <c r="D273" t="n">
        <v>3</v>
      </c>
      <c r="E273" t="n">
        <v>2</v>
      </c>
      <c r="F273" t="inlineStr">
        <is>
          <t>CLASE</t>
        </is>
      </c>
      <c r="G273" t="inlineStr">
        <is>
          <t>CS102</t>
        </is>
      </c>
      <c r="H273" t="inlineStr">
        <is>
          <t>ETR</t>
        </is>
      </c>
      <c r="I273" t="inlineStr"/>
      <c r="J273" t="inlineStr">
        <is>
          <t>Ética / Religión (alternan cada semana)</t>
        </is>
      </c>
      <c r="K273" t="inlineStr"/>
      <c r="L273" t="inlineStr">
        <is>
          <t>CS 1-2</t>
        </is>
      </c>
      <c r="M273" t="inlineStr">
        <is>
          <t>Ética / Religión (alternan cada semana)</t>
        </is>
      </c>
      <c r="N273">
        <f>C273&amp;"|"&amp;D273</f>
        <v/>
      </c>
      <c r="O273">
        <f>COUNTIF($N$2:N273,N273)</f>
        <v/>
      </c>
      <c r="P273">
        <f>N273&amp;"|"&amp;O273</f>
        <v/>
      </c>
      <c r="Q273">
        <f>C273&amp;"|"&amp;D273&amp;"|"&amp;A273</f>
        <v/>
      </c>
    </row>
    <row r="274">
      <c r="A274" t="n">
        <v>35</v>
      </c>
      <c r="B274" t="inlineStr">
        <is>
          <t>Ortiz Araujo Adiela Carlota</t>
        </is>
      </c>
      <c r="C274" t="inlineStr">
        <is>
          <t>MARTES</t>
        </is>
      </c>
      <c r="D274" t="n">
        <v>3</v>
      </c>
      <c r="E274" t="n">
        <v>2</v>
      </c>
      <c r="F274" t="inlineStr">
        <is>
          <t>CLASE</t>
        </is>
      </c>
      <c r="G274" t="inlineStr">
        <is>
          <t>CS202</t>
        </is>
      </c>
      <c r="H274" t="inlineStr">
        <is>
          <t>CSI</t>
        </is>
      </c>
      <c r="I274" t="inlineStr"/>
      <c r="J274" t="inlineStr">
        <is>
          <t>Sociales / Inglés (alternan cada semana)</t>
        </is>
      </c>
      <c r="K274" t="inlineStr"/>
      <c r="L274" t="inlineStr">
        <is>
          <t>CS 2-2</t>
        </is>
      </c>
      <c r="M274" t="inlineStr">
        <is>
          <t>Sociales / Inglés (alternan cada semana)</t>
        </is>
      </c>
      <c r="N274">
        <f>C274&amp;"|"&amp;D274</f>
        <v/>
      </c>
      <c r="O274">
        <f>COUNTIF($N$2:N274,N274)</f>
        <v/>
      </c>
      <c r="P274">
        <f>N274&amp;"|"&amp;O274</f>
        <v/>
      </c>
      <c r="Q274">
        <f>C274&amp;"|"&amp;D274&amp;"|"&amp;A274</f>
        <v/>
      </c>
    </row>
    <row r="275">
      <c r="A275" t="n">
        <v>12</v>
      </c>
      <c r="B275" t="inlineStr">
        <is>
          <t>Chillambo Quiñones María Rocío</t>
        </is>
      </c>
      <c r="C275" t="inlineStr">
        <is>
          <t>MARTES</t>
        </is>
      </c>
      <c r="D275" t="n">
        <v>3</v>
      </c>
      <c r="E275" t="n">
        <v>2</v>
      </c>
      <c r="F275" t="inlineStr">
        <is>
          <t>ENFASIS</t>
        </is>
      </c>
      <c r="G275" t="inlineStr"/>
      <c r="H275" t="inlineStr">
        <is>
          <t>CNA</t>
        </is>
      </c>
      <c r="I275" t="inlineStr">
        <is>
          <t>0801</t>
        </is>
      </c>
      <c r="J275" t="inlineStr">
        <is>
          <t>EQUIPO DE 4: cada docente atiende un grupo de estudiantes en su área</t>
        </is>
      </c>
      <c r="K275" t="inlineStr">
        <is>
          <t>Samaniego Angulo Flor Mireya (ART); Valverde Montaño María Teresa (CAS); Cuero Bamba Berte Levi (ERD)</t>
        </is>
      </c>
      <c r="L275" t="inlineStr">
        <is>
          <t>ÉNFASIS 8°-1</t>
        </is>
      </c>
      <c r="M275" t="inlineStr">
        <is>
          <t>EQUIPO DE 4: cada docente atiende un grupo de estudiantes en su área · Con: Samaniego Angulo Flor Mireya (ART); Valverde Montaño María Teresa (CAS); Cuero Bamba Berte Levi (ERD)</t>
        </is>
      </c>
      <c r="N275">
        <f>C275&amp;"|"&amp;D275</f>
        <v/>
      </c>
      <c r="O275">
        <f>COUNTIF($N$2:N275,N275)</f>
        <v/>
      </c>
      <c r="P275">
        <f>N275&amp;"|"&amp;O275</f>
        <v/>
      </c>
      <c r="Q275">
        <f>C275&amp;"|"&amp;D275&amp;"|"&amp;A275</f>
        <v/>
      </c>
    </row>
    <row r="276">
      <c r="A276" t="n">
        <v>15</v>
      </c>
      <c r="B276" t="inlineStr">
        <is>
          <t>Cuero Bamba Berte Levi</t>
        </is>
      </c>
      <c r="C276" t="inlineStr">
        <is>
          <t>MARTES</t>
        </is>
      </c>
      <c r="D276" t="n">
        <v>3</v>
      </c>
      <c r="E276" t="n">
        <v>2</v>
      </c>
      <c r="F276" t="inlineStr">
        <is>
          <t>ENFASIS</t>
        </is>
      </c>
      <c r="G276" t="inlineStr"/>
      <c r="H276" t="inlineStr">
        <is>
          <t>ERD</t>
        </is>
      </c>
      <c r="I276" t="inlineStr">
        <is>
          <t>0801</t>
        </is>
      </c>
      <c r="J276" t="inlineStr">
        <is>
          <t>EQUIPO DE 4: cada docente atiende un grupo de estudiantes en su área</t>
        </is>
      </c>
      <c r="K276" t="inlineStr">
        <is>
          <t>Samaniego Angulo Flor Mireya (ART); Valverde Montaño María Teresa (CAS); Chillambo Quiñones María Rocío (CNA)</t>
        </is>
      </c>
      <c r="L276" t="inlineStr">
        <is>
          <t>ÉNFASIS 8°-1</t>
        </is>
      </c>
      <c r="M276" t="inlineStr">
        <is>
          <t>EQUIPO DE 4: cada docente atiende un grupo de estudiantes en su área · Con: Samaniego Angulo Flor Mireya (ART); Valverde Montaño María Teresa (CAS); Chillambo Quiñones María Rocío (CNA)</t>
        </is>
      </c>
      <c r="N276">
        <f>C276&amp;"|"&amp;D276</f>
        <v/>
      </c>
      <c r="O276">
        <f>COUNTIF($N$2:N276,N276)</f>
        <v/>
      </c>
      <c r="P276">
        <f>N276&amp;"|"&amp;O276</f>
        <v/>
      </c>
      <c r="Q276">
        <f>C276&amp;"|"&amp;D276&amp;"|"&amp;A276</f>
        <v/>
      </c>
    </row>
    <row r="277">
      <c r="A277" t="n">
        <v>44</v>
      </c>
      <c r="B277" t="inlineStr">
        <is>
          <t>Samaniego Angulo Flor Mireya</t>
        </is>
      </c>
      <c r="C277" t="inlineStr">
        <is>
          <t>MARTES</t>
        </is>
      </c>
      <c r="D277" t="n">
        <v>3</v>
      </c>
      <c r="E277" t="n">
        <v>2</v>
      </c>
      <c r="F277" t="inlineStr">
        <is>
          <t>ENFASIS</t>
        </is>
      </c>
      <c r="G277" t="inlineStr"/>
      <c r="H277" t="inlineStr">
        <is>
          <t>ART</t>
        </is>
      </c>
      <c r="I277" t="inlineStr">
        <is>
          <t>0801</t>
        </is>
      </c>
      <c r="J277" t="inlineStr">
        <is>
          <t>EQUIPO DE 4: cada docente atiende un grupo de estudiantes en su área</t>
        </is>
      </c>
      <c r="K277" t="inlineStr">
        <is>
          <t>Valverde Montaño María Teresa (CAS); Cuero Bamba Berte Levi (ERD); Chillambo Quiñones María Rocío (CNA)</t>
        </is>
      </c>
      <c r="L277" t="inlineStr">
        <is>
          <t>ÉNFASIS 8°-1</t>
        </is>
      </c>
      <c r="M277" t="inlineStr">
        <is>
          <t>EQUIPO DE 4: cada docente atiende un grupo de estudiantes en su área · Con: Valverde Montaño María Teresa (CAS); Cuero Bamba Berte Levi (ERD); Chillambo Quiñones María Rocío (CNA)</t>
        </is>
      </c>
      <c r="N277">
        <f>C277&amp;"|"&amp;D277</f>
        <v/>
      </c>
      <c r="O277">
        <f>COUNTIF($N$2:N277,N277)</f>
        <v/>
      </c>
      <c r="P277">
        <f>N277&amp;"|"&amp;O277</f>
        <v/>
      </c>
      <c r="Q277">
        <f>C277&amp;"|"&amp;D277&amp;"|"&amp;A277</f>
        <v/>
      </c>
    </row>
    <row r="278">
      <c r="A278" t="n">
        <v>51</v>
      </c>
      <c r="B278" t="inlineStr">
        <is>
          <t>Valverde Montaño María Teresa</t>
        </is>
      </c>
      <c r="C278" t="inlineStr">
        <is>
          <t>MARTES</t>
        </is>
      </c>
      <c r="D278" t="n">
        <v>3</v>
      </c>
      <c r="E278" t="n">
        <v>2</v>
      </c>
      <c r="F278" t="inlineStr">
        <is>
          <t>ENFASIS</t>
        </is>
      </c>
      <c r="G278" t="inlineStr"/>
      <c r="H278" t="inlineStr">
        <is>
          <t>CAS</t>
        </is>
      </c>
      <c r="I278" t="inlineStr">
        <is>
          <t>0801</t>
        </is>
      </c>
      <c r="J278" t="inlineStr">
        <is>
          <t>EQUIPO DE 4: cada docente atiende un grupo de estudiantes en su área</t>
        </is>
      </c>
      <c r="K278" t="inlineStr">
        <is>
          <t>Samaniego Angulo Flor Mireya (ART); Cuero Bamba Berte Levi (ERD); Chillambo Quiñones María Rocío (CNA)</t>
        </is>
      </c>
      <c r="L278" t="inlineStr">
        <is>
          <t>ÉNFASIS 8°-1</t>
        </is>
      </c>
      <c r="M278" t="inlineStr">
        <is>
          <t>EQUIPO DE 4: cada docente atiende un grupo de estudiantes en su área · Con: Samaniego Angulo Flor Mireya (ART); Cuero Bamba Berte Levi (ERD); Chillambo Quiñones María Rocío (CNA)</t>
        </is>
      </c>
      <c r="N278">
        <f>C278&amp;"|"&amp;D278</f>
        <v/>
      </c>
      <c r="O278">
        <f>COUNTIF($N$2:N278,N278)</f>
        <v/>
      </c>
      <c r="P278">
        <f>N278&amp;"|"&amp;O278</f>
        <v/>
      </c>
      <c r="Q278">
        <f>C278&amp;"|"&amp;D278&amp;"|"&amp;A278</f>
        <v/>
      </c>
    </row>
    <row r="279">
      <c r="A279" t="n">
        <v>3</v>
      </c>
      <c r="B279" t="inlineStr">
        <is>
          <t>Arboleda Ortiz Luz América</t>
        </is>
      </c>
      <c r="C279" t="inlineStr">
        <is>
          <t>MARTES</t>
        </is>
      </c>
      <c r="D279" t="n">
        <v>3</v>
      </c>
      <c r="E279" t="n">
        <v>2</v>
      </c>
      <c r="F279" t="inlineStr">
        <is>
          <t>ENFASIS</t>
        </is>
      </c>
      <c r="G279" t="inlineStr"/>
      <c r="H279" t="inlineStr">
        <is>
          <t>ART</t>
        </is>
      </c>
      <c r="I279" t="inlineStr">
        <is>
          <t>1101</t>
        </is>
      </c>
      <c r="J279" t="inlineStr">
        <is>
          <t>EQUIPO DE 4: cada docente atiende un grupo de estudiantes en su área</t>
        </is>
      </c>
      <c r="K279" t="inlineStr">
        <is>
          <t>Montaño Anchico Favio Héctor (CAS); Ramírez Guerra Jimmy Eduardo (ERD); Villota Rubio Héctor Hugo (CNA)</t>
        </is>
      </c>
      <c r="L279" t="inlineStr">
        <is>
          <t>ÉNFASIS 11°-1</t>
        </is>
      </c>
      <c r="M279" t="inlineStr">
        <is>
          <t>EQUIPO DE 4: cada docente atiende un grupo de estudiantes en su área · Con: Montaño Anchico Favio Héctor (CAS); Ramírez Guerra Jimmy Eduardo (ERD); Villota Rubio Héctor Hugo (CNA)</t>
        </is>
      </c>
      <c r="N279">
        <f>C279&amp;"|"&amp;D279</f>
        <v/>
      </c>
      <c r="O279">
        <f>COUNTIF($N$2:N279,N279)</f>
        <v/>
      </c>
      <c r="P279">
        <f>N279&amp;"|"&amp;O279</f>
        <v/>
      </c>
      <c r="Q279">
        <f>C279&amp;"|"&amp;D279&amp;"|"&amp;A279</f>
        <v/>
      </c>
    </row>
    <row r="280">
      <c r="A280" t="n">
        <v>30</v>
      </c>
      <c r="B280" t="inlineStr">
        <is>
          <t>Montaño Anchico Favio Héctor</t>
        </is>
      </c>
      <c r="C280" t="inlineStr">
        <is>
          <t>MARTES</t>
        </is>
      </c>
      <c r="D280" t="n">
        <v>3</v>
      </c>
      <c r="E280" t="n">
        <v>2</v>
      </c>
      <c r="F280" t="inlineStr">
        <is>
          <t>ENFASIS</t>
        </is>
      </c>
      <c r="G280" t="inlineStr"/>
      <c r="H280" t="inlineStr">
        <is>
          <t>CAS</t>
        </is>
      </c>
      <c r="I280" t="inlineStr">
        <is>
          <t>1101</t>
        </is>
      </c>
      <c r="J280" t="inlineStr">
        <is>
          <t>EQUIPO DE 4: cada docente atiende un grupo de estudiantes en su área</t>
        </is>
      </c>
      <c r="K280" t="inlineStr">
        <is>
          <t>Arboleda Ortiz Luz América (ART); Ramírez Guerra Jimmy Eduardo (ERD); Villota Rubio Héctor Hugo (CNA)</t>
        </is>
      </c>
      <c r="L280" t="inlineStr">
        <is>
          <t>ÉNFASIS 11°-1</t>
        </is>
      </c>
      <c r="M280" t="inlineStr">
        <is>
          <t>EQUIPO DE 4: cada docente atiende un grupo de estudiantes en su área · Con: Arboleda Ortiz Luz América (ART); Ramírez Guerra Jimmy Eduardo (ERD); Villota Rubio Héctor Hugo (CNA)</t>
        </is>
      </c>
      <c r="N280">
        <f>C280&amp;"|"&amp;D280</f>
        <v/>
      </c>
      <c r="O280">
        <f>COUNTIF($N$2:N280,N280)</f>
        <v/>
      </c>
      <c r="P280">
        <f>N280&amp;"|"&amp;O280</f>
        <v/>
      </c>
      <c r="Q280">
        <f>C280&amp;"|"&amp;D280&amp;"|"&amp;A280</f>
        <v/>
      </c>
    </row>
    <row r="281">
      <c r="A281" t="n">
        <v>43</v>
      </c>
      <c r="B281" t="inlineStr">
        <is>
          <t>Ramírez Guerra Jimmy Eduardo</t>
        </is>
      </c>
      <c r="C281" t="inlineStr">
        <is>
          <t>MARTES</t>
        </is>
      </c>
      <c r="D281" t="n">
        <v>3</v>
      </c>
      <c r="E281" t="n">
        <v>2</v>
      </c>
      <c r="F281" t="inlineStr">
        <is>
          <t>ENFASIS</t>
        </is>
      </c>
      <c r="G281" t="inlineStr"/>
      <c r="H281" t="inlineStr">
        <is>
          <t>ERD</t>
        </is>
      </c>
      <c r="I281" t="inlineStr">
        <is>
          <t>1101</t>
        </is>
      </c>
      <c r="J281" t="inlineStr">
        <is>
          <t>EQUIPO DE 4: cada docente atiende un grupo de estudiantes en su área</t>
        </is>
      </c>
      <c r="K281" t="inlineStr">
        <is>
          <t>Arboleda Ortiz Luz América (ART); Montaño Anchico Favio Héctor (CAS); Villota Rubio Héctor Hugo (CNA)</t>
        </is>
      </c>
      <c r="L281" t="inlineStr">
        <is>
          <t>ÉNFASIS 11°-1</t>
        </is>
      </c>
      <c r="M281" t="inlineStr">
        <is>
          <t>EQUIPO DE 4: cada docente atiende un grupo de estudiantes en su área · Con: Arboleda Ortiz Luz América (ART); Montaño Anchico Favio Héctor (CAS); Villota Rubio Héctor Hugo (CNA)</t>
        </is>
      </c>
      <c r="N281">
        <f>C281&amp;"|"&amp;D281</f>
        <v/>
      </c>
      <c r="O281">
        <f>COUNTIF($N$2:N281,N281)</f>
        <v/>
      </c>
      <c r="P281">
        <f>N281&amp;"|"&amp;O281</f>
        <v/>
      </c>
      <c r="Q281">
        <f>C281&amp;"|"&amp;D281&amp;"|"&amp;A281</f>
        <v/>
      </c>
    </row>
    <row r="282">
      <c r="A282" t="n">
        <v>53</v>
      </c>
      <c r="B282" t="inlineStr">
        <is>
          <t>Villota Rubio Héctor Hugo</t>
        </is>
      </c>
      <c r="C282" t="inlineStr">
        <is>
          <t>MARTES</t>
        </is>
      </c>
      <c r="D282" t="n">
        <v>3</v>
      </c>
      <c r="E282" t="n">
        <v>2</v>
      </c>
      <c r="F282" t="inlineStr">
        <is>
          <t>ENFASIS</t>
        </is>
      </c>
      <c r="G282" t="inlineStr"/>
      <c r="H282" t="inlineStr">
        <is>
          <t>CNA</t>
        </is>
      </c>
      <c r="I282" t="inlineStr">
        <is>
          <t>1101</t>
        </is>
      </c>
      <c r="J282" t="inlineStr">
        <is>
          <t>EQUIPO DE 4: cada docente atiende un grupo de estudiantes en su área</t>
        </is>
      </c>
      <c r="K282" t="inlineStr">
        <is>
          <t>Arboleda Ortiz Luz América (ART); Montaño Anchico Favio Héctor (CAS); Ramírez Guerra Jimmy Eduardo (ERD)</t>
        </is>
      </c>
      <c r="L282" t="inlineStr">
        <is>
          <t>ÉNFASIS 11°-1</t>
        </is>
      </c>
      <c r="M282" t="inlineStr">
        <is>
          <t>EQUIPO DE 4: cada docente atiende un grupo de estudiantes en su área · Con: Arboleda Ortiz Luz América (ART); Montaño Anchico Favio Héctor (CAS); Ramírez Guerra Jimmy Eduardo (ERD)</t>
        </is>
      </c>
      <c r="N282">
        <f>C282&amp;"|"&amp;D282</f>
        <v/>
      </c>
      <c r="O282">
        <f>COUNTIF($N$2:N282,N282)</f>
        <v/>
      </c>
      <c r="P282">
        <f>N282&amp;"|"&amp;O282</f>
        <v/>
      </c>
      <c r="Q282">
        <f>C282&amp;"|"&amp;D282&amp;"|"&amp;A282</f>
        <v/>
      </c>
    </row>
    <row r="283">
      <c r="A283" t="n">
        <v>22</v>
      </c>
      <c r="B283" t="inlineStr">
        <is>
          <t>González Castillo Jólmer Jimy</t>
        </is>
      </c>
      <c r="C283" t="inlineStr">
        <is>
          <t>MARTES</t>
        </is>
      </c>
      <c r="D283" t="n">
        <v>3</v>
      </c>
      <c r="E283" t="n">
        <v>2</v>
      </c>
      <c r="F283" t="inlineStr">
        <is>
          <t>ENFASIS</t>
        </is>
      </c>
      <c r="G283" t="inlineStr"/>
      <c r="H283" t="inlineStr">
        <is>
          <t>ERD</t>
        </is>
      </c>
      <c r="I283" t="inlineStr">
        <is>
          <t>CS201</t>
        </is>
      </c>
      <c r="J283" t="inlineStr">
        <is>
          <t>EQUIPO DE 4: cada docente atiende un grupo de estudiantes en su área</t>
        </is>
      </c>
      <c r="K283" t="inlineStr">
        <is>
          <t>Valencia Marínez Saidy Eufemia (ART); Meza Banguera Gladys Alicia (CAS); Lemos Guancha Miriam (CNA)</t>
        </is>
      </c>
      <c r="L283" t="inlineStr">
        <is>
          <t>ÉNFASIS CS 2-1</t>
        </is>
      </c>
      <c r="M283" t="inlineStr">
        <is>
          <t>EQUIPO DE 4: cada docente atiende un grupo de estudiantes en su área · Con: Valencia Marínez Saidy Eufemia (ART); Meza Banguera Gladys Alicia (CAS); Lemos Guancha Miriam (CNA)</t>
        </is>
      </c>
      <c r="N283">
        <f>C283&amp;"|"&amp;D283</f>
        <v/>
      </c>
      <c r="O283">
        <f>COUNTIF($N$2:N283,N283)</f>
        <v/>
      </c>
      <c r="P283">
        <f>N283&amp;"|"&amp;O283</f>
        <v/>
      </c>
      <c r="Q283">
        <f>C283&amp;"|"&amp;D283&amp;"|"&amp;A283</f>
        <v/>
      </c>
    </row>
    <row r="284">
      <c r="A284" t="n">
        <v>25</v>
      </c>
      <c r="B284" t="inlineStr">
        <is>
          <t>Lemos Guancha Miriam</t>
        </is>
      </c>
      <c r="C284" t="inlineStr">
        <is>
          <t>MARTES</t>
        </is>
      </c>
      <c r="D284" t="n">
        <v>3</v>
      </c>
      <c r="E284" t="n">
        <v>2</v>
      </c>
      <c r="F284" t="inlineStr">
        <is>
          <t>ENFASIS</t>
        </is>
      </c>
      <c r="G284" t="inlineStr"/>
      <c r="H284" t="inlineStr">
        <is>
          <t>CNA</t>
        </is>
      </c>
      <c r="I284" t="inlineStr">
        <is>
          <t>CS201</t>
        </is>
      </c>
      <c r="J284" t="inlineStr">
        <is>
          <t>EQUIPO DE 4: cada docente atiende un grupo de estudiantes en su área</t>
        </is>
      </c>
      <c r="K284" t="inlineStr">
        <is>
          <t>Valencia Marínez Saidy Eufemia (ART); Meza Banguera Gladys Alicia (CAS); González Castillo Jólmer Jimy (ERD)</t>
        </is>
      </c>
      <c r="L284" t="inlineStr">
        <is>
          <t>ÉNFASIS CS 2-1</t>
        </is>
      </c>
      <c r="M284" t="inlineStr">
        <is>
          <t>EQUIPO DE 4: cada docente atiende un grupo de estudiantes en su área · Con: Valencia Marínez Saidy Eufemia (ART); Meza Banguera Gladys Alicia (CAS); González Castillo Jólmer Jimy (ERD)</t>
        </is>
      </c>
      <c r="N284">
        <f>C284&amp;"|"&amp;D284</f>
        <v/>
      </c>
      <c r="O284">
        <f>COUNTIF($N$2:N284,N284)</f>
        <v/>
      </c>
      <c r="P284">
        <f>N284&amp;"|"&amp;O284</f>
        <v/>
      </c>
      <c r="Q284">
        <f>C284&amp;"|"&amp;D284&amp;"|"&amp;A284</f>
        <v/>
      </c>
    </row>
    <row r="285">
      <c r="A285" t="n">
        <v>28</v>
      </c>
      <c r="B285" t="inlineStr">
        <is>
          <t>Meza Banguera Gladys Alicia</t>
        </is>
      </c>
      <c r="C285" t="inlineStr">
        <is>
          <t>MARTES</t>
        </is>
      </c>
      <c r="D285" t="n">
        <v>3</v>
      </c>
      <c r="E285" t="n">
        <v>2</v>
      </c>
      <c r="F285" t="inlineStr">
        <is>
          <t>ENFASIS</t>
        </is>
      </c>
      <c r="G285" t="inlineStr"/>
      <c r="H285" t="inlineStr">
        <is>
          <t>CAS</t>
        </is>
      </c>
      <c r="I285" t="inlineStr">
        <is>
          <t>CS201</t>
        </is>
      </c>
      <c r="J285" t="inlineStr">
        <is>
          <t>EQUIPO DE 4: cada docente atiende un grupo de estudiantes en su área</t>
        </is>
      </c>
      <c r="K285" t="inlineStr">
        <is>
          <t>Valencia Marínez Saidy Eufemia (ART); González Castillo Jólmer Jimy (ERD); Lemos Guancha Miriam (CNA)</t>
        </is>
      </c>
      <c r="L285" t="inlineStr">
        <is>
          <t>ÉNFASIS CS 2-1</t>
        </is>
      </c>
      <c r="M285" t="inlineStr">
        <is>
          <t>EQUIPO DE 4: cada docente atiende un grupo de estudiantes en su área · Con: Valencia Marínez Saidy Eufemia (ART); González Castillo Jólmer Jimy (ERD); Lemos Guancha Miriam (CNA)</t>
        </is>
      </c>
      <c r="N285">
        <f>C285&amp;"|"&amp;D285</f>
        <v/>
      </c>
      <c r="O285">
        <f>COUNTIF($N$2:N285,N285)</f>
        <v/>
      </c>
      <c r="P285">
        <f>N285&amp;"|"&amp;O285</f>
        <v/>
      </c>
      <c r="Q285">
        <f>C285&amp;"|"&amp;D285&amp;"|"&amp;A285</f>
        <v/>
      </c>
    </row>
    <row r="286">
      <c r="A286" t="n">
        <v>49</v>
      </c>
      <c r="B286" t="inlineStr">
        <is>
          <t>Valencia Marínez Saidy Eufemia</t>
        </is>
      </c>
      <c r="C286" t="inlineStr">
        <is>
          <t>MARTES</t>
        </is>
      </c>
      <c r="D286" t="n">
        <v>3</v>
      </c>
      <c r="E286" t="n">
        <v>2</v>
      </c>
      <c r="F286" t="inlineStr">
        <is>
          <t>ENFASIS</t>
        </is>
      </c>
      <c r="G286" t="inlineStr"/>
      <c r="H286" t="inlineStr">
        <is>
          <t>ART</t>
        </is>
      </c>
      <c r="I286" t="inlineStr">
        <is>
          <t>CS201</t>
        </is>
      </c>
      <c r="J286" t="inlineStr">
        <is>
          <t>EQUIPO DE 4: cada docente atiende un grupo de estudiantes en su área</t>
        </is>
      </c>
      <c r="K286" t="inlineStr">
        <is>
          <t>Meza Banguera Gladys Alicia (CAS); González Castillo Jólmer Jimy (ERD); Lemos Guancha Miriam (CNA)</t>
        </is>
      </c>
      <c r="L286" t="inlineStr">
        <is>
          <t>ÉNFASIS CS 2-1</t>
        </is>
      </c>
      <c r="M286" t="inlineStr">
        <is>
          <t>EQUIPO DE 4: cada docente atiende un grupo de estudiantes en su área · Con: Meza Banguera Gladys Alicia (CAS); González Castillo Jólmer Jimy (ERD); Lemos Guancha Miriam (CNA)</t>
        </is>
      </c>
      <c r="N286">
        <f>C286&amp;"|"&amp;D286</f>
        <v/>
      </c>
      <c r="O286">
        <f>COUNTIF($N$2:N286,N286)</f>
        <v/>
      </c>
      <c r="P286">
        <f>N286&amp;"|"&amp;O286</f>
        <v/>
      </c>
      <c r="Q286">
        <f>C286&amp;"|"&amp;D286&amp;"|"&amp;A286</f>
        <v/>
      </c>
    </row>
    <row r="287">
      <c r="A287" t="n">
        <v>37</v>
      </c>
      <c r="B287" t="inlineStr">
        <is>
          <t>Prado Quiñones Genís Maribel</t>
        </is>
      </c>
      <c r="C287" t="inlineStr">
        <is>
          <t>MARTES</t>
        </is>
      </c>
      <c r="D287" t="n">
        <v>4</v>
      </c>
      <c r="E287" t="n">
        <v>2</v>
      </c>
      <c r="F287" t="inlineStr">
        <is>
          <t>CLASE</t>
        </is>
      </c>
      <c r="G287" t="inlineStr">
        <is>
          <t>0601</t>
        </is>
      </c>
      <c r="H287" t="inlineStr">
        <is>
          <t>CNA</t>
        </is>
      </c>
      <c r="I287" t="inlineStr"/>
      <c r="J287" t="inlineStr"/>
      <c r="K287" t="inlineStr"/>
      <c r="L287" t="inlineStr">
        <is>
          <t>6°-1</t>
        </is>
      </c>
      <c r="M287" t="inlineStr"/>
      <c r="N287">
        <f>C287&amp;"|"&amp;D287</f>
        <v/>
      </c>
      <c r="O287">
        <f>COUNTIF($N$2:N287,N287)</f>
        <v/>
      </c>
      <c r="P287">
        <f>N287&amp;"|"&amp;O287</f>
        <v/>
      </c>
      <c r="Q287">
        <f>C287&amp;"|"&amp;D287&amp;"|"&amp;A287</f>
        <v/>
      </c>
    </row>
    <row r="288">
      <c r="A288" t="n">
        <v>16</v>
      </c>
      <c r="B288" t="inlineStr">
        <is>
          <t>Cuero Rincón Hernando Jesús</t>
        </is>
      </c>
      <c r="C288" t="inlineStr">
        <is>
          <t>MARTES</t>
        </is>
      </c>
      <c r="D288" t="n">
        <v>4</v>
      </c>
      <c r="E288" t="n">
        <v>2</v>
      </c>
      <c r="F288" t="inlineStr">
        <is>
          <t>CLASE</t>
        </is>
      </c>
      <c r="G288" t="inlineStr">
        <is>
          <t>0602</t>
        </is>
      </c>
      <c r="H288" t="inlineStr">
        <is>
          <t>CAS</t>
        </is>
      </c>
      <c r="I288" t="inlineStr"/>
      <c r="J288" t="inlineStr"/>
      <c r="K288" t="inlineStr"/>
      <c r="L288" t="inlineStr">
        <is>
          <t>6°-2</t>
        </is>
      </c>
      <c r="M288" t="inlineStr"/>
      <c r="N288">
        <f>C288&amp;"|"&amp;D288</f>
        <v/>
      </c>
      <c r="O288">
        <f>COUNTIF($N$2:N288,N288)</f>
        <v/>
      </c>
      <c r="P288">
        <f>N288&amp;"|"&amp;O288</f>
        <v/>
      </c>
      <c r="Q288">
        <f>C288&amp;"|"&amp;D288&amp;"|"&amp;A288</f>
        <v/>
      </c>
    </row>
    <row r="289">
      <c r="A289" t="n">
        <v>52</v>
      </c>
      <c r="B289" t="inlineStr">
        <is>
          <t>Vásquez Valencia Segundo Leoncio</t>
        </is>
      </c>
      <c r="C289" t="inlineStr">
        <is>
          <t>MARTES</t>
        </is>
      </c>
      <c r="D289" t="n">
        <v>4</v>
      </c>
      <c r="E289" t="n">
        <v>2</v>
      </c>
      <c r="F289" t="inlineStr">
        <is>
          <t>CLASE</t>
        </is>
      </c>
      <c r="G289" t="inlineStr">
        <is>
          <t>0701</t>
        </is>
      </c>
      <c r="H289" t="inlineStr">
        <is>
          <t>MAT</t>
        </is>
      </c>
      <c r="I289" t="inlineStr"/>
      <c r="J289" t="inlineStr"/>
      <c r="K289" t="inlineStr"/>
      <c r="L289" t="inlineStr">
        <is>
          <t>7°-1</t>
        </is>
      </c>
      <c r="M289" t="inlineStr"/>
      <c r="N289">
        <f>C289&amp;"|"&amp;D289</f>
        <v/>
      </c>
      <c r="O289">
        <f>COUNTIF($N$2:N289,N289)</f>
        <v/>
      </c>
      <c r="P289">
        <f>N289&amp;"|"&amp;O289</f>
        <v/>
      </c>
      <c r="Q289">
        <f>C289&amp;"|"&amp;D289&amp;"|"&amp;A289</f>
        <v/>
      </c>
    </row>
    <row r="290">
      <c r="A290" t="n">
        <v>1</v>
      </c>
      <c r="B290" t="inlineStr">
        <is>
          <t>Aguirre Riascos Jorge Andrés</t>
        </is>
      </c>
      <c r="C290" t="inlineStr">
        <is>
          <t>MARTES</t>
        </is>
      </c>
      <c r="D290" t="n">
        <v>4</v>
      </c>
      <c r="E290" t="n">
        <v>2</v>
      </c>
      <c r="F290" t="inlineStr">
        <is>
          <t>CLASE</t>
        </is>
      </c>
      <c r="G290" t="inlineStr">
        <is>
          <t>0702</t>
        </is>
      </c>
      <c r="H290" t="inlineStr">
        <is>
          <t>TEI</t>
        </is>
      </c>
      <c r="I290" t="inlineStr"/>
      <c r="J290" t="inlineStr"/>
      <c r="K290" t="inlineStr"/>
      <c r="L290" t="inlineStr">
        <is>
          <t>7°-2</t>
        </is>
      </c>
      <c r="M290" t="inlineStr"/>
      <c r="N290">
        <f>C290&amp;"|"&amp;D290</f>
        <v/>
      </c>
      <c r="O290">
        <f>COUNTIF($N$2:N290,N290)</f>
        <v/>
      </c>
      <c r="P290">
        <f>N290&amp;"|"&amp;O290</f>
        <v/>
      </c>
      <c r="Q290">
        <f>C290&amp;"|"&amp;D290&amp;"|"&amp;A290</f>
        <v/>
      </c>
    </row>
    <row r="291">
      <c r="A291" t="n">
        <v>39</v>
      </c>
      <c r="B291" t="inlineStr">
        <is>
          <t>Puches Ana Milena</t>
        </is>
      </c>
      <c r="C291" t="inlineStr">
        <is>
          <t>MARTES</t>
        </is>
      </c>
      <c r="D291" t="n">
        <v>4</v>
      </c>
      <c r="E291" t="n">
        <v>2</v>
      </c>
      <c r="F291" t="inlineStr">
        <is>
          <t>CLASE</t>
        </is>
      </c>
      <c r="G291" t="inlineStr">
        <is>
          <t>0703</t>
        </is>
      </c>
      <c r="H291" t="inlineStr">
        <is>
          <t>ART</t>
        </is>
      </c>
      <c r="I291" t="inlineStr"/>
      <c r="J291" t="inlineStr"/>
      <c r="K291" t="inlineStr"/>
      <c r="L291" t="inlineStr">
        <is>
          <t>7°-3</t>
        </is>
      </c>
      <c r="M291" t="inlineStr"/>
      <c r="N291">
        <f>C291&amp;"|"&amp;D291</f>
        <v/>
      </c>
      <c r="O291">
        <f>COUNTIF($N$2:N291,N291)</f>
        <v/>
      </c>
      <c r="P291">
        <f>N291&amp;"|"&amp;O291</f>
        <v/>
      </c>
      <c r="Q291">
        <f>C291&amp;"|"&amp;D291&amp;"|"&amp;A291</f>
        <v/>
      </c>
    </row>
    <row r="292">
      <c r="A292" t="n">
        <v>41</v>
      </c>
      <c r="B292" t="inlineStr">
        <is>
          <t>Quintero Ramírez María del Carmen</t>
        </is>
      </c>
      <c r="C292" t="inlineStr">
        <is>
          <t>MARTES</t>
        </is>
      </c>
      <c r="D292" t="n">
        <v>4</v>
      </c>
      <c r="E292" t="n">
        <v>2</v>
      </c>
      <c r="F292" t="inlineStr">
        <is>
          <t>CLASE</t>
        </is>
      </c>
      <c r="G292" t="inlineStr">
        <is>
          <t>0704</t>
        </is>
      </c>
      <c r="H292" t="inlineStr">
        <is>
          <t>CSI</t>
        </is>
      </c>
      <c r="I292" t="inlineStr"/>
      <c r="J292" t="inlineStr">
        <is>
          <t>Sociales / Inglés (alternan cada semana)</t>
        </is>
      </c>
      <c r="K292" t="inlineStr"/>
      <c r="L292" t="inlineStr">
        <is>
          <t>7°-4</t>
        </is>
      </c>
      <c r="M292" t="inlineStr">
        <is>
          <t>Sociales / Inglés (alternan cada semana)</t>
        </is>
      </c>
      <c r="N292">
        <f>C292&amp;"|"&amp;D292</f>
        <v/>
      </c>
      <c r="O292">
        <f>COUNTIF($N$2:N292,N292)</f>
        <v/>
      </c>
      <c r="P292">
        <f>N292&amp;"|"&amp;O292</f>
        <v/>
      </c>
      <c r="Q292">
        <f>C292&amp;"|"&amp;D292&amp;"|"&amp;A292</f>
        <v/>
      </c>
    </row>
    <row r="293">
      <c r="A293" t="n">
        <v>9</v>
      </c>
      <c r="B293" t="inlineStr">
        <is>
          <t>Castillo Angulo Martha Cecilia</t>
        </is>
      </c>
      <c r="C293" t="inlineStr">
        <is>
          <t>MARTES</t>
        </is>
      </c>
      <c r="D293" t="n">
        <v>4</v>
      </c>
      <c r="E293" t="n">
        <v>2</v>
      </c>
      <c r="F293" t="inlineStr">
        <is>
          <t>CLASE</t>
        </is>
      </c>
      <c r="G293" t="inlineStr">
        <is>
          <t>0802</t>
        </is>
      </c>
      <c r="H293" t="inlineStr">
        <is>
          <t>ETR</t>
        </is>
      </c>
      <c r="I293" t="inlineStr"/>
      <c r="J293" t="inlineStr">
        <is>
          <t>Ética / Religión (alternan cada semana)</t>
        </is>
      </c>
      <c r="K293" t="inlineStr"/>
      <c r="L293" t="inlineStr">
        <is>
          <t>8°-2</t>
        </is>
      </c>
      <c r="M293" t="inlineStr">
        <is>
          <t>Ética / Religión (alternan cada semana)</t>
        </is>
      </c>
      <c r="N293">
        <f>C293&amp;"|"&amp;D293</f>
        <v/>
      </c>
      <c r="O293">
        <f>COUNTIF($N$2:N293,N293)</f>
        <v/>
      </c>
      <c r="P293">
        <f>N293&amp;"|"&amp;O293</f>
        <v/>
      </c>
      <c r="Q293">
        <f>C293&amp;"|"&amp;D293&amp;"|"&amp;A293</f>
        <v/>
      </c>
    </row>
    <row r="294">
      <c r="A294" t="n">
        <v>18</v>
      </c>
      <c r="B294" t="inlineStr">
        <is>
          <t>Estacio Estupiñán Rosario</t>
        </is>
      </c>
      <c r="C294" t="inlineStr">
        <is>
          <t>MARTES</t>
        </is>
      </c>
      <c r="D294" t="n">
        <v>4</v>
      </c>
      <c r="E294" t="n">
        <v>2</v>
      </c>
      <c r="F294" t="inlineStr">
        <is>
          <t>CLASE</t>
        </is>
      </c>
      <c r="G294" t="inlineStr">
        <is>
          <t>0901</t>
        </is>
      </c>
      <c r="H294" t="inlineStr">
        <is>
          <t>ETR</t>
        </is>
      </c>
      <c r="I294" t="inlineStr"/>
      <c r="J294" t="inlineStr">
        <is>
          <t>Ética / Religión (alternan cada semana)</t>
        </is>
      </c>
      <c r="K294" t="inlineStr"/>
      <c r="L294" t="inlineStr">
        <is>
          <t>9°-1</t>
        </is>
      </c>
      <c r="M294" t="inlineStr">
        <is>
          <t>Ética / Religión (alternan cada semana)</t>
        </is>
      </c>
      <c r="N294">
        <f>C294&amp;"|"&amp;D294</f>
        <v/>
      </c>
      <c r="O294">
        <f>COUNTIF($N$2:N294,N294)</f>
        <v/>
      </c>
      <c r="P294">
        <f>N294&amp;"|"&amp;O294</f>
        <v/>
      </c>
      <c r="Q294">
        <f>C294&amp;"|"&amp;D294&amp;"|"&amp;A294</f>
        <v/>
      </c>
    </row>
    <row r="295">
      <c r="A295" t="n">
        <v>5</v>
      </c>
      <c r="B295" t="inlineStr">
        <is>
          <t>Bastidas Valencia Zeneida Judith</t>
        </is>
      </c>
      <c r="C295" t="inlineStr">
        <is>
          <t>MARTES</t>
        </is>
      </c>
      <c r="D295" t="n">
        <v>4</v>
      </c>
      <c r="E295" t="n">
        <v>2</v>
      </c>
      <c r="F295" t="inlineStr">
        <is>
          <t>CLASE</t>
        </is>
      </c>
      <c r="G295" t="inlineStr">
        <is>
          <t>0902</t>
        </is>
      </c>
      <c r="H295" t="inlineStr">
        <is>
          <t>MAT</t>
        </is>
      </c>
      <c r="I295" t="inlineStr"/>
      <c r="J295" t="inlineStr"/>
      <c r="K295" t="inlineStr"/>
      <c r="L295" t="inlineStr">
        <is>
          <t>9°-2</t>
        </is>
      </c>
      <c r="M295" t="inlineStr"/>
      <c r="N295">
        <f>C295&amp;"|"&amp;D295</f>
        <v/>
      </c>
      <c r="O295">
        <f>COUNTIF($N$2:N295,N295)</f>
        <v/>
      </c>
      <c r="P295">
        <f>N295&amp;"|"&amp;O295</f>
        <v/>
      </c>
      <c r="Q295">
        <f>C295&amp;"|"&amp;D295&amp;"|"&amp;A295</f>
        <v/>
      </c>
    </row>
    <row r="296">
      <c r="A296" t="n">
        <v>29</v>
      </c>
      <c r="B296" t="inlineStr">
        <is>
          <t>Mindineros Satizábal John Jáver</t>
        </is>
      </c>
      <c r="C296" t="inlineStr">
        <is>
          <t>MARTES</t>
        </is>
      </c>
      <c r="D296" t="n">
        <v>4</v>
      </c>
      <c r="E296" t="n">
        <v>2</v>
      </c>
      <c r="F296" t="inlineStr">
        <is>
          <t>CLASE</t>
        </is>
      </c>
      <c r="G296" t="inlineStr">
        <is>
          <t>1001</t>
        </is>
      </c>
      <c r="H296" t="inlineStr">
        <is>
          <t>TEI</t>
        </is>
      </c>
      <c r="I296" t="inlineStr"/>
      <c r="J296" t="inlineStr"/>
      <c r="K296" t="inlineStr"/>
      <c r="L296" t="inlineStr">
        <is>
          <t>10°-1</t>
        </is>
      </c>
      <c r="M296" t="inlineStr"/>
      <c r="N296">
        <f>C296&amp;"|"&amp;D296</f>
        <v/>
      </c>
      <c r="O296">
        <f>COUNTIF($N$2:N296,N296)</f>
        <v/>
      </c>
      <c r="P296">
        <f>N296&amp;"|"&amp;O296</f>
        <v/>
      </c>
      <c r="Q296">
        <f>C296&amp;"|"&amp;D296&amp;"|"&amp;A296</f>
        <v/>
      </c>
    </row>
    <row r="297">
      <c r="A297" t="n">
        <v>2</v>
      </c>
      <c r="B297" t="inlineStr">
        <is>
          <t>Angulo Lucero Andrés Mauricio</t>
        </is>
      </c>
      <c r="C297" t="inlineStr">
        <is>
          <t>MARTES</t>
        </is>
      </c>
      <c r="D297" t="n">
        <v>4</v>
      </c>
      <c r="E297" t="n">
        <v>2</v>
      </c>
      <c r="F297" t="inlineStr">
        <is>
          <t>CLASE</t>
        </is>
      </c>
      <c r="G297" t="inlineStr">
        <is>
          <t>1002</t>
        </is>
      </c>
      <c r="H297" t="inlineStr">
        <is>
          <t>TEI</t>
        </is>
      </c>
      <c r="I297" t="inlineStr"/>
      <c r="J297" t="inlineStr"/>
      <c r="K297" t="inlineStr"/>
      <c r="L297" t="inlineStr">
        <is>
          <t>10°-2</t>
        </is>
      </c>
      <c r="M297" t="inlineStr"/>
      <c r="N297">
        <f>C297&amp;"|"&amp;D297</f>
        <v/>
      </c>
      <c r="O297">
        <f>COUNTIF($N$2:N297,N297)</f>
        <v/>
      </c>
      <c r="P297">
        <f>N297&amp;"|"&amp;O297</f>
        <v/>
      </c>
      <c r="Q297">
        <f>C297&amp;"|"&amp;D297&amp;"|"&amp;A297</f>
        <v/>
      </c>
    </row>
    <row r="298">
      <c r="A298" t="n">
        <v>40</v>
      </c>
      <c r="B298" t="inlineStr">
        <is>
          <t>Pulgarín Ortiz César Marino</t>
        </is>
      </c>
      <c r="C298" t="inlineStr">
        <is>
          <t>MARTES</t>
        </is>
      </c>
      <c r="D298" t="n">
        <v>4</v>
      </c>
      <c r="E298" t="n">
        <v>2</v>
      </c>
      <c r="F298" t="inlineStr">
        <is>
          <t>CLASE</t>
        </is>
      </c>
      <c r="G298" t="inlineStr">
        <is>
          <t>1102</t>
        </is>
      </c>
      <c r="H298" t="inlineStr">
        <is>
          <t>CSI</t>
        </is>
      </c>
      <c r="I298" t="inlineStr"/>
      <c r="J298" t="inlineStr">
        <is>
          <t>Sociales / Inglés (alternan cada semana)</t>
        </is>
      </c>
      <c r="K298" t="inlineStr"/>
      <c r="L298" t="inlineStr">
        <is>
          <t>11°-2</t>
        </is>
      </c>
      <c r="M298" t="inlineStr">
        <is>
          <t>Sociales / Inglés (alternan cada semana)</t>
        </is>
      </c>
      <c r="N298">
        <f>C298&amp;"|"&amp;D298</f>
        <v/>
      </c>
      <c r="O298">
        <f>COUNTIF($N$2:N298,N298)</f>
        <v/>
      </c>
      <c r="P298">
        <f>N298&amp;"|"&amp;O298</f>
        <v/>
      </c>
      <c r="Q298">
        <f>C298&amp;"|"&amp;D298&amp;"|"&amp;A298</f>
        <v/>
      </c>
    </row>
    <row r="299">
      <c r="A299" t="n">
        <v>42</v>
      </c>
      <c r="B299" t="inlineStr">
        <is>
          <t>Quiñones Cabezas Marcos Vidal</t>
        </is>
      </c>
      <c r="C299" t="inlineStr">
        <is>
          <t>MARTES</t>
        </is>
      </c>
      <c r="D299" t="n">
        <v>4</v>
      </c>
      <c r="E299" t="n">
        <v>2</v>
      </c>
      <c r="F299" t="inlineStr">
        <is>
          <t>CLASE</t>
        </is>
      </c>
      <c r="G299" t="inlineStr">
        <is>
          <t>CS101</t>
        </is>
      </c>
      <c r="H299" t="inlineStr">
        <is>
          <t>MAT</t>
        </is>
      </c>
      <c r="I299" t="inlineStr"/>
      <c r="J299" t="inlineStr"/>
      <c r="K299" t="inlineStr"/>
      <c r="L299" t="inlineStr">
        <is>
          <t>CS 1-1</t>
        </is>
      </c>
      <c r="M299" t="inlineStr"/>
      <c r="N299">
        <f>C299&amp;"|"&amp;D299</f>
        <v/>
      </c>
      <c r="O299">
        <f>COUNTIF($N$2:N299,N299)</f>
        <v/>
      </c>
      <c r="P299">
        <f>N299&amp;"|"&amp;O299</f>
        <v/>
      </c>
      <c r="Q299">
        <f>C299&amp;"|"&amp;D299&amp;"|"&amp;A299</f>
        <v/>
      </c>
    </row>
    <row r="300">
      <c r="A300" t="n">
        <v>26</v>
      </c>
      <c r="B300" t="inlineStr">
        <is>
          <t>Lozano Torres Amanda Inés</t>
        </is>
      </c>
      <c r="C300" t="inlineStr">
        <is>
          <t>MARTES</t>
        </is>
      </c>
      <c r="D300" t="n">
        <v>4</v>
      </c>
      <c r="E300" t="n">
        <v>2</v>
      </c>
      <c r="F300" t="inlineStr">
        <is>
          <t>CLASE</t>
        </is>
      </c>
      <c r="G300" t="inlineStr">
        <is>
          <t>CS102</t>
        </is>
      </c>
      <c r="H300" t="inlineStr">
        <is>
          <t>ETR</t>
        </is>
      </c>
      <c r="I300" t="inlineStr"/>
      <c r="J300" t="inlineStr">
        <is>
          <t>Ética / Religión (alternan cada semana)</t>
        </is>
      </c>
      <c r="K300" t="inlineStr"/>
      <c r="L300" t="inlineStr">
        <is>
          <t>CS 1-2</t>
        </is>
      </c>
      <c r="M300" t="inlineStr">
        <is>
          <t>Ética / Religión (alternan cada semana)</t>
        </is>
      </c>
      <c r="N300">
        <f>C300&amp;"|"&amp;D300</f>
        <v/>
      </c>
      <c r="O300">
        <f>COUNTIF($N$2:N300,N300)</f>
        <v/>
      </c>
      <c r="P300">
        <f>N300&amp;"|"&amp;O300</f>
        <v/>
      </c>
      <c r="Q300">
        <f>C300&amp;"|"&amp;D300&amp;"|"&amp;A300</f>
        <v/>
      </c>
    </row>
    <row r="301">
      <c r="A301" t="n">
        <v>35</v>
      </c>
      <c r="B301" t="inlineStr">
        <is>
          <t>Ortiz Araujo Adiela Carlota</t>
        </is>
      </c>
      <c r="C301" t="inlineStr">
        <is>
          <t>MARTES</t>
        </is>
      </c>
      <c r="D301" t="n">
        <v>4</v>
      </c>
      <c r="E301" t="n">
        <v>2</v>
      </c>
      <c r="F301" t="inlineStr">
        <is>
          <t>CLASE</t>
        </is>
      </c>
      <c r="G301" t="inlineStr">
        <is>
          <t>CS202</t>
        </is>
      </c>
      <c r="H301" t="inlineStr">
        <is>
          <t>CSI</t>
        </is>
      </c>
      <c r="I301" t="inlineStr"/>
      <c r="J301" t="inlineStr">
        <is>
          <t>Sociales / Inglés (alternan cada semana)</t>
        </is>
      </c>
      <c r="K301" t="inlineStr"/>
      <c r="L301" t="inlineStr">
        <is>
          <t>CS 2-2</t>
        </is>
      </c>
      <c r="M301" t="inlineStr">
        <is>
          <t>Sociales / Inglés (alternan cada semana)</t>
        </is>
      </c>
      <c r="N301">
        <f>C301&amp;"|"&amp;D301</f>
        <v/>
      </c>
      <c r="O301">
        <f>COUNTIF($N$2:N301,N301)</f>
        <v/>
      </c>
      <c r="P301">
        <f>N301&amp;"|"&amp;O301</f>
        <v/>
      </c>
      <c r="Q301">
        <f>C301&amp;"|"&amp;D301&amp;"|"&amp;A301</f>
        <v/>
      </c>
    </row>
    <row r="302">
      <c r="A302" t="n">
        <v>12</v>
      </c>
      <c r="B302" t="inlineStr">
        <is>
          <t>Chillambo Quiñones María Rocío</t>
        </is>
      </c>
      <c r="C302" t="inlineStr">
        <is>
          <t>MARTES</t>
        </is>
      </c>
      <c r="D302" t="n">
        <v>4</v>
      </c>
      <c r="E302" t="n">
        <v>2</v>
      </c>
      <c r="F302" t="inlineStr">
        <is>
          <t>ENFASIS</t>
        </is>
      </c>
      <c r="G302" t="inlineStr"/>
      <c r="H302" t="inlineStr">
        <is>
          <t>CNA</t>
        </is>
      </c>
      <c r="I302" t="inlineStr">
        <is>
          <t>0801</t>
        </is>
      </c>
      <c r="J302" t="inlineStr">
        <is>
          <t>EQUIPO DE 4: cada docente atiende un grupo de estudiantes en su área</t>
        </is>
      </c>
      <c r="K302" t="inlineStr">
        <is>
          <t>Samaniego Angulo Flor Mireya (ART); Valverde Montaño María Teresa (CAS); Cuero Bamba Berte Levi (ERD)</t>
        </is>
      </c>
      <c r="L302" t="inlineStr">
        <is>
          <t>ÉNFASIS 8°-1</t>
        </is>
      </c>
      <c r="M302" t="inlineStr">
        <is>
          <t>EQUIPO DE 4: cada docente atiende un grupo de estudiantes en su área · Con: Samaniego Angulo Flor Mireya (ART); Valverde Montaño María Teresa (CAS); Cuero Bamba Berte Levi (ERD)</t>
        </is>
      </c>
      <c r="N302">
        <f>C302&amp;"|"&amp;D302</f>
        <v/>
      </c>
      <c r="O302">
        <f>COUNTIF($N$2:N302,N302)</f>
        <v/>
      </c>
      <c r="P302">
        <f>N302&amp;"|"&amp;O302</f>
        <v/>
      </c>
      <c r="Q302">
        <f>C302&amp;"|"&amp;D302&amp;"|"&amp;A302</f>
        <v/>
      </c>
    </row>
    <row r="303">
      <c r="A303" t="n">
        <v>15</v>
      </c>
      <c r="B303" t="inlineStr">
        <is>
          <t>Cuero Bamba Berte Levi</t>
        </is>
      </c>
      <c r="C303" t="inlineStr">
        <is>
          <t>MARTES</t>
        </is>
      </c>
      <c r="D303" t="n">
        <v>4</v>
      </c>
      <c r="E303" t="n">
        <v>2</v>
      </c>
      <c r="F303" t="inlineStr">
        <is>
          <t>ENFASIS</t>
        </is>
      </c>
      <c r="G303" t="inlineStr"/>
      <c r="H303" t="inlineStr">
        <is>
          <t>ERD</t>
        </is>
      </c>
      <c r="I303" t="inlineStr">
        <is>
          <t>0801</t>
        </is>
      </c>
      <c r="J303" t="inlineStr">
        <is>
          <t>EQUIPO DE 4: cada docente atiende un grupo de estudiantes en su área</t>
        </is>
      </c>
      <c r="K303" t="inlineStr">
        <is>
          <t>Samaniego Angulo Flor Mireya (ART); Valverde Montaño María Teresa (CAS); Chillambo Quiñones María Rocío (CNA)</t>
        </is>
      </c>
      <c r="L303" t="inlineStr">
        <is>
          <t>ÉNFASIS 8°-1</t>
        </is>
      </c>
      <c r="M303" t="inlineStr">
        <is>
          <t>EQUIPO DE 4: cada docente atiende un grupo de estudiantes en su área · Con: Samaniego Angulo Flor Mireya (ART); Valverde Montaño María Teresa (CAS); Chillambo Quiñones María Rocío (CNA)</t>
        </is>
      </c>
      <c r="N303">
        <f>C303&amp;"|"&amp;D303</f>
        <v/>
      </c>
      <c r="O303">
        <f>COUNTIF($N$2:N303,N303)</f>
        <v/>
      </c>
      <c r="P303">
        <f>N303&amp;"|"&amp;O303</f>
        <v/>
      </c>
      <c r="Q303">
        <f>C303&amp;"|"&amp;D303&amp;"|"&amp;A303</f>
        <v/>
      </c>
    </row>
    <row r="304">
      <c r="A304" t="n">
        <v>44</v>
      </c>
      <c r="B304" t="inlineStr">
        <is>
          <t>Samaniego Angulo Flor Mireya</t>
        </is>
      </c>
      <c r="C304" t="inlineStr">
        <is>
          <t>MARTES</t>
        </is>
      </c>
      <c r="D304" t="n">
        <v>4</v>
      </c>
      <c r="E304" t="n">
        <v>2</v>
      </c>
      <c r="F304" t="inlineStr">
        <is>
          <t>ENFASIS</t>
        </is>
      </c>
      <c r="G304" t="inlineStr"/>
      <c r="H304" t="inlineStr">
        <is>
          <t>ART</t>
        </is>
      </c>
      <c r="I304" t="inlineStr">
        <is>
          <t>0801</t>
        </is>
      </c>
      <c r="J304" t="inlineStr">
        <is>
          <t>EQUIPO DE 4: cada docente atiende un grupo de estudiantes en su área</t>
        </is>
      </c>
      <c r="K304" t="inlineStr">
        <is>
          <t>Valverde Montaño María Teresa (CAS); Cuero Bamba Berte Levi (ERD); Chillambo Quiñones María Rocío (CNA)</t>
        </is>
      </c>
      <c r="L304" t="inlineStr">
        <is>
          <t>ÉNFASIS 8°-1</t>
        </is>
      </c>
      <c r="M304" t="inlineStr">
        <is>
          <t>EQUIPO DE 4: cada docente atiende un grupo de estudiantes en su área · Con: Valverde Montaño María Teresa (CAS); Cuero Bamba Berte Levi (ERD); Chillambo Quiñones María Rocío (CNA)</t>
        </is>
      </c>
      <c r="N304">
        <f>C304&amp;"|"&amp;D304</f>
        <v/>
      </c>
      <c r="O304">
        <f>COUNTIF($N$2:N304,N304)</f>
        <v/>
      </c>
      <c r="P304">
        <f>N304&amp;"|"&amp;O304</f>
        <v/>
      </c>
      <c r="Q304">
        <f>C304&amp;"|"&amp;D304&amp;"|"&amp;A304</f>
        <v/>
      </c>
    </row>
    <row r="305">
      <c r="A305" t="n">
        <v>51</v>
      </c>
      <c r="B305" t="inlineStr">
        <is>
          <t>Valverde Montaño María Teresa</t>
        </is>
      </c>
      <c r="C305" t="inlineStr">
        <is>
          <t>MARTES</t>
        </is>
      </c>
      <c r="D305" t="n">
        <v>4</v>
      </c>
      <c r="E305" t="n">
        <v>2</v>
      </c>
      <c r="F305" t="inlineStr">
        <is>
          <t>ENFASIS</t>
        </is>
      </c>
      <c r="G305" t="inlineStr"/>
      <c r="H305" t="inlineStr">
        <is>
          <t>CAS</t>
        </is>
      </c>
      <c r="I305" t="inlineStr">
        <is>
          <t>0801</t>
        </is>
      </c>
      <c r="J305" t="inlineStr">
        <is>
          <t>EQUIPO DE 4: cada docente atiende un grupo de estudiantes en su área</t>
        </is>
      </c>
      <c r="K305" t="inlineStr">
        <is>
          <t>Samaniego Angulo Flor Mireya (ART); Cuero Bamba Berte Levi (ERD); Chillambo Quiñones María Rocío (CNA)</t>
        </is>
      </c>
      <c r="L305" t="inlineStr">
        <is>
          <t>ÉNFASIS 8°-1</t>
        </is>
      </c>
      <c r="M305" t="inlineStr">
        <is>
          <t>EQUIPO DE 4: cada docente atiende un grupo de estudiantes en su área · Con: Samaniego Angulo Flor Mireya (ART); Cuero Bamba Berte Levi (ERD); Chillambo Quiñones María Rocío (CNA)</t>
        </is>
      </c>
      <c r="N305">
        <f>C305&amp;"|"&amp;D305</f>
        <v/>
      </c>
      <c r="O305">
        <f>COUNTIF($N$2:N305,N305)</f>
        <v/>
      </c>
      <c r="P305">
        <f>N305&amp;"|"&amp;O305</f>
        <v/>
      </c>
      <c r="Q305">
        <f>C305&amp;"|"&amp;D305&amp;"|"&amp;A305</f>
        <v/>
      </c>
    </row>
    <row r="306">
      <c r="A306" t="n">
        <v>3</v>
      </c>
      <c r="B306" t="inlineStr">
        <is>
          <t>Arboleda Ortiz Luz América</t>
        </is>
      </c>
      <c r="C306" t="inlineStr">
        <is>
          <t>MARTES</t>
        </is>
      </c>
      <c r="D306" t="n">
        <v>4</v>
      </c>
      <c r="E306" t="n">
        <v>2</v>
      </c>
      <c r="F306" t="inlineStr">
        <is>
          <t>ENFASIS</t>
        </is>
      </c>
      <c r="G306" t="inlineStr"/>
      <c r="H306" t="inlineStr">
        <is>
          <t>ART</t>
        </is>
      </c>
      <c r="I306" t="inlineStr">
        <is>
          <t>1101</t>
        </is>
      </c>
      <c r="J306" t="inlineStr">
        <is>
          <t>EQUIPO DE 4: cada docente atiende un grupo de estudiantes en su área</t>
        </is>
      </c>
      <c r="K306" t="inlineStr">
        <is>
          <t>Montaño Anchico Favio Héctor (CAS); Ramírez Guerra Jimmy Eduardo (ERD); Villota Rubio Héctor Hugo (CNA)</t>
        </is>
      </c>
      <c r="L306" t="inlineStr">
        <is>
          <t>ÉNFASIS 11°-1</t>
        </is>
      </c>
      <c r="M306" t="inlineStr">
        <is>
          <t>EQUIPO DE 4: cada docente atiende un grupo de estudiantes en su área · Con: Montaño Anchico Favio Héctor (CAS); Ramírez Guerra Jimmy Eduardo (ERD); Villota Rubio Héctor Hugo (CNA)</t>
        </is>
      </c>
      <c r="N306">
        <f>C306&amp;"|"&amp;D306</f>
        <v/>
      </c>
      <c r="O306">
        <f>COUNTIF($N$2:N306,N306)</f>
        <v/>
      </c>
      <c r="P306">
        <f>N306&amp;"|"&amp;O306</f>
        <v/>
      </c>
      <c r="Q306">
        <f>C306&amp;"|"&amp;D306&amp;"|"&amp;A306</f>
        <v/>
      </c>
    </row>
    <row r="307">
      <c r="A307" t="n">
        <v>30</v>
      </c>
      <c r="B307" t="inlineStr">
        <is>
          <t>Montaño Anchico Favio Héctor</t>
        </is>
      </c>
      <c r="C307" t="inlineStr">
        <is>
          <t>MARTES</t>
        </is>
      </c>
      <c r="D307" t="n">
        <v>4</v>
      </c>
      <c r="E307" t="n">
        <v>2</v>
      </c>
      <c r="F307" t="inlineStr">
        <is>
          <t>ENFASIS</t>
        </is>
      </c>
      <c r="G307" t="inlineStr"/>
      <c r="H307" t="inlineStr">
        <is>
          <t>CAS</t>
        </is>
      </c>
      <c r="I307" t="inlineStr">
        <is>
          <t>1101</t>
        </is>
      </c>
      <c r="J307" t="inlineStr">
        <is>
          <t>EQUIPO DE 4: cada docente atiende un grupo de estudiantes en su área</t>
        </is>
      </c>
      <c r="K307" t="inlineStr">
        <is>
          <t>Arboleda Ortiz Luz América (ART); Ramírez Guerra Jimmy Eduardo (ERD); Villota Rubio Héctor Hugo (CNA)</t>
        </is>
      </c>
      <c r="L307" t="inlineStr">
        <is>
          <t>ÉNFASIS 11°-1</t>
        </is>
      </c>
      <c r="M307" t="inlineStr">
        <is>
          <t>EQUIPO DE 4: cada docente atiende un grupo de estudiantes en su área · Con: Arboleda Ortiz Luz América (ART); Ramírez Guerra Jimmy Eduardo (ERD); Villota Rubio Héctor Hugo (CNA)</t>
        </is>
      </c>
      <c r="N307">
        <f>C307&amp;"|"&amp;D307</f>
        <v/>
      </c>
      <c r="O307">
        <f>COUNTIF($N$2:N307,N307)</f>
        <v/>
      </c>
      <c r="P307">
        <f>N307&amp;"|"&amp;O307</f>
        <v/>
      </c>
      <c r="Q307">
        <f>C307&amp;"|"&amp;D307&amp;"|"&amp;A307</f>
        <v/>
      </c>
    </row>
    <row r="308">
      <c r="A308" t="n">
        <v>43</v>
      </c>
      <c r="B308" t="inlineStr">
        <is>
          <t>Ramírez Guerra Jimmy Eduardo</t>
        </is>
      </c>
      <c r="C308" t="inlineStr">
        <is>
          <t>MARTES</t>
        </is>
      </c>
      <c r="D308" t="n">
        <v>4</v>
      </c>
      <c r="E308" t="n">
        <v>2</v>
      </c>
      <c r="F308" t="inlineStr">
        <is>
          <t>ENFASIS</t>
        </is>
      </c>
      <c r="G308" t="inlineStr"/>
      <c r="H308" t="inlineStr">
        <is>
          <t>ERD</t>
        </is>
      </c>
      <c r="I308" t="inlineStr">
        <is>
          <t>1101</t>
        </is>
      </c>
      <c r="J308" t="inlineStr">
        <is>
          <t>EQUIPO DE 4: cada docente atiende un grupo de estudiantes en su área</t>
        </is>
      </c>
      <c r="K308" t="inlineStr">
        <is>
          <t>Arboleda Ortiz Luz América (ART); Montaño Anchico Favio Héctor (CAS); Villota Rubio Héctor Hugo (CNA)</t>
        </is>
      </c>
      <c r="L308" t="inlineStr">
        <is>
          <t>ÉNFASIS 11°-1</t>
        </is>
      </c>
      <c r="M308" t="inlineStr">
        <is>
          <t>EQUIPO DE 4: cada docente atiende un grupo de estudiantes en su área · Con: Arboleda Ortiz Luz América (ART); Montaño Anchico Favio Héctor (CAS); Villota Rubio Héctor Hugo (CNA)</t>
        </is>
      </c>
      <c r="N308">
        <f>C308&amp;"|"&amp;D308</f>
        <v/>
      </c>
      <c r="O308">
        <f>COUNTIF($N$2:N308,N308)</f>
        <v/>
      </c>
      <c r="P308">
        <f>N308&amp;"|"&amp;O308</f>
        <v/>
      </c>
      <c r="Q308">
        <f>C308&amp;"|"&amp;D308&amp;"|"&amp;A308</f>
        <v/>
      </c>
    </row>
    <row r="309">
      <c r="A309" t="n">
        <v>53</v>
      </c>
      <c r="B309" t="inlineStr">
        <is>
          <t>Villota Rubio Héctor Hugo</t>
        </is>
      </c>
      <c r="C309" t="inlineStr">
        <is>
          <t>MARTES</t>
        </is>
      </c>
      <c r="D309" t="n">
        <v>4</v>
      </c>
      <c r="E309" t="n">
        <v>2</v>
      </c>
      <c r="F309" t="inlineStr">
        <is>
          <t>ENFASIS</t>
        </is>
      </c>
      <c r="G309" t="inlineStr"/>
      <c r="H309" t="inlineStr">
        <is>
          <t>CNA</t>
        </is>
      </c>
      <c r="I309" t="inlineStr">
        <is>
          <t>1101</t>
        </is>
      </c>
      <c r="J309" t="inlineStr">
        <is>
          <t>EQUIPO DE 4: cada docente atiende un grupo de estudiantes en su área</t>
        </is>
      </c>
      <c r="K309" t="inlineStr">
        <is>
          <t>Arboleda Ortiz Luz América (ART); Montaño Anchico Favio Héctor (CAS); Ramírez Guerra Jimmy Eduardo (ERD)</t>
        </is>
      </c>
      <c r="L309" t="inlineStr">
        <is>
          <t>ÉNFASIS 11°-1</t>
        </is>
      </c>
      <c r="M309" t="inlineStr">
        <is>
          <t>EQUIPO DE 4: cada docente atiende un grupo de estudiantes en su área · Con: Arboleda Ortiz Luz América (ART); Montaño Anchico Favio Héctor (CAS); Ramírez Guerra Jimmy Eduardo (ERD)</t>
        </is>
      </c>
      <c r="N309">
        <f>C309&amp;"|"&amp;D309</f>
        <v/>
      </c>
      <c r="O309">
        <f>COUNTIF($N$2:N309,N309)</f>
        <v/>
      </c>
      <c r="P309">
        <f>N309&amp;"|"&amp;O309</f>
        <v/>
      </c>
      <c r="Q309">
        <f>C309&amp;"|"&amp;D309&amp;"|"&amp;A309</f>
        <v/>
      </c>
    </row>
    <row r="310">
      <c r="A310" t="n">
        <v>22</v>
      </c>
      <c r="B310" t="inlineStr">
        <is>
          <t>González Castillo Jólmer Jimy</t>
        </is>
      </c>
      <c r="C310" t="inlineStr">
        <is>
          <t>MARTES</t>
        </is>
      </c>
      <c r="D310" t="n">
        <v>4</v>
      </c>
      <c r="E310" t="n">
        <v>2</v>
      </c>
      <c r="F310" t="inlineStr">
        <is>
          <t>ENFASIS</t>
        </is>
      </c>
      <c r="G310" t="inlineStr"/>
      <c r="H310" t="inlineStr">
        <is>
          <t>ERD</t>
        </is>
      </c>
      <c r="I310" t="inlineStr">
        <is>
          <t>CS201</t>
        </is>
      </c>
      <c r="J310" t="inlineStr">
        <is>
          <t>EQUIPO DE 4: cada docente atiende un grupo de estudiantes en su área</t>
        </is>
      </c>
      <c r="K310" t="inlineStr">
        <is>
          <t>Valencia Marínez Saidy Eufemia (ART); Meza Banguera Gladys Alicia (CAS); Lemos Guancha Miriam (CNA)</t>
        </is>
      </c>
      <c r="L310" t="inlineStr">
        <is>
          <t>ÉNFASIS CS 2-1</t>
        </is>
      </c>
      <c r="M310" t="inlineStr">
        <is>
          <t>EQUIPO DE 4: cada docente atiende un grupo de estudiantes en su área · Con: Valencia Marínez Saidy Eufemia (ART); Meza Banguera Gladys Alicia (CAS); Lemos Guancha Miriam (CNA)</t>
        </is>
      </c>
      <c r="N310">
        <f>C310&amp;"|"&amp;D310</f>
        <v/>
      </c>
      <c r="O310">
        <f>COUNTIF($N$2:N310,N310)</f>
        <v/>
      </c>
      <c r="P310">
        <f>N310&amp;"|"&amp;O310</f>
        <v/>
      </c>
      <c r="Q310">
        <f>C310&amp;"|"&amp;D310&amp;"|"&amp;A310</f>
        <v/>
      </c>
    </row>
    <row r="311">
      <c r="A311" t="n">
        <v>25</v>
      </c>
      <c r="B311" t="inlineStr">
        <is>
          <t>Lemos Guancha Miriam</t>
        </is>
      </c>
      <c r="C311" t="inlineStr">
        <is>
          <t>MARTES</t>
        </is>
      </c>
      <c r="D311" t="n">
        <v>4</v>
      </c>
      <c r="E311" t="n">
        <v>2</v>
      </c>
      <c r="F311" t="inlineStr">
        <is>
          <t>ENFASIS</t>
        </is>
      </c>
      <c r="G311" t="inlineStr"/>
      <c r="H311" t="inlineStr">
        <is>
          <t>CNA</t>
        </is>
      </c>
      <c r="I311" t="inlineStr">
        <is>
          <t>CS201</t>
        </is>
      </c>
      <c r="J311" t="inlineStr">
        <is>
          <t>EQUIPO DE 4: cada docente atiende un grupo de estudiantes en su área</t>
        </is>
      </c>
      <c r="K311" t="inlineStr">
        <is>
          <t>Valencia Marínez Saidy Eufemia (ART); Meza Banguera Gladys Alicia (CAS); González Castillo Jólmer Jimy (ERD)</t>
        </is>
      </c>
      <c r="L311" t="inlineStr">
        <is>
          <t>ÉNFASIS CS 2-1</t>
        </is>
      </c>
      <c r="M311" t="inlineStr">
        <is>
          <t>EQUIPO DE 4: cada docente atiende un grupo de estudiantes en su área · Con: Valencia Marínez Saidy Eufemia (ART); Meza Banguera Gladys Alicia (CAS); González Castillo Jólmer Jimy (ERD)</t>
        </is>
      </c>
      <c r="N311">
        <f>C311&amp;"|"&amp;D311</f>
        <v/>
      </c>
      <c r="O311">
        <f>COUNTIF($N$2:N311,N311)</f>
        <v/>
      </c>
      <c r="P311">
        <f>N311&amp;"|"&amp;O311</f>
        <v/>
      </c>
      <c r="Q311">
        <f>C311&amp;"|"&amp;D311&amp;"|"&amp;A311</f>
        <v/>
      </c>
    </row>
    <row r="312">
      <c r="A312" t="n">
        <v>28</v>
      </c>
      <c r="B312" t="inlineStr">
        <is>
          <t>Meza Banguera Gladys Alicia</t>
        </is>
      </c>
      <c r="C312" t="inlineStr">
        <is>
          <t>MARTES</t>
        </is>
      </c>
      <c r="D312" t="n">
        <v>4</v>
      </c>
      <c r="E312" t="n">
        <v>2</v>
      </c>
      <c r="F312" t="inlineStr">
        <is>
          <t>ENFASIS</t>
        </is>
      </c>
      <c r="G312" t="inlineStr"/>
      <c r="H312" t="inlineStr">
        <is>
          <t>CAS</t>
        </is>
      </c>
      <c r="I312" t="inlineStr">
        <is>
          <t>CS201</t>
        </is>
      </c>
      <c r="J312" t="inlineStr">
        <is>
          <t>EQUIPO DE 4: cada docente atiende un grupo de estudiantes en su área</t>
        </is>
      </c>
      <c r="K312" t="inlineStr">
        <is>
          <t>Valencia Marínez Saidy Eufemia (ART); González Castillo Jólmer Jimy (ERD); Lemos Guancha Miriam (CNA)</t>
        </is>
      </c>
      <c r="L312" t="inlineStr">
        <is>
          <t>ÉNFASIS CS 2-1</t>
        </is>
      </c>
      <c r="M312" t="inlineStr">
        <is>
          <t>EQUIPO DE 4: cada docente atiende un grupo de estudiantes en su área · Con: Valencia Marínez Saidy Eufemia (ART); González Castillo Jólmer Jimy (ERD); Lemos Guancha Miriam (CNA)</t>
        </is>
      </c>
      <c r="N312">
        <f>C312&amp;"|"&amp;D312</f>
        <v/>
      </c>
      <c r="O312">
        <f>COUNTIF($N$2:N312,N312)</f>
        <v/>
      </c>
      <c r="P312">
        <f>N312&amp;"|"&amp;O312</f>
        <v/>
      </c>
      <c r="Q312">
        <f>C312&amp;"|"&amp;D312&amp;"|"&amp;A312</f>
        <v/>
      </c>
    </row>
    <row r="313">
      <c r="A313" t="n">
        <v>49</v>
      </c>
      <c r="B313" t="inlineStr">
        <is>
          <t>Valencia Marínez Saidy Eufemia</t>
        </is>
      </c>
      <c r="C313" t="inlineStr">
        <is>
          <t>MARTES</t>
        </is>
      </c>
      <c r="D313" t="n">
        <v>4</v>
      </c>
      <c r="E313" t="n">
        <v>2</v>
      </c>
      <c r="F313" t="inlineStr">
        <is>
          <t>ENFASIS</t>
        </is>
      </c>
      <c r="G313" t="inlineStr"/>
      <c r="H313" t="inlineStr">
        <is>
          <t>ART</t>
        </is>
      </c>
      <c r="I313" t="inlineStr">
        <is>
          <t>CS201</t>
        </is>
      </c>
      <c r="J313" t="inlineStr">
        <is>
          <t>EQUIPO DE 4: cada docente atiende un grupo de estudiantes en su área</t>
        </is>
      </c>
      <c r="K313" t="inlineStr">
        <is>
          <t>Meza Banguera Gladys Alicia (CAS); González Castillo Jólmer Jimy (ERD); Lemos Guancha Miriam (CNA)</t>
        </is>
      </c>
      <c r="L313" t="inlineStr">
        <is>
          <t>ÉNFASIS CS 2-1</t>
        </is>
      </c>
      <c r="M313" t="inlineStr">
        <is>
          <t>EQUIPO DE 4: cada docente atiende un grupo de estudiantes en su área · Con: Meza Banguera Gladys Alicia (CAS); González Castillo Jólmer Jimy (ERD); Lemos Guancha Miriam (CNA)</t>
        </is>
      </c>
      <c r="N313">
        <f>C313&amp;"|"&amp;D313</f>
        <v/>
      </c>
      <c r="O313">
        <f>COUNTIF($N$2:N313,N313)</f>
        <v/>
      </c>
      <c r="P313">
        <f>N313&amp;"|"&amp;O313</f>
        <v/>
      </c>
      <c r="Q313">
        <f>C313&amp;"|"&amp;D313&amp;"|"&amp;A313</f>
        <v/>
      </c>
    </row>
    <row r="314">
      <c r="A314" t="n">
        <v>16</v>
      </c>
      <c r="B314" t="inlineStr">
        <is>
          <t>Cuero Rincón Hernando Jesús</t>
        </is>
      </c>
      <c r="C314" t="inlineStr">
        <is>
          <t>MARTES</t>
        </is>
      </c>
      <c r="D314" t="n">
        <v>5</v>
      </c>
      <c r="E314" t="n">
        <v>3</v>
      </c>
      <c r="F314" t="inlineStr">
        <is>
          <t>CLASE</t>
        </is>
      </c>
      <c r="G314" t="inlineStr">
        <is>
          <t>0601</t>
        </is>
      </c>
      <c r="H314" t="inlineStr">
        <is>
          <t>TEI</t>
        </is>
      </c>
      <c r="I314" t="inlineStr"/>
      <c r="J314" t="inlineStr"/>
      <c r="K314" t="inlineStr"/>
      <c r="L314" t="inlineStr">
        <is>
          <t>6°-1</t>
        </is>
      </c>
      <c r="M314" t="inlineStr"/>
      <c r="N314">
        <f>C314&amp;"|"&amp;D314</f>
        <v/>
      </c>
      <c r="O314">
        <f>COUNTIF($N$2:N314,N314)</f>
        <v/>
      </c>
      <c r="P314">
        <f>N314&amp;"|"&amp;O314</f>
        <v/>
      </c>
      <c r="Q314">
        <f>C314&amp;"|"&amp;D314&amp;"|"&amp;A314</f>
        <v/>
      </c>
    </row>
    <row r="315">
      <c r="A315" t="n">
        <v>37</v>
      </c>
      <c r="B315" t="inlineStr">
        <is>
          <t>Prado Quiñones Genís Maribel</t>
        </is>
      </c>
      <c r="C315" t="inlineStr">
        <is>
          <t>MARTES</t>
        </is>
      </c>
      <c r="D315" t="n">
        <v>5</v>
      </c>
      <c r="E315" t="n">
        <v>3</v>
      </c>
      <c r="F315" t="inlineStr">
        <is>
          <t>CLASE</t>
        </is>
      </c>
      <c r="G315" t="inlineStr">
        <is>
          <t>0602</t>
        </is>
      </c>
      <c r="H315" t="inlineStr">
        <is>
          <t>CNA</t>
        </is>
      </c>
      <c r="I315" t="inlineStr"/>
      <c r="J315" t="inlineStr"/>
      <c r="K315" t="inlineStr"/>
      <c r="L315" t="inlineStr">
        <is>
          <t>6°-2</t>
        </is>
      </c>
      <c r="M315" t="inlineStr"/>
      <c r="N315">
        <f>C315&amp;"|"&amp;D315</f>
        <v/>
      </c>
      <c r="O315">
        <f>COUNTIF($N$2:N315,N315)</f>
        <v/>
      </c>
      <c r="P315">
        <f>N315&amp;"|"&amp;O315</f>
        <v/>
      </c>
      <c r="Q315">
        <f>C315&amp;"|"&amp;D315&amp;"|"&amp;A315</f>
        <v/>
      </c>
    </row>
    <row r="316">
      <c r="A316" t="n">
        <v>39</v>
      </c>
      <c r="B316" t="inlineStr">
        <is>
          <t>Puches Ana Milena</t>
        </is>
      </c>
      <c r="C316" t="inlineStr">
        <is>
          <t>MARTES</t>
        </is>
      </c>
      <c r="D316" t="n">
        <v>5</v>
      </c>
      <c r="E316" t="n">
        <v>3</v>
      </c>
      <c r="F316" t="inlineStr">
        <is>
          <t>CLASE</t>
        </is>
      </c>
      <c r="G316" t="inlineStr">
        <is>
          <t>0701</t>
        </is>
      </c>
      <c r="H316" t="inlineStr">
        <is>
          <t>ART</t>
        </is>
      </c>
      <c r="I316" t="inlineStr"/>
      <c r="J316" t="inlineStr"/>
      <c r="K316" t="inlineStr"/>
      <c r="L316" t="inlineStr">
        <is>
          <t>7°-1</t>
        </is>
      </c>
      <c r="M316" t="inlineStr"/>
      <c r="N316">
        <f>C316&amp;"|"&amp;D316</f>
        <v/>
      </c>
      <c r="O316">
        <f>COUNTIF($N$2:N316,N316)</f>
        <v/>
      </c>
      <c r="P316">
        <f>N316&amp;"|"&amp;O316</f>
        <v/>
      </c>
      <c r="Q316">
        <f>C316&amp;"|"&amp;D316&amp;"|"&amp;A316</f>
        <v/>
      </c>
    </row>
    <row r="317">
      <c r="A317" t="n">
        <v>10</v>
      </c>
      <c r="B317" t="inlineStr">
        <is>
          <t>Castillo Cuero Daira Eneida</t>
        </is>
      </c>
      <c r="C317" t="inlineStr">
        <is>
          <t>MARTES</t>
        </is>
      </c>
      <c r="D317" t="n">
        <v>5</v>
      </c>
      <c r="E317" t="n">
        <v>3</v>
      </c>
      <c r="F317" t="inlineStr">
        <is>
          <t>CLASE</t>
        </is>
      </c>
      <c r="G317" t="inlineStr">
        <is>
          <t>0702</t>
        </is>
      </c>
      <c r="H317" t="inlineStr">
        <is>
          <t>CAS</t>
        </is>
      </c>
      <c r="I317" t="inlineStr"/>
      <c r="J317" t="inlineStr"/>
      <c r="K317" t="inlineStr"/>
      <c r="L317" t="inlineStr">
        <is>
          <t>7°-2</t>
        </is>
      </c>
      <c r="M317" t="inlineStr"/>
      <c r="N317">
        <f>C317&amp;"|"&amp;D317</f>
        <v/>
      </c>
      <c r="O317">
        <f>COUNTIF($N$2:N317,N317)</f>
        <v/>
      </c>
      <c r="P317">
        <f>N317&amp;"|"&amp;O317</f>
        <v/>
      </c>
      <c r="Q317">
        <f>C317&amp;"|"&amp;D317&amp;"|"&amp;A317</f>
        <v/>
      </c>
    </row>
    <row r="318">
      <c r="A318" t="n">
        <v>41</v>
      </c>
      <c r="B318" t="inlineStr">
        <is>
          <t>Quintero Ramírez María del Carmen</t>
        </is>
      </c>
      <c r="C318" t="inlineStr">
        <is>
          <t>MARTES</t>
        </is>
      </c>
      <c r="D318" t="n">
        <v>5</v>
      </c>
      <c r="E318" t="n">
        <v>3</v>
      </c>
      <c r="F318" t="inlineStr">
        <is>
          <t>CLASE</t>
        </is>
      </c>
      <c r="G318" t="inlineStr">
        <is>
          <t>0703</t>
        </is>
      </c>
      <c r="H318" t="inlineStr">
        <is>
          <t>CSI</t>
        </is>
      </c>
      <c r="I318" t="inlineStr"/>
      <c r="J318" t="inlineStr">
        <is>
          <t>Sociales / Inglés (alternan cada semana)</t>
        </is>
      </c>
      <c r="K318" t="inlineStr"/>
      <c r="L318" t="inlineStr">
        <is>
          <t>7°-3</t>
        </is>
      </c>
      <c r="M318" t="inlineStr">
        <is>
          <t>Sociales / Inglés (alternan cada semana)</t>
        </is>
      </c>
      <c r="N318">
        <f>C318&amp;"|"&amp;D318</f>
        <v/>
      </c>
      <c r="O318">
        <f>COUNTIF($N$2:N318,N318)</f>
        <v/>
      </c>
      <c r="P318">
        <f>N318&amp;"|"&amp;O318</f>
        <v/>
      </c>
      <c r="Q318">
        <f>C318&amp;"|"&amp;D318&amp;"|"&amp;A318</f>
        <v/>
      </c>
    </row>
    <row r="319">
      <c r="A319" t="n">
        <v>9</v>
      </c>
      <c r="B319" t="inlineStr">
        <is>
          <t>Castillo Angulo Martha Cecilia</t>
        </is>
      </c>
      <c r="C319" t="inlineStr">
        <is>
          <t>MARTES</t>
        </is>
      </c>
      <c r="D319" t="n">
        <v>5</v>
      </c>
      <c r="E319" t="n">
        <v>3</v>
      </c>
      <c r="F319" t="inlineStr">
        <is>
          <t>CLASE</t>
        </is>
      </c>
      <c r="G319" t="inlineStr">
        <is>
          <t>0801</t>
        </is>
      </c>
      <c r="H319" t="inlineStr">
        <is>
          <t>ETR</t>
        </is>
      </c>
      <c r="I319" t="inlineStr"/>
      <c r="J319" t="inlineStr">
        <is>
          <t>Ética / Religión (alternan cada semana)</t>
        </is>
      </c>
      <c r="K319" t="inlineStr"/>
      <c r="L319" t="inlineStr">
        <is>
          <t>8°-1</t>
        </is>
      </c>
      <c r="M319" t="inlineStr">
        <is>
          <t>Ética / Religión (alternan cada semana)</t>
        </is>
      </c>
      <c r="N319">
        <f>C319&amp;"|"&amp;D319</f>
        <v/>
      </c>
      <c r="O319">
        <f>COUNTIF($N$2:N319,N319)</f>
        <v/>
      </c>
      <c r="P319">
        <f>N319&amp;"|"&amp;O319</f>
        <v/>
      </c>
      <c r="Q319">
        <f>C319&amp;"|"&amp;D319&amp;"|"&amp;A319</f>
        <v/>
      </c>
    </row>
    <row r="320">
      <c r="A320" t="n">
        <v>44</v>
      </c>
      <c r="B320" t="inlineStr">
        <is>
          <t>Samaniego Angulo Flor Mireya</t>
        </is>
      </c>
      <c r="C320" t="inlineStr">
        <is>
          <t>MARTES</t>
        </is>
      </c>
      <c r="D320" t="n">
        <v>5</v>
      </c>
      <c r="E320" t="n">
        <v>3</v>
      </c>
      <c r="F320" t="inlineStr">
        <is>
          <t>CLASE</t>
        </is>
      </c>
      <c r="G320" t="inlineStr">
        <is>
          <t>0802</t>
        </is>
      </c>
      <c r="H320" t="inlineStr">
        <is>
          <t>ART</t>
        </is>
      </c>
      <c r="I320" t="inlineStr"/>
      <c r="J320" t="inlineStr"/>
      <c r="K320" t="inlineStr"/>
      <c r="L320" t="inlineStr">
        <is>
          <t>8°-2</t>
        </is>
      </c>
      <c r="M320" t="inlineStr"/>
      <c r="N320">
        <f>C320&amp;"|"&amp;D320</f>
        <v/>
      </c>
      <c r="O320">
        <f>COUNTIF($N$2:N320,N320)</f>
        <v/>
      </c>
      <c r="P320">
        <f>N320&amp;"|"&amp;O320</f>
        <v/>
      </c>
      <c r="Q320">
        <f>C320&amp;"|"&amp;D320&amp;"|"&amp;A320</f>
        <v/>
      </c>
    </row>
    <row r="321">
      <c r="A321" t="n">
        <v>28</v>
      </c>
      <c r="B321" t="inlineStr">
        <is>
          <t>Meza Banguera Gladys Alicia</t>
        </is>
      </c>
      <c r="C321" t="inlineStr">
        <is>
          <t>MARTES</t>
        </is>
      </c>
      <c r="D321" t="n">
        <v>5</v>
      </c>
      <c r="E321" t="n">
        <v>3</v>
      </c>
      <c r="F321" t="inlineStr">
        <is>
          <t>CLASE</t>
        </is>
      </c>
      <c r="G321" t="inlineStr">
        <is>
          <t>0901</t>
        </is>
      </c>
      <c r="H321" t="inlineStr">
        <is>
          <t>CAS</t>
        </is>
      </c>
      <c r="I321" t="inlineStr"/>
      <c r="J321" t="inlineStr"/>
      <c r="K321" t="inlineStr"/>
      <c r="L321" t="inlineStr">
        <is>
          <t>9°-1</t>
        </is>
      </c>
      <c r="M321" t="inlineStr"/>
      <c r="N321">
        <f>C321&amp;"|"&amp;D321</f>
        <v/>
      </c>
      <c r="O321">
        <f>COUNTIF($N$2:N321,N321)</f>
        <v/>
      </c>
      <c r="P321">
        <f>N321&amp;"|"&amp;O321</f>
        <v/>
      </c>
      <c r="Q321">
        <f>C321&amp;"|"&amp;D321&amp;"|"&amp;A321</f>
        <v/>
      </c>
    </row>
    <row r="322">
      <c r="A322" t="n">
        <v>25</v>
      </c>
      <c r="B322" t="inlineStr">
        <is>
          <t>Lemos Guancha Miriam</t>
        </is>
      </c>
      <c r="C322" t="inlineStr">
        <is>
          <t>MARTES</t>
        </is>
      </c>
      <c r="D322" t="n">
        <v>5</v>
      </c>
      <c r="E322" t="n">
        <v>3</v>
      </c>
      <c r="F322" t="inlineStr">
        <is>
          <t>CLASE</t>
        </is>
      </c>
      <c r="G322" t="inlineStr">
        <is>
          <t>0902</t>
        </is>
      </c>
      <c r="H322" t="inlineStr">
        <is>
          <t>CNA</t>
        </is>
      </c>
      <c r="I322" t="inlineStr"/>
      <c r="J322" t="inlineStr"/>
      <c r="K322" t="inlineStr"/>
      <c r="L322" t="inlineStr">
        <is>
          <t>9°-2</t>
        </is>
      </c>
      <c r="M322" t="inlineStr"/>
      <c r="N322">
        <f>C322&amp;"|"&amp;D322</f>
        <v/>
      </c>
      <c r="O322">
        <f>COUNTIF($N$2:N322,N322)</f>
        <v/>
      </c>
      <c r="P322">
        <f>N322&amp;"|"&amp;O322</f>
        <v/>
      </c>
      <c r="Q322">
        <f>C322&amp;"|"&amp;D322&amp;"|"&amp;A322</f>
        <v/>
      </c>
    </row>
    <row r="323">
      <c r="A323" t="n">
        <v>22</v>
      </c>
      <c r="B323" t="inlineStr">
        <is>
          <t>González Castillo Jólmer Jimy</t>
        </is>
      </c>
      <c r="C323" t="inlineStr">
        <is>
          <t>MARTES</t>
        </is>
      </c>
      <c r="D323" t="n">
        <v>5</v>
      </c>
      <c r="E323" t="n">
        <v>3</v>
      </c>
      <c r="F323" t="inlineStr">
        <is>
          <t>CLASE</t>
        </is>
      </c>
      <c r="G323" t="inlineStr">
        <is>
          <t>1001</t>
        </is>
      </c>
      <c r="H323" t="inlineStr">
        <is>
          <t>ERD</t>
        </is>
      </c>
      <c r="I323" t="inlineStr"/>
      <c r="J323" t="inlineStr"/>
      <c r="K323" t="inlineStr"/>
      <c r="L323" t="inlineStr">
        <is>
          <t>10°-1</t>
        </is>
      </c>
      <c r="M323" t="inlineStr"/>
      <c r="N323">
        <f>C323&amp;"|"&amp;D323</f>
        <v/>
      </c>
      <c r="O323">
        <f>COUNTIF($N$2:N323,N323)</f>
        <v/>
      </c>
      <c r="P323">
        <f>N323&amp;"|"&amp;O323</f>
        <v/>
      </c>
      <c r="Q323">
        <f>C323&amp;"|"&amp;D323&amp;"|"&amp;A323</f>
        <v/>
      </c>
    </row>
    <row r="324">
      <c r="A324" t="n">
        <v>3</v>
      </c>
      <c r="B324" t="inlineStr">
        <is>
          <t>Arboleda Ortiz Luz América</t>
        </is>
      </c>
      <c r="C324" t="inlineStr">
        <is>
          <t>MARTES</t>
        </is>
      </c>
      <c r="D324" t="n">
        <v>5</v>
      </c>
      <c r="E324" t="n">
        <v>3</v>
      </c>
      <c r="F324" t="inlineStr">
        <is>
          <t>CLASE</t>
        </is>
      </c>
      <c r="G324" t="inlineStr">
        <is>
          <t>1101</t>
        </is>
      </c>
      <c r="H324" t="inlineStr">
        <is>
          <t>ART</t>
        </is>
      </c>
      <c r="I324" t="inlineStr"/>
      <c r="J324" t="inlineStr"/>
      <c r="K324" t="inlineStr"/>
      <c r="L324" t="inlineStr">
        <is>
          <t>11°-1</t>
        </is>
      </c>
      <c r="M324" t="inlineStr"/>
      <c r="N324">
        <f>C324&amp;"|"&amp;D324</f>
        <v/>
      </c>
      <c r="O324">
        <f>COUNTIF($N$2:N324,N324)</f>
        <v/>
      </c>
      <c r="P324">
        <f>N324&amp;"|"&amp;O324</f>
        <v/>
      </c>
      <c r="Q324">
        <f>C324&amp;"|"&amp;D324&amp;"|"&amp;A324</f>
        <v/>
      </c>
    </row>
    <row r="325">
      <c r="A325" t="n">
        <v>53</v>
      </c>
      <c r="B325" t="inlineStr">
        <is>
          <t>Villota Rubio Héctor Hugo</t>
        </is>
      </c>
      <c r="C325" t="inlineStr">
        <is>
          <t>MARTES</t>
        </is>
      </c>
      <c r="D325" t="n">
        <v>5</v>
      </c>
      <c r="E325" t="n">
        <v>3</v>
      </c>
      <c r="F325" t="inlineStr">
        <is>
          <t>CLASE</t>
        </is>
      </c>
      <c r="G325" t="inlineStr">
        <is>
          <t>1102</t>
        </is>
      </c>
      <c r="H325" t="inlineStr">
        <is>
          <t>CNA</t>
        </is>
      </c>
      <c r="I325" t="inlineStr"/>
      <c r="J325" t="inlineStr"/>
      <c r="K325" t="inlineStr"/>
      <c r="L325" t="inlineStr">
        <is>
          <t>11°-2</t>
        </is>
      </c>
      <c r="M325" t="inlineStr"/>
      <c r="N325">
        <f>C325&amp;"|"&amp;D325</f>
        <v/>
      </c>
      <c r="O325">
        <f>COUNTIF($N$2:N325,N325)</f>
        <v/>
      </c>
      <c r="P325">
        <f>N325&amp;"|"&amp;O325</f>
        <v/>
      </c>
      <c r="Q325">
        <f>C325&amp;"|"&amp;D325&amp;"|"&amp;A325</f>
        <v/>
      </c>
    </row>
    <row r="326">
      <c r="A326" t="n">
        <v>20</v>
      </c>
      <c r="B326" t="inlineStr">
        <is>
          <t>García Gobea Saydi Magali</t>
        </is>
      </c>
      <c r="C326" t="inlineStr">
        <is>
          <t>MARTES</t>
        </is>
      </c>
      <c r="D326" t="n">
        <v>5</v>
      </c>
      <c r="E326" t="n">
        <v>3</v>
      </c>
      <c r="F326" t="inlineStr">
        <is>
          <t>CLASE</t>
        </is>
      </c>
      <c r="G326" t="inlineStr">
        <is>
          <t>CS101</t>
        </is>
      </c>
      <c r="H326" t="inlineStr">
        <is>
          <t>CSI</t>
        </is>
      </c>
      <c r="I326" t="inlineStr"/>
      <c r="J326" t="inlineStr">
        <is>
          <t>Sociales / Inglés (alternan cada semana)</t>
        </is>
      </c>
      <c r="K326" t="inlineStr"/>
      <c r="L326" t="inlineStr">
        <is>
          <t>CS 1-1</t>
        </is>
      </c>
      <c r="M326" t="inlineStr">
        <is>
          <t>Sociales / Inglés (alternan cada semana)</t>
        </is>
      </c>
      <c r="N326">
        <f>C326&amp;"|"&amp;D326</f>
        <v/>
      </c>
      <c r="O326">
        <f>COUNTIF($N$2:N326,N326)</f>
        <v/>
      </c>
      <c r="P326">
        <f>N326&amp;"|"&amp;O326</f>
        <v/>
      </c>
      <c r="Q326">
        <f>C326&amp;"|"&amp;D326&amp;"|"&amp;A326</f>
        <v/>
      </c>
    </row>
    <row r="327">
      <c r="A327" t="n">
        <v>57</v>
      </c>
      <c r="B327" t="inlineStr">
        <is>
          <t>Armero Dájome Jesús</t>
        </is>
      </c>
      <c r="C327" t="inlineStr">
        <is>
          <t>MARTES</t>
        </is>
      </c>
      <c r="D327" t="n">
        <v>5</v>
      </c>
      <c r="E327" t="n">
        <v>3</v>
      </c>
      <c r="F327" t="inlineStr">
        <is>
          <t>CLASE</t>
        </is>
      </c>
      <c r="G327" t="inlineStr">
        <is>
          <t>CS102</t>
        </is>
      </c>
      <c r="H327" t="inlineStr">
        <is>
          <t>ERD</t>
        </is>
      </c>
      <c r="I327" t="inlineStr"/>
      <c r="J327" t="inlineStr"/>
      <c r="K327" t="inlineStr"/>
      <c r="L327" t="inlineStr">
        <is>
          <t>CS 1-2</t>
        </is>
      </c>
      <c r="M327" t="inlineStr"/>
      <c r="N327">
        <f>C327&amp;"|"&amp;D327</f>
        <v/>
      </c>
      <c r="O327">
        <f>COUNTIF($N$2:N327,N327)</f>
        <v/>
      </c>
      <c r="P327">
        <f>N327&amp;"|"&amp;O327</f>
        <v/>
      </c>
      <c r="Q327">
        <f>C327&amp;"|"&amp;D327&amp;"|"&amp;A327</f>
        <v/>
      </c>
    </row>
    <row r="328">
      <c r="A328" t="n">
        <v>51</v>
      </c>
      <c r="B328" t="inlineStr">
        <is>
          <t>Valverde Montaño María Teresa</t>
        </is>
      </c>
      <c r="C328" t="inlineStr">
        <is>
          <t>MARTES</t>
        </is>
      </c>
      <c r="D328" t="n">
        <v>5</v>
      </c>
      <c r="E328" t="n">
        <v>3</v>
      </c>
      <c r="F328" t="inlineStr">
        <is>
          <t>CLASE</t>
        </is>
      </c>
      <c r="G328" t="inlineStr">
        <is>
          <t>CS201</t>
        </is>
      </c>
      <c r="H328" t="inlineStr">
        <is>
          <t>CAS</t>
        </is>
      </c>
      <c r="I328" t="inlineStr"/>
      <c r="J328" t="inlineStr"/>
      <c r="K328" t="inlineStr"/>
      <c r="L328" t="inlineStr">
        <is>
          <t>CS 2-1</t>
        </is>
      </c>
      <c r="M328" t="inlineStr"/>
      <c r="N328">
        <f>C328&amp;"|"&amp;D328</f>
        <v/>
      </c>
      <c r="O328">
        <f>COUNTIF($N$2:N328,N328)</f>
        <v/>
      </c>
      <c r="P328">
        <f>N328&amp;"|"&amp;O328</f>
        <v/>
      </c>
      <c r="Q328">
        <f>C328&amp;"|"&amp;D328&amp;"|"&amp;A328</f>
        <v/>
      </c>
    </row>
    <row r="329">
      <c r="A329" t="n">
        <v>19</v>
      </c>
      <c r="B329" t="inlineStr">
        <is>
          <t>Fernández Vélez Alfredo Enrique</t>
        </is>
      </c>
      <c r="C329" t="inlineStr">
        <is>
          <t>MARTES</t>
        </is>
      </c>
      <c r="D329" t="n">
        <v>5</v>
      </c>
      <c r="E329" t="n">
        <v>3</v>
      </c>
      <c r="F329" t="inlineStr">
        <is>
          <t>ENFASIS</t>
        </is>
      </c>
      <c r="G329" t="inlineStr"/>
      <c r="H329" t="inlineStr">
        <is>
          <t>TEI</t>
        </is>
      </c>
      <c r="I329" t="inlineStr">
        <is>
          <t>0704</t>
        </is>
      </c>
      <c r="J329" t="inlineStr">
        <is>
          <t>PAREJA: comparten el énfasis y alternan por semana</t>
        </is>
      </c>
      <c r="K329" t="inlineStr">
        <is>
          <t>Preciado Torres Oleisa (MAT)</t>
        </is>
      </c>
      <c r="L329" t="inlineStr">
        <is>
          <t>ÉNFASIS 7°-4</t>
        </is>
      </c>
      <c r="M329" t="inlineStr">
        <is>
          <t>PAREJA: comparten el énfasis y alternan por semana · Con: Preciado Torres Oleisa (MAT)</t>
        </is>
      </c>
      <c r="N329">
        <f>C329&amp;"|"&amp;D329</f>
        <v/>
      </c>
      <c r="O329">
        <f>COUNTIF($N$2:N329,N329)</f>
        <v/>
      </c>
      <c r="P329">
        <f>N329&amp;"|"&amp;O329</f>
        <v/>
      </c>
      <c r="Q329">
        <f>C329&amp;"|"&amp;D329&amp;"|"&amp;A329</f>
        <v/>
      </c>
    </row>
    <row r="330">
      <c r="A330" t="n">
        <v>38</v>
      </c>
      <c r="B330" t="inlineStr">
        <is>
          <t>Preciado Torres Oleisa</t>
        </is>
      </c>
      <c r="C330" t="inlineStr">
        <is>
          <t>MARTES</t>
        </is>
      </c>
      <c r="D330" t="n">
        <v>5</v>
      </c>
      <c r="E330" t="n">
        <v>3</v>
      </c>
      <c r="F330" t="inlineStr">
        <is>
          <t>ENFASIS</t>
        </is>
      </c>
      <c r="G330" t="inlineStr"/>
      <c r="H330" t="inlineStr">
        <is>
          <t>MAT</t>
        </is>
      </c>
      <c r="I330" t="inlineStr">
        <is>
          <t>0704</t>
        </is>
      </c>
      <c r="J330" t="inlineStr">
        <is>
          <t>PAREJA: comparten el énfasis y alternan por semana</t>
        </is>
      </c>
      <c r="K330" t="inlineStr">
        <is>
          <t>Fernández Vélez Alfredo Enrique (TEI)</t>
        </is>
      </c>
      <c r="L330" t="inlineStr">
        <is>
          <t>ÉNFASIS 7°-4</t>
        </is>
      </c>
      <c r="M330" t="inlineStr">
        <is>
          <t>PAREJA: comparten el énfasis y alternan por semana · Con: Fernández Vélez Alfredo Enrique (TEI)</t>
        </is>
      </c>
      <c r="N330">
        <f>C330&amp;"|"&amp;D330</f>
        <v/>
      </c>
      <c r="O330">
        <f>COUNTIF($N$2:N330,N330)</f>
        <v/>
      </c>
      <c r="P330">
        <f>N330&amp;"|"&amp;O330</f>
        <v/>
      </c>
      <c r="Q330">
        <f>C330&amp;"|"&amp;D330&amp;"|"&amp;A330</f>
        <v/>
      </c>
    </row>
    <row r="331">
      <c r="A331" t="n">
        <v>2</v>
      </c>
      <c r="B331" t="inlineStr">
        <is>
          <t>Angulo Lucero Andrés Mauricio</t>
        </is>
      </c>
      <c r="C331" t="inlineStr">
        <is>
          <t>MARTES</t>
        </is>
      </c>
      <c r="D331" t="n">
        <v>5</v>
      </c>
      <c r="E331" t="n">
        <v>3</v>
      </c>
      <c r="F331" t="inlineStr">
        <is>
          <t>ENFASIS</t>
        </is>
      </c>
      <c r="G331" t="inlineStr"/>
      <c r="H331" t="inlineStr">
        <is>
          <t>TEI</t>
        </is>
      </c>
      <c r="I331" t="inlineStr">
        <is>
          <t>1002</t>
        </is>
      </c>
      <c r="J331" t="inlineStr">
        <is>
          <t>EQUIPO DE 4: cada docente atiende un grupo de estudiantes en su área</t>
        </is>
      </c>
      <c r="K331" t="inlineStr">
        <is>
          <t>Pulgarín Ortiz César Marino (CSI); Montaño Arizala Leidis Claudina (ETR); Villota Rubio Janeth del Carmen (MAT)</t>
        </is>
      </c>
      <c r="L331" t="inlineStr">
        <is>
          <t>ÉNFASIS 10°-2</t>
        </is>
      </c>
      <c r="M331" t="inlineStr">
        <is>
          <t>EQUIPO DE 4: cada docente atiende un grupo de estudiantes en su área · Con: Pulgarín Ortiz César Marino (CSI); Montaño Arizala Leidis Claudina (ETR); Villota Rubio Janeth del Carmen (MAT)</t>
        </is>
      </c>
      <c r="N331">
        <f>C331&amp;"|"&amp;D331</f>
        <v/>
      </c>
      <c r="O331">
        <f>COUNTIF($N$2:N331,N331)</f>
        <v/>
      </c>
      <c r="P331">
        <f>N331&amp;"|"&amp;O331</f>
        <v/>
      </c>
      <c r="Q331">
        <f>C331&amp;"|"&amp;D331&amp;"|"&amp;A331</f>
        <v/>
      </c>
    </row>
    <row r="332">
      <c r="A332" t="n">
        <v>31</v>
      </c>
      <c r="B332" t="inlineStr">
        <is>
          <t>Montaño Arizala Leidis Claudina</t>
        </is>
      </c>
      <c r="C332" t="inlineStr">
        <is>
          <t>MARTES</t>
        </is>
      </c>
      <c r="D332" t="n">
        <v>5</v>
      </c>
      <c r="E332" t="n">
        <v>3</v>
      </c>
      <c r="F332" t="inlineStr">
        <is>
          <t>ENFASIS</t>
        </is>
      </c>
      <c r="G332" t="inlineStr"/>
      <c r="H332" t="inlineStr">
        <is>
          <t>ETR</t>
        </is>
      </c>
      <c r="I332" t="inlineStr">
        <is>
          <t>1002</t>
        </is>
      </c>
      <c r="J332" t="inlineStr">
        <is>
          <t>EQUIPO DE 4: cada docente atiende un grupo de estudiantes en su área</t>
        </is>
      </c>
      <c r="K332" t="inlineStr">
        <is>
          <t>Pulgarín Ortiz César Marino (CSI); Villota Rubio Janeth del Carmen (MAT); Angulo Lucero Andrés Mauricio (TEI)</t>
        </is>
      </c>
      <c r="L332" t="inlineStr">
        <is>
          <t>ÉNFASIS 10°-2</t>
        </is>
      </c>
      <c r="M332" t="inlineStr">
        <is>
          <t>EQUIPO DE 4: cada docente atiende un grupo de estudiantes en su área · Con: Pulgarín Ortiz César Marino (CSI); Villota Rubio Janeth del Carmen (MAT); Angulo Lucero Andrés Mauricio (TEI)</t>
        </is>
      </c>
      <c r="N332">
        <f>C332&amp;"|"&amp;D332</f>
        <v/>
      </c>
      <c r="O332">
        <f>COUNTIF($N$2:N332,N332)</f>
        <v/>
      </c>
      <c r="P332">
        <f>N332&amp;"|"&amp;O332</f>
        <v/>
      </c>
      <c r="Q332">
        <f>C332&amp;"|"&amp;D332&amp;"|"&amp;A332</f>
        <v/>
      </c>
    </row>
    <row r="333">
      <c r="A333" t="n">
        <v>40</v>
      </c>
      <c r="B333" t="inlineStr">
        <is>
          <t>Pulgarín Ortiz César Marino</t>
        </is>
      </c>
      <c r="C333" t="inlineStr">
        <is>
          <t>MARTES</t>
        </is>
      </c>
      <c r="D333" t="n">
        <v>5</v>
      </c>
      <c r="E333" t="n">
        <v>3</v>
      </c>
      <c r="F333" t="inlineStr">
        <is>
          <t>ENFASIS</t>
        </is>
      </c>
      <c r="G333" t="inlineStr"/>
      <c r="H333" t="inlineStr">
        <is>
          <t>CSI</t>
        </is>
      </c>
      <c r="I333" t="inlineStr">
        <is>
          <t>1002</t>
        </is>
      </c>
      <c r="J333" t="inlineStr">
        <is>
          <t>EQUIPO DE 4: cada docente atiende un grupo de estudiantes en su área</t>
        </is>
      </c>
      <c r="K333" t="inlineStr">
        <is>
          <t>Montaño Arizala Leidis Claudina (ETR); Villota Rubio Janeth del Carmen (MAT); Angulo Lucero Andrés Mauricio (TEI)</t>
        </is>
      </c>
      <c r="L333" t="inlineStr">
        <is>
          <t>ÉNFASIS 10°-2</t>
        </is>
      </c>
      <c r="M333" t="inlineStr">
        <is>
          <t>EQUIPO DE 4: cada docente atiende un grupo de estudiantes en su área · Con: Montaño Arizala Leidis Claudina (ETR); Villota Rubio Janeth del Carmen (MAT); Angulo Lucero Andrés Mauricio (TEI)</t>
        </is>
      </c>
      <c r="N333">
        <f>C333&amp;"|"&amp;D333</f>
        <v/>
      </c>
      <c r="O333">
        <f>COUNTIF($N$2:N333,N333)</f>
        <v/>
      </c>
      <c r="P333">
        <f>N333&amp;"|"&amp;O333</f>
        <v/>
      </c>
      <c r="Q333">
        <f>C333&amp;"|"&amp;D333&amp;"|"&amp;A333</f>
        <v/>
      </c>
    </row>
    <row r="334">
      <c r="A334" t="n">
        <v>54</v>
      </c>
      <c r="B334" t="inlineStr">
        <is>
          <t>Villota Rubio Janeth del Carmen</t>
        </is>
      </c>
      <c r="C334" t="inlineStr">
        <is>
          <t>MARTES</t>
        </is>
      </c>
      <c r="D334" t="n">
        <v>5</v>
      </c>
      <c r="E334" t="n">
        <v>3</v>
      </c>
      <c r="F334" t="inlineStr">
        <is>
          <t>ENFASIS</t>
        </is>
      </c>
      <c r="G334" t="inlineStr"/>
      <c r="H334" t="inlineStr">
        <is>
          <t>MAT</t>
        </is>
      </c>
      <c r="I334" t="inlineStr">
        <is>
          <t>1002</t>
        </is>
      </c>
      <c r="J334" t="inlineStr">
        <is>
          <t>EQUIPO DE 4: cada docente atiende un grupo de estudiantes en su área</t>
        </is>
      </c>
      <c r="K334" t="inlineStr">
        <is>
          <t>Pulgarín Ortiz César Marino (CSI); Montaño Arizala Leidis Claudina (ETR); Angulo Lucero Andrés Mauricio (TEI)</t>
        </is>
      </c>
      <c r="L334" t="inlineStr">
        <is>
          <t>ÉNFASIS 10°-2</t>
        </is>
      </c>
      <c r="M334" t="inlineStr">
        <is>
          <t>EQUIPO DE 4: cada docente atiende un grupo de estudiantes en su área · Con: Pulgarín Ortiz César Marino (CSI); Montaño Arizala Leidis Claudina (ETR); Angulo Lucero Andrés Mauricio (TEI)</t>
        </is>
      </c>
      <c r="N334">
        <f>C334&amp;"|"&amp;D334</f>
        <v/>
      </c>
      <c r="O334">
        <f>COUNTIF($N$2:N334,N334)</f>
        <v/>
      </c>
      <c r="P334">
        <f>N334&amp;"|"&amp;O334</f>
        <v/>
      </c>
      <c r="Q334">
        <f>C334&amp;"|"&amp;D334&amp;"|"&amp;A334</f>
        <v/>
      </c>
    </row>
    <row r="335">
      <c r="A335" t="n">
        <v>5</v>
      </c>
      <c r="B335" t="inlineStr">
        <is>
          <t>Bastidas Valencia Zeneida Judith</t>
        </is>
      </c>
      <c r="C335" t="inlineStr">
        <is>
          <t>MARTES</t>
        </is>
      </c>
      <c r="D335" t="n">
        <v>5</v>
      </c>
      <c r="E335" t="n">
        <v>3</v>
      </c>
      <c r="F335" t="inlineStr">
        <is>
          <t>ENFASIS</t>
        </is>
      </c>
      <c r="G335" t="inlineStr"/>
      <c r="H335" t="inlineStr">
        <is>
          <t>MAT</t>
        </is>
      </c>
      <c r="I335" t="inlineStr">
        <is>
          <t>CS202</t>
        </is>
      </c>
      <c r="J335" t="inlineStr">
        <is>
          <t>EQUIPO DE 4: cada docente atiende un grupo de estudiantes en su área</t>
        </is>
      </c>
      <c r="K335" t="inlineStr">
        <is>
          <t>Betancourth Ocampo Yohana Patricia (CSI); Estacio Estupiñán Rosario (ETR); Mindineros Satizábal John Jáver (TEI)</t>
        </is>
      </c>
      <c r="L335" t="inlineStr">
        <is>
          <t>ÉNFASIS CS 2-2</t>
        </is>
      </c>
      <c r="M335" t="inlineStr">
        <is>
          <t>EQUIPO DE 4: cada docente atiende un grupo de estudiantes en su área · Con: Betancourth Ocampo Yohana Patricia (CSI); Estacio Estupiñán Rosario (ETR); Mindineros Satizábal John Jáver (TEI)</t>
        </is>
      </c>
      <c r="N335">
        <f>C335&amp;"|"&amp;D335</f>
        <v/>
      </c>
      <c r="O335">
        <f>COUNTIF($N$2:N335,N335)</f>
        <v/>
      </c>
      <c r="P335">
        <f>N335&amp;"|"&amp;O335</f>
        <v/>
      </c>
      <c r="Q335">
        <f>C335&amp;"|"&amp;D335&amp;"|"&amp;A335</f>
        <v/>
      </c>
    </row>
    <row r="336">
      <c r="A336" t="n">
        <v>6</v>
      </c>
      <c r="B336" t="inlineStr">
        <is>
          <t>Betancourth Ocampo Yohana Patricia</t>
        </is>
      </c>
      <c r="C336" t="inlineStr">
        <is>
          <t>MARTES</t>
        </is>
      </c>
      <c r="D336" t="n">
        <v>5</v>
      </c>
      <c r="E336" t="n">
        <v>3</v>
      </c>
      <c r="F336" t="inlineStr">
        <is>
          <t>ENFASIS</t>
        </is>
      </c>
      <c r="G336" t="inlineStr"/>
      <c r="H336" t="inlineStr">
        <is>
          <t>CSI</t>
        </is>
      </c>
      <c r="I336" t="inlineStr">
        <is>
          <t>CS202</t>
        </is>
      </c>
      <c r="J336" t="inlineStr">
        <is>
          <t>EQUIPO DE 4: cada docente atiende un grupo de estudiantes en su área</t>
        </is>
      </c>
      <c r="K336" t="inlineStr">
        <is>
          <t>Estacio Estupiñán Rosario (ETR); Bastidas Valencia Zeneida Judith (MAT); Mindineros Satizábal John Jáver (TEI)</t>
        </is>
      </c>
      <c r="L336" t="inlineStr">
        <is>
          <t>ÉNFASIS CS 2-2</t>
        </is>
      </c>
      <c r="M336" t="inlineStr">
        <is>
          <t>EQUIPO DE 4: cada docente atiende un grupo de estudiantes en su área · Con: Estacio Estupiñán Rosario (ETR); Bastidas Valencia Zeneida Judith (MAT); Mindineros Satizábal John Jáver (TEI)</t>
        </is>
      </c>
      <c r="N336">
        <f>C336&amp;"|"&amp;D336</f>
        <v/>
      </c>
      <c r="O336">
        <f>COUNTIF($N$2:N336,N336)</f>
        <v/>
      </c>
      <c r="P336">
        <f>N336&amp;"|"&amp;O336</f>
        <v/>
      </c>
      <c r="Q336">
        <f>C336&amp;"|"&amp;D336&amp;"|"&amp;A336</f>
        <v/>
      </c>
    </row>
    <row r="337">
      <c r="A337" t="n">
        <v>18</v>
      </c>
      <c r="B337" t="inlineStr">
        <is>
          <t>Estacio Estupiñán Rosario</t>
        </is>
      </c>
      <c r="C337" t="inlineStr">
        <is>
          <t>MARTES</t>
        </is>
      </c>
      <c r="D337" t="n">
        <v>5</v>
      </c>
      <c r="E337" t="n">
        <v>3</v>
      </c>
      <c r="F337" t="inlineStr">
        <is>
          <t>ENFASIS</t>
        </is>
      </c>
      <c r="G337" t="inlineStr"/>
      <c r="H337" t="inlineStr">
        <is>
          <t>ETR</t>
        </is>
      </c>
      <c r="I337" t="inlineStr">
        <is>
          <t>CS202</t>
        </is>
      </c>
      <c r="J337" t="inlineStr">
        <is>
          <t>EQUIPO DE 4: cada docente atiende un grupo de estudiantes en su área</t>
        </is>
      </c>
      <c r="K337" t="inlineStr">
        <is>
          <t>Betancourth Ocampo Yohana Patricia (CSI); Bastidas Valencia Zeneida Judith (MAT); Mindineros Satizábal John Jáver (TEI)</t>
        </is>
      </c>
      <c r="L337" t="inlineStr">
        <is>
          <t>ÉNFASIS CS 2-2</t>
        </is>
      </c>
      <c r="M337" t="inlineStr">
        <is>
          <t>EQUIPO DE 4: cada docente atiende un grupo de estudiantes en su área · Con: Betancourth Ocampo Yohana Patricia (CSI); Bastidas Valencia Zeneida Judith (MAT); Mindineros Satizábal John Jáver (TEI)</t>
        </is>
      </c>
      <c r="N337">
        <f>C337&amp;"|"&amp;D337</f>
        <v/>
      </c>
      <c r="O337">
        <f>COUNTIF($N$2:N337,N337)</f>
        <v/>
      </c>
      <c r="P337">
        <f>N337&amp;"|"&amp;O337</f>
        <v/>
      </c>
      <c r="Q337">
        <f>C337&amp;"|"&amp;D337&amp;"|"&amp;A337</f>
        <v/>
      </c>
    </row>
    <row r="338">
      <c r="A338" t="n">
        <v>29</v>
      </c>
      <c r="B338" t="inlineStr">
        <is>
          <t>Mindineros Satizábal John Jáver</t>
        </is>
      </c>
      <c r="C338" t="inlineStr">
        <is>
          <t>MARTES</t>
        </is>
      </c>
      <c r="D338" t="n">
        <v>5</v>
      </c>
      <c r="E338" t="n">
        <v>3</v>
      </c>
      <c r="F338" t="inlineStr">
        <is>
          <t>ENFASIS</t>
        </is>
      </c>
      <c r="G338" t="inlineStr"/>
      <c r="H338" t="inlineStr">
        <is>
          <t>TEI</t>
        </is>
      </c>
      <c r="I338" t="inlineStr">
        <is>
          <t>CS202</t>
        </is>
      </c>
      <c r="J338" t="inlineStr">
        <is>
          <t>EQUIPO DE 4: cada docente atiende un grupo de estudiantes en su área</t>
        </is>
      </c>
      <c r="K338" t="inlineStr">
        <is>
          <t>Betancourth Ocampo Yohana Patricia (CSI); Estacio Estupiñán Rosario (ETR); Bastidas Valencia Zeneida Judith (MAT)</t>
        </is>
      </c>
      <c r="L338" t="inlineStr">
        <is>
          <t>ÉNFASIS CS 2-2</t>
        </is>
      </c>
      <c r="M338" t="inlineStr">
        <is>
          <t>EQUIPO DE 4: cada docente atiende un grupo de estudiantes en su área · Con: Betancourth Ocampo Yohana Patricia (CSI); Estacio Estupiñán Rosario (ETR); Bastidas Valencia Zeneida Judith (MAT)</t>
        </is>
      </c>
      <c r="N338">
        <f>C338&amp;"|"&amp;D338</f>
        <v/>
      </c>
      <c r="O338">
        <f>COUNTIF($N$2:N338,N338)</f>
        <v/>
      </c>
      <c r="P338">
        <f>N338&amp;"|"&amp;O338</f>
        <v/>
      </c>
      <c r="Q338">
        <f>C338&amp;"|"&amp;D338&amp;"|"&amp;A338</f>
        <v/>
      </c>
    </row>
    <row r="339">
      <c r="A339" t="n">
        <v>16</v>
      </c>
      <c r="B339" t="inlineStr">
        <is>
          <t>Cuero Rincón Hernando Jesús</t>
        </is>
      </c>
      <c r="C339" t="inlineStr">
        <is>
          <t>MARTES</t>
        </is>
      </c>
      <c r="D339" t="n">
        <v>6</v>
      </c>
      <c r="E339" t="n">
        <v>3</v>
      </c>
      <c r="F339" t="inlineStr">
        <is>
          <t>CLASE</t>
        </is>
      </c>
      <c r="G339" t="inlineStr">
        <is>
          <t>0601</t>
        </is>
      </c>
      <c r="H339" t="inlineStr">
        <is>
          <t>TEI</t>
        </is>
      </c>
      <c r="I339" t="inlineStr"/>
      <c r="J339" t="inlineStr"/>
      <c r="K339" t="inlineStr"/>
      <c r="L339" t="inlineStr">
        <is>
          <t>6°-1</t>
        </is>
      </c>
      <c r="M339" t="inlineStr"/>
      <c r="N339">
        <f>C339&amp;"|"&amp;D339</f>
        <v/>
      </c>
      <c r="O339">
        <f>COUNTIF($N$2:N339,N339)</f>
        <v/>
      </c>
      <c r="P339">
        <f>N339&amp;"|"&amp;O339</f>
        <v/>
      </c>
      <c r="Q339">
        <f>C339&amp;"|"&amp;D339&amp;"|"&amp;A339</f>
        <v/>
      </c>
    </row>
    <row r="340">
      <c r="A340" t="n">
        <v>37</v>
      </c>
      <c r="B340" t="inlineStr">
        <is>
          <t>Prado Quiñones Genís Maribel</t>
        </is>
      </c>
      <c r="C340" t="inlineStr">
        <is>
          <t>MARTES</t>
        </is>
      </c>
      <c r="D340" t="n">
        <v>6</v>
      </c>
      <c r="E340" t="n">
        <v>3</v>
      </c>
      <c r="F340" t="inlineStr">
        <is>
          <t>CLASE</t>
        </is>
      </c>
      <c r="G340" t="inlineStr">
        <is>
          <t>0602</t>
        </is>
      </c>
      <c r="H340" t="inlineStr">
        <is>
          <t>CNA</t>
        </is>
      </c>
      <c r="I340" t="inlineStr"/>
      <c r="J340" t="inlineStr"/>
      <c r="K340" t="inlineStr"/>
      <c r="L340" t="inlineStr">
        <is>
          <t>6°-2</t>
        </is>
      </c>
      <c r="M340" t="inlineStr"/>
      <c r="N340">
        <f>C340&amp;"|"&amp;D340</f>
        <v/>
      </c>
      <c r="O340">
        <f>COUNTIF($N$2:N340,N340)</f>
        <v/>
      </c>
      <c r="P340">
        <f>N340&amp;"|"&amp;O340</f>
        <v/>
      </c>
      <c r="Q340">
        <f>C340&amp;"|"&amp;D340&amp;"|"&amp;A340</f>
        <v/>
      </c>
    </row>
    <row r="341">
      <c r="A341" t="n">
        <v>39</v>
      </c>
      <c r="B341" t="inlineStr">
        <is>
          <t>Puches Ana Milena</t>
        </is>
      </c>
      <c r="C341" t="inlineStr">
        <is>
          <t>MARTES</t>
        </is>
      </c>
      <c r="D341" t="n">
        <v>6</v>
      </c>
      <c r="E341" t="n">
        <v>3</v>
      </c>
      <c r="F341" t="inlineStr">
        <is>
          <t>CLASE</t>
        </is>
      </c>
      <c r="G341" t="inlineStr">
        <is>
          <t>0701</t>
        </is>
      </c>
      <c r="H341" t="inlineStr">
        <is>
          <t>ART</t>
        </is>
      </c>
      <c r="I341" t="inlineStr"/>
      <c r="J341" t="inlineStr"/>
      <c r="K341" t="inlineStr"/>
      <c r="L341" t="inlineStr">
        <is>
          <t>7°-1</t>
        </is>
      </c>
      <c r="M341" t="inlineStr"/>
      <c r="N341">
        <f>C341&amp;"|"&amp;D341</f>
        <v/>
      </c>
      <c r="O341">
        <f>COUNTIF($N$2:N341,N341)</f>
        <v/>
      </c>
      <c r="P341">
        <f>N341&amp;"|"&amp;O341</f>
        <v/>
      </c>
      <c r="Q341">
        <f>C341&amp;"|"&amp;D341&amp;"|"&amp;A341</f>
        <v/>
      </c>
    </row>
    <row r="342">
      <c r="A342" t="n">
        <v>10</v>
      </c>
      <c r="B342" t="inlineStr">
        <is>
          <t>Castillo Cuero Daira Eneida</t>
        </is>
      </c>
      <c r="C342" t="inlineStr">
        <is>
          <t>MARTES</t>
        </is>
      </c>
      <c r="D342" t="n">
        <v>6</v>
      </c>
      <c r="E342" t="n">
        <v>3</v>
      </c>
      <c r="F342" t="inlineStr">
        <is>
          <t>CLASE</t>
        </is>
      </c>
      <c r="G342" t="inlineStr">
        <is>
          <t>0702</t>
        </is>
      </c>
      <c r="H342" t="inlineStr">
        <is>
          <t>CAS</t>
        </is>
      </c>
      <c r="I342" t="inlineStr"/>
      <c r="J342" t="inlineStr"/>
      <c r="K342" t="inlineStr"/>
      <c r="L342" t="inlineStr">
        <is>
          <t>7°-2</t>
        </is>
      </c>
      <c r="M342" t="inlineStr"/>
      <c r="N342">
        <f>C342&amp;"|"&amp;D342</f>
        <v/>
      </c>
      <c r="O342">
        <f>COUNTIF($N$2:N342,N342)</f>
        <v/>
      </c>
      <c r="P342">
        <f>N342&amp;"|"&amp;O342</f>
        <v/>
      </c>
      <c r="Q342">
        <f>C342&amp;"|"&amp;D342&amp;"|"&amp;A342</f>
        <v/>
      </c>
    </row>
    <row r="343">
      <c r="A343" t="n">
        <v>41</v>
      </c>
      <c r="B343" t="inlineStr">
        <is>
          <t>Quintero Ramírez María del Carmen</t>
        </is>
      </c>
      <c r="C343" t="inlineStr">
        <is>
          <t>MARTES</t>
        </is>
      </c>
      <c r="D343" t="n">
        <v>6</v>
      </c>
      <c r="E343" t="n">
        <v>3</v>
      </c>
      <c r="F343" t="inlineStr">
        <is>
          <t>CLASE</t>
        </is>
      </c>
      <c r="G343" t="inlineStr">
        <is>
          <t>0703</t>
        </is>
      </c>
      <c r="H343" t="inlineStr">
        <is>
          <t>CSI</t>
        </is>
      </c>
      <c r="I343" t="inlineStr"/>
      <c r="J343" t="inlineStr">
        <is>
          <t>Sociales / Inglés (alternan cada semana)</t>
        </is>
      </c>
      <c r="K343" t="inlineStr"/>
      <c r="L343" t="inlineStr">
        <is>
          <t>7°-3</t>
        </is>
      </c>
      <c r="M343" t="inlineStr">
        <is>
          <t>Sociales / Inglés (alternan cada semana)</t>
        </is>
      </c>
      <c r="N343">
        <f>C343&amp;"|"&amp;D343</f>
        <v/>
      </c>
      <c r="O343">
        <f>COUNTIF($N$2:N343,N343)</f>
        <v/>
      </c>
      <c r="P343">
        <f>N343&amp;"|"&amp;O343</f>
        <v/>
      </c>
      <c r="Q343">
        <f>C343&amp;"|"&amp;D343&amp;"|"&amp;A343</f>
        <v/>
      </c>
    </row>
    <row r="344">
      <c r="A344" t="n">
        <v>9</v>
      </c>
      <c r="B344" t="inlineStr">
        <is>
          <t>Castillo Angulo Martha Cecilia</t>
        </is>
      </c>
      <c r="C344" t="inlineStr">
        <is>
          <t>MARTES</t>
        </is>
      </c>
      <c r="D344" t="n">
        <v>6</v>
      </c>
      <c r="E344" t="n">
        <v>3</v>
      </c>
      <c r="F344" t="inlineStr">
        <is>
          <t>CLASE</t>
        </is>
      </c>
      <c r="G344" t="inlineStr">
        <is>
          <t>0801</t>
        </is>
      </c>
      <c r="H344" t="inlineStr">
        <is>
          <t>ETR</t>
        </is>
      </c>
      <c r="I344" t="inlineStr"/>
      <c r="J344" t="inlineStr">
        <is>
          <t>Ética / Religión (alternan cada semana)</t>
        </is>
      </c>
      <c r="K344" t="inlineStr"/>
      <c r="L344" t="inlineStr">
        <is>
          <t>8°-1</t>
        </is>
      </c>
      <c r="M344" t="inlineStr">
        <is>
          <t>Ética / Religión (alternan cada semana)</t>
        </is>
      </c>
      <c r="N344">
        <f>C344&amp;"|"&amp;D344</f>
        <v/>
      </c>
      <c r="O344">
        <f>COUNTIF($N$2:N344,N344)</f>
        <v/>
      </c>
      <c r="P344">
        <f>N344&amp;"|"&amp;O344</f>
        <v/>
      </c>
      <c r="Q344">
        <f>C344&amp;"|"&amp;D344&amp;"|"&amp;A344</f>
        <v/>
      </c>
    </row>
    <row r="345">
      <c r="A345" t="n">
        <v>44</v>
      </c>
      <c r="B345" t="inlineStr">
        <is>
          <t>Samaniego Angulo Flor Mireya</t>
        </is>
      </c>
      <c r="C345" t="inlineStr">
        <is>
          <t>MARTES</t>
        </is>
      </c>
      <c r="D345" t="n">
        <v>6</v>
      </c>
      <c r="E345" t="n">
        <v>3</v>
      </c>
      <c r="F345" t="inlineStr">
        <is>
          <t>CLASE</t>
        </is>
      </c>
      <c r="G345" t="inlineStr">
        <is>
          <t>0802</t>
        </is>
      </c>
      <c r="H345" t="inlineStr">
        <is>
          <t>ART</t>
        </is>
      </c>
      <c r="I345" t="inlineStr"/>
      <c r="J345" t="inlineStr"/>
      <c r="K345" t="inlineStr"/>
      <c r="L345" t="inlineStr">
        <is>
          <t>8°-2</t>
        </is>
      </c>
      <c r="M345" t="inlineStr"/>
      <c r="N345">
        <f>C345&amp;"|"&amp;D345</f>
        <v/>
      </c>
      <c r="O345">
        <f>COUNTIF($N$2:N345,N345)</f>
        <v/>
      </c>
      <c r="P345">
        <f>N345&amp;"|"&amp;O345</f>
        <v/>
      </c>
      <c r="Q345">
        <f>C345&amp;"|"&amp;D345&amp;"|"&amp;A345</f>
        <v/>
      </c>
    </row>
    <row r="346">
      <c r="A346" t="n">
        <v>28</v>
      </c>
      <c r="B346" t="inlineStr">
        <is>
          <t>Meza Banguera Gladys Alicia</t>
        </is>
      </c>
      <c r="C346" t="inlineStr">
        <is>
          <t>MARTES</t>
        </is>
      </c>
      <c r="D346" t="n">
        <v>6</v>
      </c>
      <c r="E346" t="n">
        <v>3</v>
      </c>
      <c r="F346" t="inlineStr">
        <is>
          <t>CLASE</t>
        </is>
      </c>
      <c r="G346" t="inlineStr">
        <is>
          <t>0901</t>
        </is>
      </c>
      <c r="H346" t="inlineStr">
        <is>
          <t>CAS</t>
        </is>
      </c>
      <c r="I346" t="inlineStr"/>
      <c r="J346" t="inlineStr"/>
      <c r="K346" t="inlineStr"/>
      <c r="L346" t="inlineStr">
        <is>
          <t>9°-1</t>
        </is>
      </c>
      <c r="M346" t="inlineStr"/>
      <c r="N346">
        <f>C346&amp;"|"&amp;D346</f>
        <v/>
      </c>
      <c r="O346">
        <f>COUNTIF($N$2:N346,N346)</f>
        <v/>
      </c>
      <c r="P346">
        <f>N346&amp;"|"&amp;O346</f>
        <v/>
      </c>
      <c r="Q346">
        <f>C346&amp;"|"&amp;D346&amp;"|"&amp;A346</f>
        <v/>
      </c>
    </row>
    <row r="347">
      <c r="A347" t="n">
        <v>25</v>
      </c>
      <c r="B347" t="inlineStr">
        <is>
          <t>Lemos Guancha Miriam</t>
        </is>
      </c>
      <c r="C347" t="inlineStr">
        <is>
          <t>MARTES</t>
        </is>
      </c>
      <c r="D347" t="n">
        <v>6</v>
      </c>
      <c r="E347" t="n">
        <v>3</v>
      </c>
      <c r="F347" t="inlineStr">
        <is>
          <t>CLASE</t>
        </is>
      </c>
      <c r="G347" t="inlineStr">
        <is>
          <t>0902</t>
        </is>
      </c>
      <c r="H347" t="inlineStr">
        <is>
          <t>CNA</t>
        </is>
      </c>
      <c r="I347" t="inlineStr"/>
      <c r="J347" t="inlineStr"/>
      <c r="K347" t="inlineStr"/>
      <c r="L347" t="inlineStr">
        <is>
          <t>9°-2</t>
        </is>
      </c>
      <c r="M347" t="inlineStr"/>
      <c r="N347">
        <f>C347&amp;"|"&amp;D347</f>
        <v/>
      </c>
      <c r="O347">
        <f>COUNTIF($N$2:N347,N347)</f>
        <v/>
      </c>
      <c r="P347">
        <f>N347&amp;"|"&amp;O347</f>
        <v/>
      </c>
      <c r="Q347">
        <f>C347&amp;"|"&amp;D347&amp;"|"&amp;A347</f>
        <v/>
      </c>
    </row>
    <row r="348">
      <c r="A348" t="n">
        <v>22</v>
      </c>
      <c r="B348" t="inlineStr">
        <is>
          <t>González Castillo Jólmer Jimy</t>
        </is>
      </c>
      <c r="C348" t="inlineStr">
        <is>
          <t>MARTES</t>
        </is>
      </c>
      <c r="D348" t="n">
        <v>6</v>
      </c>
      <c r="E348" t="n">
        <v>3</v>
      </c>
      <c r="F348" t="inlineStr">
        <is>
          <t>CLASE</t>
        </is>
      </c>
      <c r="G348" t="inlineStr">
        <is>
          <t>1001</t>
        </is>
      </c>
      <c r="H348" t="inlineStr">
        <is>
          <t>ERD</t>
        </is>
      </c>
      <c r="I348" t="inlineStr"/>
      <c r="J348" t="inlineStr"/>
      <c r="K348" t="inlineStr"/>
      <c r="L348" t="inlineStr">
        <is>
          <t>10°-1</t>
        </is>
      </c>
      <c r="M348" t="inlineStr"/>
      <c r="N348">
        <f>C348&amp;"|"&amp;D348</f>
        <v/>
      </c>
      <c r="O348">
        <f>COUNTIF($N$2:N348,N348)</f>
        <v/>
      </c>
      <c r="P348">
        <f>N348&amp;"|"&amp;O348</f>
        <v/>
      </c>
      <c r="Q348">
        <f>C348&amp;"|"&amp;D348&amp;"|"&amp;A348</f>
        <v/>
      </c>
    </row>
    <row r="349">
      <c r="A349" t="n">
        <v>3</v>
      </c>
      <c r="B349" t="inlineStr">
        <is>
          <t>Arboleda Ortiz Luz América</t>
        </is>
      </c>
      <c r="C349" t="inlineStr">
        <is>
          <t>MARTES</t>
        </is>
      </c>
      <c r="D349" t="n">
        <v>6</v>
      </c>
      <c r="E349" t="n">
        <v>3</v>
      </c>
      <c r="F349" t="inlineStr">
        <is>
          <t>CLASE</t>
        </is>
      </c>
      <c r="G349" t="inlineStr">
        <is>
          <t>1101</t>
        </is>
      </c>
      <c r="H349" t="inlineStr">
        <is>
          <t>ART</t>
        </is>
      </c>
      <c r="I349" t="inlineStr"/>
      <c r="J349" t="inlineStr"/>
      <c r="K349" t="inlineStr"/>
      <c r="L349" t="inlineStr">
        <is>
          <t>11°-1</t>
        </is>
      </c>
      <c r="M349" t="inlineStr"/>
      <c r="N349">
        <f>C349&amp;"|"&amp;D349</f>
        <v/>
      </c>
      <c r="O349">
        <f>COUNTIF($N$2:N349,N349)</f>
        <v/>
      </c>
      <c r="P349">
        <f>N349&amp;"|"&amp;O349</f>
        <v/>
      </c>
      <c r="Q349">
        <f>C349&amp;"|"&amp;D349&amp;"|"&amp;A349</f>
        <v/>
      </c>
    </row>
    <row r="350">
      <c r="A350" t="n">
        <v>53</v>
      </c>
      <c r="B350" t="inlineStr">
        <is>
          <t>Villota Rubio Héctor Hugo</t>
        </is>
      </c>
      <c r="C350" t="inlineStr">
        <is>
          <t>MARTES</t>
        </is>
      </c>
      <c r="D350" t="n">
        <v>6</v>
      </c>
      <c r="E350" t="n">
        <v>3</v>
      </c>
      <c r="F350" t="inlineStr">
        <is>
          <t>CLASE</t>
        </is>
      </c>
      <c r="G350" t="inlineStr">
        <is>
          <t>1102</t>
        </is>
      </c>
      <c r="H350" t="inlineStr">
        <is>
          <t>CNA</t>
        </is>
      </c>
      <c r="I350" t="inlineStr"/>
      <c r="J350" t="inlineStr"/>
      <c r="K350" t="inlineStr"/>
      <c r="L350" t="inlineStr">
        <is>
          <t>11°-2</t>
        </is>
      </c>
      <c r="M350" t="inlineStr"/>
      <c r="N350">
        <f>C350&amp;"|"&amp;D350</f>
        <v/>
      </c>
      <c r="O350">
        <f>COUNTIF($N$2:N350,N350)</f>
        <v/>
      </c>
      <c r="P350">
        <f>N350&amp;"|"&amp;O350</f>
        <v/>
      </c>
      <c r="Q350">
        <f>C350&amp;"|"&amp;D350&amp;"|"&amp;A350</f>
        <v/>
      </c>
    </row>
    <row r="351">
      <c r="A351" t="n">
        <v>20</v>
      </c>
      <c r="B351" t="inlineStr">
        <is>
          <t>García Gobea Saydi Magali</t>
        </is>
      </c>
      <c r="C351" t="inlineStr">
        <is>
          <t>MARTES</t>
        </is>
      </c>
      <c r="D351" t="n">
        <v>6</v>
      </c>
      <c r="E351" t="n">
        <v>3</v>
      </c>
      <c r="F351" t="inlineStr">
        <is>
          <t>CLASE</t>
        </is>
      </c>
      <c r="G351" t="inlineStr">
        <is>
          <t>CS101</t>
        </is>
      </c>
      <c r="H351" t="inlineStr">
        <is>
          <t>CSI</t>
        </is>
      </c>
      <c r="I351" t="inlineStr"/>
      <c r="J351" t="inlineStr">
        <is>
          <t>Sociales / Inglés (alternan cada semana)</t>
        </is>
      </c>
      <c r="K351" t="inlineStr"/>
      <c r="L351" t="inlineStr">
        <is>
          <t>CS 1-1</t>
        </is>
      </c>
      <c r="M351" t="inlineStr">
        <is>
          <t>Sociales / Inglés (alternan cada semana)</t>
        </is>
      </c>
      <c r="N351">
        <f>C351&amp;"|"&amp;D351</f>
        <v/>
      </c>
      <c r="O351">
        <f>COUNTIF($N$2:N351,N351)</f>
        <v/>
      </c>
      <c r="P351">
        <f>N351&amp;"|"&amp;O351</f>
        <v/>
      </c>
      <c r="Q351">
        <f>C351&amp;"|"&amp;D351&amp;"|"&amp;A351</f>
        <v/>
      </c>
    </row>
    <row r="352">
      <c r="A352" t="n">
        <v>57</v>
      </c>
      <c r="B352" t="inlineStr">
        <is>
          <t>Armero Dájome Jesús</t>
        </is>
      </c>
      <c r="C352" t="inlineStr">
        <is>
          <t>MARTES</t>
        </is>
      </c>
      <c r="D352" t="n">
        <v>6</v>
      </c>
      <c r="E352" t="n">
        <v>3</v>
      </c>
      <c r="F352" t="inlineStr">
        <is>
          <t>CLASE</t>
        </is>
      </c>
      <c r="G352" t="inlineStr">
        <is>
          <t>CS102</t>
        </is>
      </c>
      <c r="H352" t="inlineStr">
        <is>
          <t>ERD</t>
        </is>
      </c>
      <c r="I352" t="inlineStr"/>
      <c r="J352" t="inlineStr"/>
      <c r="K352" t="inlineStr"/>
      <c r="L352" t="inlineStr">
        <is>
          <t>CS 1-2</t>
        </is>
      </c>
      <c r="M352" t="inlineStr"/>
      <c r="N352">
        <f>C352&amp;"|"&amp;D352</f>
        <v/>
      </c>
      <c r="O352">
        <f>COUNTIF($N$2:N352,N352)</f>
        <v/>
      </c>
      <c r="P352">
        <f>N352&amp;"|"&amp;O352</f>
        <v/>
      </c>
      <c r="Q352">
        <f>C352&amp;"|"&amp;D352&amp;"|"&amp;A352</f>
        <v/>
      </c>
    </row>
    <row r="353">
      <c r="A353" t="n">
        <v>51</v>
      </c>
      <c r="B353" t="inlineStr">
        <is>
          <t>Valverde Montaño María Teresa</t>
        </is>
      </c>
      <c r="C353" t="inlineStr">
        <is>
          <t>MARTES</t>
        </is>
      </c>
      <c r="D353" t="n">
        <v>6</v>
      </c>
      <c r="E353" t="n">
        <v>3</v>
      </c>
      <c r="F353" t="inlineStr">
        <is>
          <t>CLASE</t>
        </is>
      </c>
      <c r="G353" t="inlineStr">
        <is>
          <t>CS201</t>
        </is>
      </c>
      <c r="H353" t="inlineStr">
        <is>
          <t>CAS</t>
        </is>
      </c>
      <c r="I353" t="inlineStr"/>
      <c r="J353" t="inlineStr"/>
      <c r="K353" t="inlineStr"/>
      <c r="L353" t="inlineStr">
        <is>
          <t>CS 2-1</t>
        </is>
      </c>
      <c r="M353" t="inlineStr"/>
      <c r="N353">
        <f>C353&amp;"|"&amp;D353</f>
        <v/>
      </c>
      <c r="O353">
        <f>COUNTIF($N$2:N353,N353)</f>
        <v/>
      </c>
      <c r="P353">
        <f>N353&amp;"|"&amp;O353</f>
        <v/>
      </c>
      <c r="Q353">
        <f>C353&amp;"|"&amp;D353&amp;"|"&amp;A353</f>
        <v/>
      </c>
    </row>
    <row r="354">
      <c r="A354" t="n">
        <v>19</v>
      </c>
      <c r="B354" t="inlineStr">
        <is>
          <t>Fernández Vélez Alfredo Enrique</t>
        </is>
      </c>
      <c r="C354" t="inlineStr">
        <is>
          <t>MARTES</t>
        </is>
      </c>
      <c r="D354" t="n">
        <v>6</v>
      </c>
      <c r="E354" t="n">
        <v>3</v>
      </c>
      <c r="F354" t="inlineStr">
        <is>
          <t>ENFASIS</t>
        </is>
      </c>
      <c r="G354" t="inlineStr"/>
      <c r="H354" t="inlineStr">
        <is>
          <t>TEI</t>
        </is>
      </c>
      <c r="I354" t="inlineStr">
        <is>
          <t>0704</t>
        </is>
      </c>
      <c r="J354" t="inlineStr">
        <is>
          <t>PAREJA: comparten el énfasis y alternan por semana</t>
        </is>
      </c>
      <c r="K354" t="inlineStr">
        <is>
          <t>Preciado Torres Oleisa (MAT)</t>
        </is>
      </c>
      <c r="L354" t="inlineStr">
        <is>
          <t>ÉNFASIS 7°-4</t>
        </is>
      </c>
      <c r="M354" t="inlineStr">
        <is>
          <t>PAREJA: comparten el énfasis y alternan por semana · Con: Preciado Torres Oleisa (MAT)</t>
        </is>
      </c>
      <c r="N354">
        <f>C354&amp;"|"&amp;D354</f>
        <v/>
      </c>
      <c r="O354">
        <f>COUNTIF($N$2:N354,N354)</f>
        <v/>
      </c>
      <c r="P354">
        <f>N354&amp;"|"&amp;O354</f>
        <v/>
      </c>
      <c r="Q354">
        <f>C354&amp;"|"&amp;D354&amp;"|"&amp;A354</f>
        <v/>
      </c>
    </row>
    <row r="355">
      <c r="A355" t="n">
        <v>38</v>
      </c>
      <c r="B355" t="inlineStr">
        <is>
          <t>Preciado Torres Oleisa</t>
        </is>
      </c>
      <c r="C355" t="inlineStr">
        <is>
          <t>MARTES</t>
        </is>
      </c>
      <c r="D355" t="n">
        <v>6</v>
      </c>
      <c r="E355" t="n">
        <v>3</v>
      </c>
      <c r="F355" t="inlineStr">
        <is>
          <t>ENFASIS</t>
        </is>
      </c>
      <c r="G355" t="inlineStr"/>
      <c r="H355" t="inlineStr">
        <is>
          <t>MAT</t>
        </is>
      </c>
      <c r="I355" t="inlineStr">
        <is>
          <t>0704</t>
        </is>
      </c>
      <c r="J355" t="inlineStr">
        <is>
          <t>PAREJA: comparten el énfasis y alternan por semana</t>
        </is>
      </c>
      <c r="K355" t="inlineStr">
        <is>
          <t>Fernández Vélez Alfredo Enrique (TEI)</t>
        </is>
      </c>
      <c r="L355" t="inlineStr">
        <is>
          <t>ÉNFASIS 7°-4</t>
        </is>
      </c>
      <c r="M355" t="inlineStr">
        <is>
          <t>PAREJA: comparten el énfasis y alternan por semana · Con: Fernández Vélez Alfredo Enrique (TEI)</t>
        </is>
      </c>
      <c r="N355">
        <f>C355&amp;"|"&amp;D355</f>
        <v/>
      </c>
      <c r="O355">
        <f>COUNTIF($N$2:N355,N355)</f>
        <v/>
      </c>
      <c r="P355">
        <f>N355&amp;"|"&amp;O355</f>
        <v/>
      </c>
      <c r="Q355">
        <f>C355&amp;"|"&amp;D355&amp;"|"&amp;A355</f>
        <v/>
      </c>
    </row>
    <row r="356">
      <c r="A356" t="n">
        <v>2</v>
      </c>
      <c r="B356" t="inlineStr">
        <is>
          <t>Angulo Lucero Andrés Mauricio</t>
        </is>
      </c>
      <c r="C356" t="inlineStr">
        <is>
          <t>MARTES</t>
        </is>
      </c>
      <c r="D356" t="n">
        <v>6</v>
      </c>
      <c r="E356" t="n">
        <v>3</v>
      </c>
      <c r="F356" t="inlineStr">
        <is>
          <t>ENFASIS</t>
        </is>
      </c>
      <c r="G356" t="inlineStr"/>
      <c r="H356" t="inlineStr">
        <is>
          <t>TEI</t>
        </is>
      </c>
      <c r="I356" t="inlineStr">
        <is>
          <t>1002</t>
        </is>
      </c>
      <c r="J356" t="inlineStr">
        <is>
          <t>EQUIPO DE 4: cada docente atiende un grupo de estudiantes en su área</t>
        </is>
      </c>
      <c r="K356" t="inlineStr">
        <is>
          <t>Pulgarín Ortiz César Marino (CSI); Montaño Arizala Leidis Claudina (ETR); Villota Rubio Janeth del Carmen (MAT)</t>
        </is>
      </c>
      <c r="L356" t="inlineStr">
        <is>
          <t>ÉNFASIS 10°-2</t>
        </is>
      </c>
      <c r="M356" t="inlineStr">
        <is>
          <t>EQUIPO DE 4: cada docente atiende un grupo de estudiantes en su área · Con: Pulgarín Ortiz César Marino (CSI); Montaño Arizala Leidis Claudina (ETR); Villota Rubio Janeth del Carmen (MAT)</t>
        </is>
      </c>
      <c r="N356">
        <f>C356&amp;"|"&amp;D356</f>
        <v/>
      </c>
      <c r="O356">
        <f>COUNTIF($N$2:N356,N356)</f>
        <v/>
      </c>
      <c r="P356">
        <f>N356&amp;"|"&amp;O356</f>
        <v/>
      </c>
      <c r="Q356">
        <f>C356&amp;"|"&amp;D356&amp;"|"&amp;A356</f>
        <v/>
      </c>
    </row>
    <row r="357">
      <c r="A357" t="n">
        <v>31</v>
      </c>
      <c r="B357" t="inlineStr">
        <is>
          <t>Montaño Arizala Leidis Claudina</t>
        </is>
      </c>
      <c r="C357" t="inlineStr">
        <is>
          <t>MARTES</t>
        </is>
      </c>
      <c r="D357" t="n">
        <v>6</v>
      </c>
      <c r="E357" t="n">
        <v>3</v>
      </c>
      <c r="F357" t="inlineStr">
        <is>
          <t>ENFASIS</t>
        </is>
      </c>
      <c r="G357" t="inlineStr"/>
      <c r="H357" t="inlineStr">
        <is>
          <t>ETR</t>
        </is>
      </c>
      <c r="I357" t="inlineStr">
        <is>
          <t>1002</t>
        </is>
      </c>
      <c r="J357" t="inlineStr">
        <is>
          <t>EQUIPO DE 4: cada docente atiende un grupo de estudiantes en su área</t>
        </is>
      </c>
      <c r="K357" t="inlineStr">
        <is>
          <t>Pulgarín Ortiz César Marino (CSI); Villota Rubio Janeth del Carmen (MAT); Angulo Lucero Andrés Mauricio (TEI)</t>
        </is>
      </c>
      <c r="L357" t="inlineStr">
        <is>
          <t>ÉNFASIS 10°-2</t>
        </is>
      </c>
      <c r="M357" t="inlineStr">
        <is>
          <t>EQUIPO DE 4: cada docente atiende un grupo de estudiantes en su área · Con: Pulgarín Ortiz César Marino (CSI); Villota Rubio Janeth del Carmen (MAT); Angulo Lucero Andrés Mauricio (TEI)</t>
        </is>
      </c>
      <c r="N357">
        <f>C357&amp;"|"&amp;D357</f>
        <v/>
      </c>
      <c r="O357">
        <f>COUNTIF($N$2:N357,N357)</f>
        <v/>
      </c>
      <c r="P357">
        <f>N357&amp;"|"&amp;O357</f>
        <v/>
      </c>
      <c r="Q357">
        <f>C357&amp;"|"&amp;D357&amp;"|"&amp;A357</f>
        <v/>
      </c>
    </row>
    <row r="358">
      <c r="A358" t="n">
        <v>40</v>
      </c>
      <c r="B358" t="inlineStr">
        <is>
          <t>Pulgarín Ortiz César Marino</t>
        </is>
      </c>
      <c r="C358" t="inlineStr">
        <is>
          <t>MARTES</t>
        </is>
      </c>
      <c r="D358" t="n">
        <v>6</v>
      </c>
      <c r="E358" t="n">
        <v>3</v>
      </c>
      <c r="F358" t="inlineStr">
        <is>
          <t>ENFASIS</t>
        </is>
      </c>
      <c r="G358" t="inlineStr"/>
      <c r="H358" t="inlineStr">
        <is>
          <t>CSI</t>
        </is>
      </c>
      <c r="I358" t="inlineStr">
        <is>
          <t>1002</t>
        </is>
      </c>
      <c r="J358" t="inlineStr">
        <is>
          <t>EQUIPO DE 4: cada docente atiende un grupo de estudiantes en su área</t>
        </is>
      </c>
      <c r="K358" t="inlineStr">
        <is>
          <t>Montaño Arizala Leidis Claudina (ETR); Villota Rubio Janeth del Carmen (MAT); Angulo Lucero Andrés Mauricio (TEI)</t>
        </is>
      </c>
      <c r="L358" t="inlineStr">
        <is>
          <t>ÉNFASIS 10°-2</t>
        </is>
      </c>
      <c r="M358" t="inlineStr">
        <is>
          <t>EQUIPO DE 4: cada docente atiende un grupo de estudiantes en su área · Con: Montaño Arizala Leidis Claudina (ETR); Villota Rubio Janeth del Carmen (MAT); Angulo Lucero Andrés Mauricio (TEI)</t>
        </is>
      </c>
      <c r="N358">
        <f>C358&amp;"|"&amp;D358</f>
        <v/>
      </c>
      <c r="O358">
        <f>COUNTIF($N$2:N358,N358)</f>
        <v/>
      </c>
      <c r="P358">
        <f>N358&amp;"|"&amp;O358</f>
        <v/>
      </c>
      <c r="Q358">
        <f>C358&amp;"|"&amp;D358&amp;"|"&amp;A358</f>
        <v/>
      </c>
    </row>
    <row r="359">
      <c r="A359" t="n">
        <v>54</v>
      </c>
      <c r="B359" t="inlineStr">
        <is>
          <t>Villota Rubio Janeth del Carmen</t>
        </is>
      </c>
      <c r="C359" t="inlineStr">
        <is>
          <t>MARTES</t>
        </is>
      </c>
      <c r="D359" t="n">
        <v>6</v>
      </c>
      <c r="E359" t="n">
        <v>3</v>
      </c>
      <c r="F359" t="inlineStr">
        <is>
          <t>ENFASIS</t>
        </is>
      </c>
      <c r="G359" t="inlineStr"/>
      <c r="H359" t="inlineStr">
        <is>
          <t>MAT</t>
        </is>
      </c>
      <c r="I359" t="inlineStr">
        <is>
          <t>1002</t>
        </is>
      </c>
      <c r="J359" t="inlineStr">
        <is>
          <t>EQUIPO DE 4: cada docente atiende un grupo de estudiantes en su área</t>
        </is>
      </c>
      <c r="K359" t="inlineStr">
        <is>
          <t>Pulgarín Ortiz César Marino (CSI); Montaño Arizala Leidis Claudina (ETR); Angulo Lucero Andrés Mauricio (TEI)</t>
        </is>
      </c>
      <c r="L359" t="inlineStr">
        <is>
          <t>ÉNFASIS 10°-2</t>
        </is>
      </c>
      <c r="M359" t="inlineStr">
        <is>
          <t>EQUIPO DE 4: cada docente atiende un grupo de estudiantes en su área · Con: Pulgarín Ortiz César Marino (CSI); Montaño Arizala Leidis Claudina (ETR); Angulo Lucero Andrés Mauricio (TEI)</t>
        </is>
      </c>
      <c r="N359">
        <f>C359&amp;"|"&amp;D359</f>
        <v/>
      </c>
      <c r="O359">
        <f>COUNTIF($N$2:N359,N359)</f>
        <v/>
      </c>
      <c r="P359">
        <f>N359&amp;"|"&amp;O359</f>
        <v/>
      </c>
      <c r="Q359">
        <f>C359&amp;"|"&amp;D359&amp;"|"&amp;A359</f>
        <v/>
      </c>
    </row>
    <row r="360">
      <c r="A360" t="n">
        <v>5</v>
      </c>
      <c r="B360" t="inlineStr">
        <is>
          <t>Bastidas Valencia Zeneida Judith</t>
        </is>
      </c>
      <c r="C360" t="inlineStr">
        <is>
          <t>MARTES</t>
        </is>
      </c>
      <c r="D360" t="n">
        <v>6</v>
      </c>
      <c r="E360" t="n">
        <v>3</v>
      </c>
      <c r="F360" t="inlineStr">
        <is>
          <t>ENFASIS</t>
        </is>
      </c>
      <c r="G360" t="inlineStr"/>
      <c r="H360" t="inlineStr">
        <is>
          <t>MAT</t>
        </is>
      </c>
      <c r="I360" t="inlineStr">
        <is>
          <t>CS202</t>
        </is>
      </c>
      <c r="J360" t="inlineStr">
        <is>
          <t>EQUIPO DE 4: cada docente atiende un grupo de estudiantes en su área</t>
        </is>
      </c>
      <c r="K360" t="inlineStr">
        <is>
          <t>Betancourth Ocampo Yohana Patricia (CSI); Estacio Estupiñán Rosario (ETR); Mindineros Satizábal John Jáver (TEI)</t>
        </is>
      </c>
      <c r="L360" t="inlineStr">
        <is>
          <t>ÉNFASIS CS 2-2</t>
        </is>
      </c>
      <c r="M360" t="inlineStr">
        <is>
          <t>EQUIPO DE 4: cada docente atiende un grupo de estudiantes en su área · Con: Betancourth Ocampo Yohana Patricia (CSI); Estacio Estupiñán Rosario (ETR); Mindineros Satizábal John Jáver (TEI)</t>
        </is>
      </c>
      <c r="N360">
        <f>C360&amp;"|"&amp;D360</f>
        <v/>
      </c>
      <c r="O360">
        <f>COUNTIF($N$2:N360,N360)</f>
        <v/>
      </c>
      <c r="P360">
        <f>N360&amp;"|"&amp;O360</f>
        <v/>
      </c>
      <c r="Q360">
        <f>C360&amp;"|"&amp;D360&amp;"|"&amp;A360</f>
        <v/>
      </c>
    </row>
    <row r="361">
      <c r="A361" t="n">
        <v>6</v>
      </c>
      <c r="B361" t="inlineStr">
        <is>
          <t>Betancourth Ocampo Yohana Patricia</t>
        </is>
      </c>
      <c r="C361" t="inlineStr">
        <is>
          <t>MARTES</t>
        </is>
      </c>
      <c r="D361" t="n">
        <v>6</v>
      </c>
      <c r="E361" t="n">
        <v>3</v>
      </c>
      <c r="F361" t="inlineStr">
        <is>
          <t>ENFASIS</t>
        </is>
      </c>
      <c r="G361" t="inlineStr"/>
      <c r="H361" t="inlineStr">
        <is>
          <t>CSI</t>
        </is>
      </c>
      <c r="I361" t="inlineStr">
        <is>
          <t>CS202</t>
        </is>
      </c>
      <c r="J361" t="inlineStr">
        <is>
          <t>EQUIPO DE 4: cada docente atiende un grupo de estudiantes en su área</t>
        </is>
      </c>
      <c r="K361" t="inlineStr">
        <is>
          <t>Estacio Estupiñán Rosario (ETR); Bastidas Valencia Zeneida Judith (MAT); Mindineros Satizábal John Jáver (TEI)</t>
        </is>
      </c>
      <c r="L361" t="inlineStr">
        <is>
          <t>ÉNFASIS CS 2-2</t>
        </is>
      </c>
      <c r="M361" t="inlineStr">
        <is>
          <t>EQUIPO DE 4: cada docente atiende un grupo de estudiantes en su área · Con: Estacio Estupiñán Rosario (ETR); Bastidas Valencia Zeneida Judith (MAT); Mindineros Satizábal John Jáver (TEI)</t>
        </is>
      </c>
      <c r="N361">
        <f>C361&amp;"|"&amp;D361</f>
        <v/>
      </c>
      <c r="O361">
        <f>COUNTIF($N$2:N361,N361)</f>
        <v/>
      </c>
      <c r="P361">
        <f>N361&amp;"|"&amp;O361</f>
        <v/>
      </c>
      <c r="Q361">
        <f>C361&amp;"|"&amp;D361&amp;"|"&amp;A361</f>
        <v/>
      </c>
    </row>
    <row r="362">
      <c r="A362" t="n">
        <v>18</v>
      </c>
      <c r="B362" t="inlineStr">
        <is>
          <t>Estacio Estupiñán Rosario</t>
        </is>
      </c>
      <c r="C362" t="inlineStr">
        <is>
          <t>MARTES</t>
        </is>
      </c>
      <c r="D362" t="n">
        <v>6</v>
      </c>
      <c r="E362" t="n">
        <v>3</v>
      </c>
      <c r="F362" t="inlineStr">
        <is>
          <t>ENFASIS</t>
        </is>
      </c>
      <c r="G362" t="inlineStr"/>
      <c r="H362" t="inlineStr">
        <is>
          <t>ETR</t>
        </is>
      </c>
      <c r="I362" t="inlineStr">
        <is>
          <t>CS202</t>
        </is>
      </c>
      <c r="J362" t="inlineStr">
        <is>
          <t>EQUIPO DE 4: cada docente atiende un grupo de estudiantes en su área</t>
        </is>
      </c>
      <c r="K362" t="inlineStr">
        <is>
          <t>Betancourth Ocampo Yohana Patricia (CSI); Bastidas Valencia Zeneida Judith (MAT); Mindineros Satizábal John Jáver (TEI)</t>
        </is>
      </c>
      <c r="L362" t="inlineStr">
        <is>
          <t>ÉNFASIS CS 2-2</t>
        </is>
      </c>
      <c r="M362" t="inlineStr">
        <is>
          <t>EQUIPO DE 4: cada docente atiende un grupo de estudiantes en su área · Con: Betancourth Ocampo Yohana Patricia (CSI); Bastidas Valencia Zeneida Judith (MAT); Mindineros Satizábal John Jáver (TEI)</t>
        </is>
      </c>
      <c r="N362">
        <f>C362&amp;"|"&amp;D362</f>
        <v/>
      </c>
      <c r="O362">
        <f>COUNTIF($N$2:N362,N362)</f>
        <v/>
      </c>
      <c r="P362">
        <f>N362&amp;"|"&amp;O362</f>
        <v/>
      </c>
      <c r="Q362">
        <f>C362&amp;"|"&amp;D362&amp;"|"&amp;A362</f>
        <v/>
      </c>
    </row>
    <row r="363">
      <c r="A363" t="n">
        <v>29</v>
      </c>
      <c r="B363" t="inlineStr">
        <is>
          <t>Mindineros Satizábal John Jáver</t>
        </is>
      </c>
      <c r="C363" t="inlineStr">
        <is>
          <t>MARTES</t>
        </is>
      </c>
      <c r="D363" t="n">
        <v>6</v>
      </c>
      <c r="E363" t="n">
        <v>3</v>
      </c>
      <c r="F363" t="inlineStr">
        <is>
          <t>ENFASIS</t>
        </is>
      </c>
      <c r="G363" t="inlineStr"/>
      <c r="H363" t="inlineStr">
        <is>
          <t>TEI</t>
        </is>
      </c>
      <c r="I363" t="inlineStr">
        <is>
          <t>CS202</t>
        </is>
      </c>
      <c r="J363" t="inlineStr">
        <is>
          <t>EQUIPO DE 4: cada docente atiende un grupo de estudiantes en su área</t>
        </is>
      </c>
      <c r="K363" t="inlineStr">
        <is>
          <t>Betancourth Ocampo Yohana Patricia (CSI); Estacio Estupiñán Rosario (ETR); Bastidas Valencia Zeneida Judith (MAT)</t>
        </is>
      </c>
      <c r="L363" t="inlineStr">
        <is>
          <t>ÉNFASIS CS 2-2</t>
        </is>
      </c>
      <c r="M363" t="inlineStr">
        <is>
          <t>EQUIPO DE 4: cada docente atiende un grupo de estudiantes en su área · Con: Betancourth Ocampo Yohana Patricia (CSI); Estacio Estupiñán Rosario (ETR); Bastidas Valencia Zeneida Judith (MAT)</t>
        </is>
      </c>
      <c r="N363">
        <f>C363&amp;"|"&amp;D363</f>
        <v/>
      </c>
      <c r="O363">
        <f>COUNTIF($N$2:N363,N363)</f>
        <v/>
      </c>
      <c r="P363">
        <f>N363&amp;"|"&amp;O363</f>
        <v/>
      </c>
      <c r="Q363">
        <f>C363&amp;"|"&amp;D363&amp;"|"&amp;A363</f>
        <v/>
      </c>
    </row>
    <row r="364">
      <c r="A364" t="n">
        <v>41</v>
      </c>
      <c r="B364" t="inlineStr">
        <is>
          <t>Quintero Ramírez María del Carmen</t>
        </is>
      </c>
      <c r="C364" t="inlineStr">
        <is>
          <t>MARTES</t>
        </is>
      </c>
      <c r="D364" t="n">
        <v>7</v>
      </c>
      <c r="E364" t="n">
        <v>4</v>
      </c>
      <c r="F364" t="inlineStr">
        <is>
          <t>CLASE</t>
        </is>
      </c>
      <c r="G364" t="inlineStr">
        <is>
          <t>0701</t>
        </is>
      </c>
      <c r="H364" t="inlineStr">
        <is>
          <t>CSI</t>
        </is>
      </c>
      <c r="I364" t="inlineStr"/>
      <c r="J364" t="inlineStr">
        <is>
          <t>Sociales / Inglés (alternan cada semana)</t>
        </is>
      </c>
      <c r="K364" t="inlineStr"/>
      <c r="L364" t="inlineStr">
        <is>
          <t>7°-1</t>
        </is>
      </c>
      <c r="M364" t="inlineStr">
        <is>
          <t>Sociales / Inglés (alternan cada semana)</t>
        </is>
      </c>
      <c r="N364">
        <f>C364&amp;"|"&amp;D364</f>
        <v/>
      </c>
      <c r="O364">
        <f>COUNTIF($N$2:N364,N364)</f>
        <v/>
      </c>
      <c r="P364">
        <f>N364&amp;"|"&amp;O364</f>
        <v/>
      </c>
      <c r="Q364">
        <f>C364&amp;"|"&amp;D364&amp;"|"&amp;A364</f>
        <v/>
      </c>
    </row>
    <row r="365">
      <c r="A365" t="n">
        <v>52</v>
      </c>
      <c r="B365" t="inlineStr">
        <is>
          <t>Vásquez Valencia Segundo Leoncio</t>
        </is>
      </c>
      <c r="C365" t="inlineStr">
        <is>
          <t>MARTES</t>
        </is>
      </c>
      <c r="D365" t="n">
        <v>7</v>
      </c>
      <c r="E365" t="n">
        <v>4</v>
      </c>
      <c r="F365" t="inlineStr">
        <is>
          <t>CLASE</t>
        </is>
      </c>
      <c r="G365" t="inlineStr">
        <is>
          <t>0702</t>
        </is>
      </c>
      <c r="H365" t="inlineStr">
        <is>
          <t>MAT</t>
        </is>
      </c>
      <c r="I365" t="inlineStr"/>
      <c r="J365" t="inlineStr"/>
      <c r="K365" t="inlineStr"/>
      <c r="L365" t="inlineStr">
        <is>
          <t>7°-2</t>
        </is>
      </c>
      <c r="M365" t="inlineStr"/>
      <c r="N365">
        <f>C365&amp;"|"&amp;D365</f>
        <v/>
      </c>
      <c r="O365">
        <f>COUNTIF($N$2:N365,N365)</f>
        <v/>
      </c>
      <c r="P365">
        <f>N365&amp;"|"&amp;O365</f>
        <v/>
      </c>
      <c r="Q365">
        <f>C365&amp;"|"&amp;D365&amp;"|"&amp;A365</f>
        <v/>
      </c>
    </row>
    <row r="366">
      <c r="A366" t="n">
        <v>8</v>
      </c>
      <c r="B366" t="inlineStr">
        <is>
          <t>Casanova Quiñones Yoli del Carmen</t>
        </is>
      </c>
      <c r="C366" t="inlineStr">
        <is>
          <t>MARTES</t>
        </is>
      </c>
      <c r="D366" t="n">
        <v>7</v>
      </c>
      <c r="E366" t="n">
        <v>4</v>
      </c>
      <c r="F366" t="inlineStr">
        <is>
          <t>CLASE</t>
        </is>
      </c>
      <c r="G366" t="inlineStr">
        <is>
          <t>0703</t>
        </is>
      </c>
      <c r="H366" t="inlineStr">
        <is>
          <t>ETR</t>
        </is>
      </c>
      <c r="I366" t="inlineStr"/>
      <c r="J366" t="inlineStr">
        <is>
          <t>Ética / Religión (alternan cada semana)</t>
        </is>
      </c>
      <c r="K366" t="inlineStr"/>
      <c r="L366" t="inlineStr">
        <is>
          <t>7°-3</t>
        </is>
      </c>
      <c r="M366" t="inlineStr">
        <is>
          <t>Ética / Religión (alternan cada semana)</t>
        </is>
      </c>
      <c r="N366">
        <f>C366&amp;"|"&amp;D366</f>
        <v/>
      </c>
      <c r="O366">
        <f>COUNTIF($N$2:N366,N366)</f>
        <v/>
      </c>
      <c r="P366">
        <f>N366&amp;"|"&amp;O366</f>
        <v/>
      </c>
      <c r="Q366">
        <f>C366&amp;"|"&amp;D366&amp;"|"&amp;A366</f>
        <v/>
      </c>
    </row>
    <row r="367">
      <c r="A367" t="n">
        <v>1</v>
      </c>
      <c r="B367" t="inlineStr">
        <is>
          <t>Aguirre Riascos Jorge Andrés</t>
        </is>
      </c>
      <c r="C367" t="inlineStr">
        <is>
          <t>MARTES</t>
        </is>
      </c>
      <c r="D367" t="n">
        <v>7</v>
      </c>
      <c r="E367" t="n">
        <v>4</v>
      </c>
      <c r="F367" t="inlineStr">
        <is>
          <t>CLASE</t>
        </is>
      </c>
      <c r="G367" t="inlineStr">
        <is>
          <t>0704</t>
        </is>
      </c>
      <c r="H367" t="inlineStr">
        <is>
          <t>TEI</t>
        </is>
      </c>
      <c r="I367" t="inlineStr"/>
      <c r="J367" t="inlineStr"/>
      <c r="K367" t="inlineStr"/>
      <c r="L367" t="inlineStr">
        <is>
          <t>7°-4</t>
        </is>
      </c>
      <c r="M367" t="inlineStr"/>
      <c r="N367">
        <f>C367&amp;"|"&amp;D367</f>
        <v/>
      </c>
      <c r="O367">
        <f>COUNTIF($N$2:N367,N367)</f>
        <v/>
      </c>
      <c r="P367">
        <f>N367&amp;"|"&amp;O367</f>
        <v/>
      </c>
      <c r="Q367">
        <f>C367&amp;"|"&amp;D367&amp;"|"&amp;A367</f>
        <v/>
      </c>
    </row>
    <row r="368">
      <c r="A368" t="n">
        <v>12</v>
      </c>
      <c r="B368" t="inlineStr">
        <is>
          <t>Chillambo Quiñones María Rocío</t>
        </is>
      </c>
      <c r="C368" t="inlineStr">
        <is>
          <t>MARTES</t>
        </is>
      </c>
      <c r="D368" t="n">
        <v>7</v>
      </c>
      <c r="E368" t="n">
        <v>4</v>
      </c>
      <c r="F368" t="inlineStr">
        <is>
          <t>CLASE</t>
        </is>
      </c>
      <c r="G368" t="inlineStr">
        <is>
          <t>0801</t>
        </is>
      </c>
      <c r="H368" t="inlineStr">
        <is>
          <t>CNA</t>
        </is>
      </c>
      <c r="I368" t="inlineStr"/>
      <c r="J368" t="inlineStr"/>
      <c r="K368" t="inlineStr"/>
      <c r="L368" t="inlineStr">
        <is>
          <t>8°-1</t>
        </is>
      </c>
      <c r="M368" t="inlineStr"/>
      <c r="N368">
        <f>C368&amp;"|"&amp;D368</f>
        <v/>
      </c>
      <c r="O368">
        <f>COUNTIF($N$2:N368,N368)</f>
        <v/>
      </c>
      <c r="P368">
        <f>N368&amp;"|"&amp;O368</f>
        <v/>
      </c>
      <c r="Q368">
        <f>C368&amp;"|"&amp;D368&amp;"|"&amp;A368</f>
        <v/>
      </c>
    </row>
    <row r="369">
      <c r="A369" t="n">
        <v>51</v>
      </c>
      <c r="B369" t="inlineStr">
        <is>
          <t>Valverde Montaño María Teresa</t>
        </is>
      </c>
      <c r="C369" t="inlineStr">
        <is>
          <t>MARTES</t>
        </is>
      </c>
      <c r="D369" t="n">
        <v>7</v>
      </c>
      <c r="E369" t="n">
        <v>4</v>
      </c>
      <c r="F369" t="inlineStr">
        <is>
          <t>CLASE</t>
        </is>
      </c>
      <c r="G369" t="inlineStr">
        <is>
          <t>0802</t>
        </is>
      </c>
      <c r="H369" t="inlineStr">
        <is>
          <t>CAS</t>
        </is>
      </c>
      <c r="I369" t="inlineStr"/>
      <c r="J369" t="inlineStr"/>
      <c r="K369" t="inlineStr"/>
      <c r="L369" t="inlineStr">
        <is>
          <t>8°-2</t>
        </is>
      </c>
      <c r="M369" t="inlineStr"/>
      <c r="N369">
        <f>C369&amp;"|"&amp;D369</f>
        <v/>
      </c>
      <c r="O369">
        <f>COUNTIF($N$2:N369,N369)</f>
        <v/>
      </c>
      <c r="P369">
        <f>N369&amp;"|"&amp;O369</f>
        <v/>
      </c>
      <c r="Q369">
        <f>C369&amp;"|"&amp;D369&amp;"|"&amp;A369</f>
        <v/>
      </c>
    </row>
    <row r="370">
      <c r="A370" t="n">
        <v>18</v>
      </c>
      <c r="B370" t="inlineStr">
        <is>
          <t>Estacio Estupiñán Rosario</t>
        </is>
      </c>
      <c r="C370" t="inlineStr">
        <is>
          <t>MARTES</t>
        </is>
      </c>
      <c r="D370" t="n">
        <v>7</v>
      </c>
      <c r="E370" t="n">
        <v>4</v>
      </c>
      <c r="F370" t="inlineStr">
        <is>
          <t>CLASE</t>
        </is>
      </c>
      <c r="G370" t="inlineStr">
        <is>
          <t>0902</t>
        </is>
      </c>
      <c r="H370" t="inlineStr">
        <is>
          <t>ETR</t>
        </is>
      </c>
      <c r="I370" t="inlineStr"/>
      <c r="J370" t="inlineStr">
        <is>
          <t>Ética / Religión (alternan cada semana)</t>
        </is>
      </c>
      <c r="K370" t="inlineStr"/>
      <c r="L370" t="inlineStr">
        <is>
          <t>9°-2</t>
        </is>
      </c>
      <c r="M370" t="inlineStr">
        <is>
          <t>Ética / Religión (alternan cada semana)</t>
        </is>
      </c>
      <c r="N370">
        <f>C370&amp;"|"&amp;D370</f>
        <v/>
      </c>
      <c r="O370">
        <f>COUNTIF($N$2:N370,N370)</f>
        <v/>
      </c>
      <c r="P370">
        <f>N370&amp;"|"&amp;O370</f>
        <v/>
      </c>
      <c r="Q370">
        <f>C370&amp;"|"&amp;D370&amp;"|"&amp;A370</f>
        <v/>
      </c>
    </row>
    <row r="371">
      <c r="A371" t="n">
        <v>40</v>
      </c>
      <c r="B371" t="inlineStr">
        <is>
          <t>Pulgarín Ortiz César Marino</t>
        </is>
      </c>
      <c r="C371" t="inlineStr">
        <is>
          <t>MARTES</t>
        </is>
      </c>
      <c r="D371" t="n">
        <v>7</v>
      </c>
      <c r="E371" t="n">
        <v>4</v>
      </c>
      <c r="F371" t="inlineStr">
        <is>
          <t>CLASE</t>
        </is>
      </c>
      <c r="G371" t="inlineStr">
        <is>
          <t>1002</t>
        </is>
      </c>
      <c r="H371" t="inlineStr">
        <is>
          <t>CSI</t>
        </is>
      </c>
      <c r="I371" t="inlineStr"/>
      <c r="J371" t="inlineStr">
        <is>
          <t>Sociales / Inglés (alternan cada semana)</t>
        </is>
      </c>
      <c r="K371" t="inlineStr"/>
      <c r="L371" t="inlineStr">
        <is>
          <t>10°-2</t>
        </is>
      </c>
      <c r="M371" t="inlineStr">
        <is>
          <t>Sociales / Inglés (alternan cada semana)</t>
        </is>
      </c>
      <c r="N371">
        <f>C371&amp;"|"&amp;D371</f>
        <v/>
      </c>
      <c r="O371">
        <f>COUNTIF($N$2:N371,N371)</f>
        <v/>
      </c>
      <c r="P371">
        <f>N371&amp;"|"&amp;O371</f>
        <v/>
      </c>
      <c r="Q371">
        <f>C371&amp;"|"&amp;D371&amp;"|"&amp;A371</f>
        <v/>
      </c>
    </row>
    <row r="372">
      <c r="A372" t="n">
        <v>54</v>
      </c>
      <c r="B372" t="inlineStr">
        <is>
          <t>Villota Rubio Janeth del Carmen</t>
        </is>
      </c>
      <c r="C372" t="inlineStr">
        <is>
          <t>MARTES</t>
        </is>
      </c>
      <c r="D372" t="n">
        <v>7</v>
      </c>
      <c r="E372" t="n">
        <v>4</v>
      </c>
      <c r="F372" t="inlineStr">
        <is>
          <t>CLASE</t>
        </is>
      </c>
      <c r="G372" t="inlineStr">
        <is>
          <t>1101</t>
        </is>
      </c>
      <c r="H372" t="inlineStr">
        <is>
          <t>MAT</t>
        </is>
      </c>
      <c r="I372" t="inlineStr"/>
      <c r="J372" t="inlineStr"/>
      <c r="K372" t="inlineStr"/>
      <c r="L372" t="inlineStr">
        <is>
          <t>11°-1</t>
        </is>
      </c>
      <c r="M372" t="inlineStr"/>
      <c r="N372">
        <f>C372&amp;"|"&amp;D372</f>
        <v/>
      </c>
      <c r="O372">
        <f>COUNTIF($N$2:N372,N372)</f>
        <v/>
      </c>
      <c r="P372">
        <f>N372&amp;"|"&amp;O372</f>
        <v/>
      </c>
      <c r="Q372">
        <f>C372&amp;"|"&amp;D372&amp;"|"&amp;A372</f>
        <v/>
      </c>
    </row>
    <row r="373">
      <c r="A373" t="n">
        <v>2</v>
      </c>
      <c r="B373" t="inlineStr">
        <is>
          <t>Angulo Lucero Andrés Mauricio</t>
        </is>
      </c>
      <c r="C373" t="inlineStr">
        <is>
          <t>MARTES</t>
        </is>
      </c>
      <c r="D373" t="n">
        <v>7</v>
      </c>
      <c r="E373" t="n">
        <v>4</v>
      </c>
      <c r="F373" t="inlineStr">
        <is>
          <t>CLASE</t>
        </is>
      </c>
      <c r="G373" t="inlineStr">
        <is>
          <t>1102</t>
        </is>
      </c>
      <c r="H373" t="inlineStr">
        <is>
          <t>TEI</t>
        </is>
      </c>
      <c r="I373" t="inlineStr"/>
      <c r="J373" t="inlineStr"/>
      <c r="K373" t="inlineStr"/>
      <c r="L373" t="inlineStr">
        <is>
          <t>11°-2</t>
        </is>
      </c>
      <c r="M373" t="inlineStr"/>
      <c r="N373">
        <f>C373&amp;"|"&amp;D373</f>
        <v/>
      </c>
      <c r="O373">
        <f>COUNTIF($N$2:N373,N373)</f>
        <v/>
      </c>
      <c r="P373">
        <f>N373&amp;"|"&amp;O373</f>
        <v/>
      </c>
      <c r="Q373">
        <f>C373&amp;"|"&amp;D373&amp;"|"&amp;A373</f>
        <v/>
      </c>
    </row>
    <row r="374">
      <c r="A374" t="n">
        <v>37</v>
      </c>
      <c r="B374" t="inlineStr">
        <is>
          <t>Prado Quiñones Genís Maribel</t>
        </is>
      </c>
      <c r="C374" t="inlineStr">
        <is>
          <t>MARTES</t>
        </is>
      </c>
      <c r="D374" t="n">
        <v>7</v>
      </c>
      <c r="E374" t="n">
        <v>4</v>
      </c>
      <c r="F374" t="inlineStr">
        <is>
          <t>CLASE</t>
        </is>
      </c>
      <c r="G374" t="inlineStr">
        <is>
          <t>CS101</t>
        </is>
      </c>
      <c r="H374" t="inlineStr">
        <is>
          <t>ART</t>
        </is>
      </c>
      <c r="I374" t="inlineStr"/>
      <c r="J374" t="inlineStr"/>
      <c r="K374" t="inlineStr"/>
      <c r="L374" t="inlineStr">
        <is>
          <t>CS 1-1</t>
        </is>
      </c>
      <c r="M374" t="inlineStr"/>
      <c r="N374">
        <f>C374&amp;"|"&amp;D374</f>
        <v/>
      </c>
      <c r="O374">
        <f>COUNTIF($N$2:N374,N374)</f>
        <v/>
      </c>
      <c r="P374">
        <f>N374&amp;"|"&amp;O374</f>
        <v/>
      </c>
      <c r="Q374">
        <f>C374&amp;"|"&amp;D374&amp;"|"&amp;A374</f>
        <v/>
      </c>
    </row>
    <row r="375">
      <c r="A375" t="n">
        <v>4</v>
      </c>
      <c r="B375" t="inlineStr">
        <is>
          <t>Arizala Castro Roberto Carlos</t>
        </is>
      </c>
      <c r="C375" t="inlineStr">
        <is>
          <t>MARTES</t>
        </is>
      </c>
      <c r="D375" t="n">
        <v>7</v>
      </c>
      <c r="E375" t="n">
        <v>4</v>
      </c>
      <c r="F375" t="inlineStr">
        <is>
          <t>CLASE</t>
        </is>
      </c>
      <c r="G375" t="inlineStr">
        <is>
          <t>CS102</t>
        </is>
      </c>
      <c r="H375" t="inlineStr">
        <is>
          <t>CNA</t>
        </is>
      </c>
      <c r="I375" t="inlineStr"/>
      <c r="J375" t="inlineStr"/>
      <c r="K375" t="inlineStr"/>
      <c r="L375" t="inlineStr">
        <is>
          <t>CS 1-2</t>
        </is>
      </c>
      <c r="M375" t="inlineStr"/>
      <c r="N375">
        <f>C375&amp;"|"&amp;D375</f>
        <v/>
      </c>
      <c r="O375">
        <f>COUNTIF($N$2:N375,N375)</f>
        <v/>
      </c>
      <c r="P375">
        <f>N375&amp;"|"&amp;O375</f>
        <v/>
      </c>
      <c r="Q375">
        <f>C375&amp;"|"&amp;D375&amp;"|"&amp;A375</f>
        <v/>
      </c>
    </row>
    <row r="376">
      <c r="A376" t="n">
        <v>38</v>
      </c>
      <c r="B376" t="inlineStr">
        <is>
          <t>Preciado Torres Oleisa</t>
        </is>
      </c>
      <c r="C376" t="inlineStr">
        <is>
          <t>MARTES</t>
        </is>
      </c>
      <c r="D376" t="n">
        <v>7</v>
      </c>
      <c r="E376" t="n">
        <v>4</v>
      </c>
      <c r="F376" t="inlineStr">
        <is>
          <t>CLASE</t>
        </is>
      </c>
      <c r="G376" t="inlineStr">
        <is>
          <t>CS201</t>
        </is>
      </c>
      <c r="H376" t="inlineStr">
        <is>
          <t>MAT</t>
        </is>
      </c>
      <c r="I376" t="inlineStr"/>
      <c r="J376" t="inlineStr"/>
      <c r="K376" t="inlineStr"/>
      <c r="L376" t="inlineStr">
        <is>
          <t>CS 2-1</t>
        </is>
      </c>
      <c r="M376" t="inlineStr"/>
      <c r="N376">
        <f>C376&amp;"|"&amp;D376</f>
        <v/>
      </c>
      <c r="O376">
        <f>COUNTIF($N$2:N376,N376)</f>
        <v/>
      </c>
      <c r="P376">
        <f>N376&amp;"|"&amp;O376</f>
        <v/>
      </c>
      <c r="Q376">
        <f>C376&amp;"|"&amp;D376&amp;"|"&amp;A376</f>
        <v/>
      </c>
    </row>
    <row r="377">
      <c r="A377" t="n">
        <v>9</v>
      </c>
      <c r="B377" t="inlineStr">
        <is>
          <t>Castillo Angulo Martha Cecilia</t>
        </is>
      </c>
      <c r="C377" t="inlineStr">
        <is>
          <t>MARTES</t>
        </is>
      </c>
      <c r="D377" t="n">
        <v>7</v>
      </c>
      <c r="E377" t="n">
        <v>4</v>
      </c>
      <c r="F377" t="inlineStr">
        <is>
          <t>CLASE</t>
        </is>
      </c>
      <c r="G377" t="inlineStr">
        <is>
          <t>CS202</t>
        </is>
      </c>
      <c r="H377" t="inlineStr">
        <is>
          <t>ETR</t>
        </is>
      </c>
      <c r="I377" t="inlineStr"/>
      <c r="J377" t="inlineStr">
        <is>
          <t>Ética / Religión (alternan cada semana)</t>
        </is>
      </c>
      <c r="K377" t="inlineStr"/>
      <c r="L377" t="inlineStr">
        <is>
          <t>CS 2-2</t>
        </is>
      </c>
      <c r="M377" t="inlineStr">
        <is>
          <t>Ética / Religión (alternan cada semana)</t>
        </is>
      </c>
      <c r="N377">
        <f>C377&amp;"|"&amp;D377</f>
        <v/>
      </c>
      <c r="O377">
        <f>COUNTIF($N$2:N377,N377)</f>
        <v/>
      </c>
      <c r="P377">
        <f>N377&amp;"|"&amp;O377</f>
        <v/>
      </c>
      <c r="Q377">
        <f>C377&amp;"|"&amp;D377&amp;"|"&amp;A377</f>
        <v/>
      </c>
    </row>
    <row r="378">
      <c r="A378" t="n">
        <v>10</v>
      </c>
      <c r="B378" t="inlineStr">
        <is>
          <t>Castillo Cuero Daira Eneida</t>
        </is>
      </c>
      <c r="C378" t="inlineStr">
        <is>
          <t>MARTES</t>
        </is>
      </c>
      <c r="D378" t="n">
        <v>7</v>
      </c>
      <c r="E378" t="n">
        <v>4</v>
      </c>
      <c r="F378" t="inlineStr">
        <is>
          <t>ENFASIS</t>
        </is>
      </c>
      <c r="G378" t="inlineStr"/>
      <c r="H378" t="inlineStr">
        <is>
          <t>CAS</t>
        </is>
      </c>
      <c r="I378" t="inlineStr">
        <is>
          <t>0601</t>
        </is>
      </c>
      <c r="J378" t="inlineStr">
        <is>
          <t>PAREJA: comparten el énfasis y alternan por semana</t>
        </is>
      </c>
      <c r="K378" t="inlineStr">
        <is>
          <t>Puches Ana Milena (ART)</t>
        </is>
      </c>
      <c r="L378" t="inlineStr">
        <is>
          <t>ÉNFASIS 6°-1</t>
        </is>
      </c>
      <c r="M378" t="inlineStr">
        <is>
          <t>PAREJA: comparten el énfasis y alternan por semana · Con: Puches Ana Milena (ART)</t>
        </is>
      </c>
      <c r="N378">
        <f>C378&amp;"|"&amp;D378</f>
        <v/>
      </c>
      <c r="O378">
        <f>COUNTIF($N$2:N378,N378)</f>
        <v/>
      </c>
      <c r="P378">
        <f>N378&amp;"|"&amp;O378</f>
        <v/>
      </c>
      <c r="Q378">
        <f>C378&amp;"|"&amp;D378&amp;"|"&amp;A378</f>
        <v/>
      </c>
    </row>
    <row r="379">
      <c r="A379" t="n">
        <v>39</v>
      </c>
      <c r="B379" t="inlineStr">
        <is>
          <t>Puches Ana Milena</t>
        </is>
      </c>
      <c r="C379" t="inlineStr">
        <is>
          <t>MARTES</t>
        </is>
      </c>
      <c r="D379" t="n">
        <v>7</v>
      </c>
      <c r="E379" t="n">
        <v>4</v>
      </c>
      <c r="F379" t="inlineStr">
        <is>
          <t>ENFASIS</t>
        </is>
      </c>
      <c r="G379" t="inlineStr"/>
      <c r="H379" t="inlineStr">
        <is>
          <t>ART</t>
        </is>
      </c>
      <c r="I379" t="inlineStr">
        <is>
          <t>0601</t>
        </is>
      </c>
      <c r="J379" t="inlineStr">
        <is>
          <t>PAREJA: comparten el énfasis y alternan por semana</t>
        </is>
      </c>
      <c r="K379" t="inlineStr">
        <is>
          <t>Castillo Cuero Daira Eneida (CAS)</t>
        </is>
      </c>
      <c r="L379" t="inlineStr">
        <is>
          <t>ÉNFASIS 6°-1</t>
        </is>
      </c>
      <c r="M379" t="inlineStr">
        <is>
          <t>PAREJA: comparten el énfasis y alternan por semana · Con: Castillo Cuero Daira Eneida (CAS)</t>
        </is>
      </c>
      <c r="N379">
        <f>C379&amp;"|"&amp;D379</f>
        <v/>
      </c>
      <c r="O379">
        <f>COUNTIF($N$2:N379,N379)</f>
        <v/>
      </c>
      <c r="P379">
        <f>N379&amp;"|"&amp;O379</f>
        <v/>
      </c>
      <c r="Q379">
        <f>C379&amp;"|"&amp;D379&amp;"|"&amp;A379</f>
        <v/>
      </c>
    </row>
    <row r="380">
      <c r="A380" t="n">
        <v>34</v>
      </c>
      <c r="B380" t="inlineStr">
        <is>
          <t>Ordóñez Tenorio Jaime Marcial</t>
        </is>
      </c>
      <c r="C380" t="inlineStr">
        <is>
          <t>MARTES</t>
        </is>
      </c>
      <c r="D380" t="n">
        <v>7</v>
      </c>
      <c r="E380" t="n">
        <v>4</v>
      </c>
      <c r="F380" t="inlineStr">
        <is>
          <t>ENFASIS</t>
        </is>
      </c>
      <c r="G380" t="inlineStr"/>
      <c r="H380" t="inlineStr">
        <is>
          <t>CNA</t>
        </is>
      </c>
      <c r="I380" t="inlineStr">
        <is>
          <t>0602</t>
        </is>
      </c>
      <c r="J380" t="inlineStr">
        <is>
          <t>PAREJA: comparten el énfasis y alternan por semana</t>
        </is>
      </c>
      <c r="K380" t="inlineStr">
        <is>
          <t>Armero Dájome Jesús (ERD)</t>
        </is>
      </c>
      <c r="L380" t="inlineStr">
        <is>
          <t>ÉNFASIS 6°-2</t>
        </is>
      </c>
      <c r="M380" t="inlineStr">
        <is>
          <t>PAREJA: comparten el énfasis y alternan por semana · Con: Armero Dájome Jesús (ERD)</t>
        </is>
      </c>
      <c r="N380">
        <f>C380&amp;"|"&amp;D380</f>
        <v/>
      </c>
      <c r="O380">
        <f>COUNTIF($N$2:N380,N380)</f>
        <v/>
      </c>
      <c r="P380">
        <f>N380&amp;"|"&amp;O380</f>
        <v/>
      </c>
      <c r="Q380">
        <f>C380&amp;"|"&amp;D380&amp;"|"&amp;A380</f>
        <v/>
      </c>
    </row>
    <row r="381">
      <c r="A381" t="n">
        <v>4</v>
      </c>
      <c r="B381" t="inlineStr">
        <is>
          <t>Arizala Castro Roberto Carlos</t>
        </is>
      </c>
      <c r="C381" t="inlineStr">
        <is>
          <t>MARTES</t>
        </is>
      </c>
      <c r="D381" t="n">
        <v>7</v>
      </c>
      <c r="E381" t="n">
        <v>4</v>
      </c>
      <c r="F381" t="inlineStr">
        <is>
          <t>ENFASIS</t>
        </is>
      </c>
      <c r="G381" t="inlineStr"/>
      <c r="H381" t="inlineStr">
        <is>
          <t>ERD</t>
        </is>
      </c>
      <c r="I381" t="inlineStr">
        <is>
          <t>0602</t>
        </is>
      </c>
      <c r="J381" t="inlineStr">
        <is>
          <t>PAREJA: comparten el énfasis y alternan por semana</t>
        </is>
      </c>
      <c r="K381" t="inlineStr">
        <is>
          <t>Ordóñez Tenorio Jaime Marcial (CNA)</t>
        </is>
      </c>
      <c r="L381" t="inlineStr">
        <is>
          <t>ÉNFASIS 6°-2</t>
        </is>
      </c>
      <c r="M381" t="inlineStr">
        <is>
          <t>PAREJA: comparten el énfasis y alternan por semana · Con: Ordóñez Tenorio Jaime Marcial (CNA)</t>
        </is>
      </c>
      <c r="N381">
        <f>C381&amp;"|"&amp;D381</f>
        <v/>
      </c>
      <c r="O381">
        <f>COUNTIF($N$2:N381,N381)</f>
        <v/>
      </c>
      <c r="P381">
        <f>N381&amp;"|"&amp;O381</f>
        <v/>
      </c>
      <c r="Q381">
        <f>C381&amp;"|"&amp;D381&amp;"|"&amp;A381</f>
        <v/>
      </c>
    </row>
    <row r="382">
      <c r="A382" t="n">
        <v>22</v>
      </c>
      <c r="B382" t="inlineStr">
        <is>
          <t>González Castillo Jólmer Jimy</t>
        </is>
      </c>
      <c r="C382" t="inlineStr">
        <is>
          <t>MARTES</t>
        </is>
      </c>
      <c r="D382" t="n">
        <v>7</v>
      </c>
      <c r="E382" t="n">
        <v>4</v>
      </c>
      <c r="F382" t="inlineStr">
        <is>
          <t>ENFASIS</t>
        </is>
      </c>
      <c r="G382" t="inlineStr"/>
      <c r="H382" t="inlineStr">
        <is>
          <t>ERD</t>
        </is>
      </c>
      <c r="I382" t="inlineStr">
        <is>
          <t>0901</t>
        </is>
      </c>
      <c r="J382" t="inlineStr">
        <is>
          <t>EQUIPO DE 4: cada docente atiende un grupo de estudiantes en su área</t>
        </is>
      </c>
      <c r="K382" t="inlineStr">
        <is>
          <t>Valencia Marínez Saidy Eufemia (ART); Meza Banguera Gladys Alicia (CAS); Lemos Guancha Miriam (CNA)</t>
        </is>
      </c>
      <c r="L382" t="inlineStr">
        <is>
          <t>ÉNFASIS 9°-1</t>
        </is>
      </c>
      <c r="M382" t="inlineStr">
        <is>
          <t>EQUIPO DE 4: cada docente atiende un grupo de estudiantes en su área · Con: Valencia Marínez Saidy Eufemia (ART); Meza Banguera Gladys Alicia (CAS); Lemos Guancha Miriam (CNA)</t>
        </is>
      </c>
      <c r="N382">
        <f>C382&amp;"|"&amp;D382</f>
        <v/>
      </c>
      <c r="O382">
        <f>COUNTIF($N$2:N382,N382)</f>
        <v/>
      </c>
      <c r="P382">
        <f>N382&amp;"|"&amp;O382</f>
        <v/>
      </c>
      <c r="Q382">
        <f>C382&amp;"|"&amp;D382&amp;"|"&amp;A382</f>
        <v/>
      </c>
    </row>
    <row r="383">
      <c r="A383" t="n">
        <v>25</v>
      </c>
      <c r="B383" t="inlineStr">
        <is>
          <t>Lemos Guancha Miriam</t>
        </is>
      </c>
      <c r="C383" t="inlineStr">
        <is>
          <t>MARTES</t>
        </is>
      </c>
      <c r="D383" t="n">
        <v>7</v>
      </c>
      <c r="E383" t="n">
        <v>4</v>
      </c>
      <c r="F383" t="inlineStr">
        <is>
          <t>ENFASIS</t>
        </is>
      </c>
      <c r="G383" t="inlineStr"/>
      <c r="H383" t="inlineStr">
        <is>
          <t>CNA</t>
        </is>
      </c>
      <c r="I383" t="inlineStr">
        <is>
          <t>0901</t>
        </is>
      </c>
      <c r="J383" t="inlineStr">
        <is>
          <t>EQUIPO DE 4: cada docente atiende un grupo de estudiantes en su área</t>
        </is>
      </c>
      <c r="K383" t="inlineStr">
        <is>
          <t>Valencia Marínez Saidy Eufemia (ART); Meza Banguera Gladys Alicia (CAS); González Castillo Jólmer Jimy (ERD)</t>
        </is>
      </c>
      <c r="L383" t="inlineStr">
        <is>
          <t>ÉNFASIS 9°-1</t>
        </is>
      </c>
      <c r="M383" t="inlineStr">
        <is>
          <t>EQUIPO DE 4: cada docente atiende un grupo de estudiantes en su área · Con: Valencia Marínez Saidy Eufemia (ART); Meza Banguera Gladys Alicia (CAS); González Castillo Jólmer Jimy (ERD)</t>
        </is>
      </c>
      <c r="N383">
        <f>C383&amp;"|"&amp;D383</f>
        <v/>
      </c>
      <c r="O383">
        <f>COUNTIF($N$2:N383,N383)</f>
        <v/>
      </c>
      <c r="P383">
        <f>N383&amp;"|"&amp;O383</f>
        <v/>
      </c>
      <c r="Q383">
        <f>C383&amp;"|"&amp;D383&amp;"|"&amp;A383</f>
        <v/>
      </c>
    </row>
    <row r="384">
      <c r="A384" t="n">
        <v>28</v>
      </c>
      <c r="B384" t="inlineStr">
        <is>
          <t>Meza Banguera Gladys Alicia</t>
        </is>
      </c>
      <c r="C384" t="inlineStr">
        <is>
          <t>MARTES</t>
        </is>
      </c>
      <c r="D384" t="n">
        <v>7</v>
      </c>
      <c r="E384" t="n">
        <v>4</v>
      </c>
      <c r="F384" t="inlineStr">
        <is>
          <t>ENFASIS</t>
        </is>
      </c>
      <c r="G384" t="inlineStr"/>
      <c r="H384" t="inlineStr">
        <is>
          <t>CAS</t>
        </is>
      </c>
      <c r="I384" t="inlineStr">
        <is>
          <t>0901</t>
        </is>
      </c>
      <c r="J384" t="inlineStr">
        <is>
          <t>EQUIPO DE 4: cada docente atiende un grupo de estudiantes en su área</t>
        </is>
      </c>
      <c r="K384" t="inlineStr">
        <is>
          <t>Valencia Marínez Saidy Eufemia (ART); González Castillo Jólmer Jimy (ERD); Lemos Guancha Miriam (CNA)</t>
        </is>
      </c>
      <c r="L384" t="inlineStr">
        <is>
          <t>ÉNFASIS 9°-1</t>
        </is>
      </c>
      <c r="M384" t="inlineStr">
        <is>
          <t>EQUIPO DE 4: cada docente atiende un grupo de estudiantes en su área · Con: Valencia Marínez Saidy Eufemia (ART); González Castillo Jólmer Jimy (ERD); Lemos Guancha Miriam (CNA)</t>
        </is>
      </c>
      <c r="N384">
        <f>C384&amp;"|"&amp;D384</f>
        <v/>
      </c>
      <c r="O384">
        <f>COUNTIF($N$2:N384,N384)</f>
        <v/>
      </c>
      <c r="P384">
        <f>N384&amp;"|"&amp;O384</f>
        <v/>
      </c>
      <c r="Q384">
        <f>C384&amp;"|"&amp;D384&amp;"|"&amp;A384</f>
        <v/>
      </c>
    </row>
    <row r="385">
      <c r="A385" t="n">
        <v>49</v>
      </c>
      <c r="B385" t="inlineStr">
        <is>
          <t>Valencia Marínez Saidy Eufemia</t>
        </is>
      </c>
      <c r="C385" t="inlineStr">
        <is>
          <t>MARTES</t>
        </is>
      </c>
      <c r="D385" t="n">
        <v>7</v>
      </c>
      <c r="E385" t="n">
        <v>4</v>
      </c>
      <c r="F385" t="inlineStr">
        <is>
          <t>ENFASIS</t>
        </is>
      </c>
      <c r="G385" t="inlineStr"/>
      <c r="H385" t="inlineStr">
        <is>
          <t>ART</t>
        </is>
      </c>
      <c r="I385" t="inlineStr">
        <is>
          <t>0901</t>
        </is>
      </c>
      <c r="J385" t="inlineStr">
        <is>
          <t>EQUIPO DE 4: cada docente atiende un grupo de estudiantes en su área</t>
        </is>
      </c>
      <c r="K385" t="inlineStr">
        <is>
          <t>Meza Banguera Gladys Alicia (CAS); González Castillo Jólmer Jimy (ERD); Lemos Guancha Miriam (CNA)</t>
        </is>
      </c>
      <c r="L385" t="inlineStr">
        <is>
          <t>ÉNFASIS 9°-1</t>
        </is>
      </c>
      <c r="M385" t="inlineStr">
        <is>
          <t>EQUIPO DE 4: cada docente atiende un grupo de estudiantes en su área · Con: Meza Banguera Gladys Alicia (CAS); González Castillo Jólmer Jimy (ERD); Lemos Guancha Miriam (CNA)</t>
        </is>
      </c>
      <c r="N385">
        <f>C385&amp;"|"&amp;D385</f>
        <v/>
      </c>
      <c r="O385">
        <f>COUNTIF($N$2:N385,N385)</f>
        <v/>
      </c>
      <c r="P385">
        <f>N385&amp;"|"&amp;O385</f>
        <v/>
      </c>
      <c r="Q385">
        <f>C385&amp;"|"&amp;D385&amp;"|"&amp;A385</f>
        <v/>
      </c>
    </row>
    <row r="386">
      <c r="A386" t="n">
        <v>3</v>
      </c>
      <c r="B386" t="inlineStr">
        <is>
          <t>Arboleda Ortiz Luz América</t>
        </is>
      </c>
      <c r="C386" t="inlineStr">
        <is>
          <t>MARTES</t>
        </is>
      </c>
      <c r="D386" t="n">
        <v>7</v>
      </c>
      <c r="E386" t="n">
        <v>4</v>
      </c>
      <c r="F386" t="inlineStr">
        <is>
          <t>ENFASIS</t>
        </is>
      </c>
      <c r="G386" t="inlineStr"/>
      <c r="H386" t="inlineStr">
        <is>
          <t>ART</t>
        </is>
      </c>
      <c r="I386" t="inlineStr">
        <is>
          <t>1001</t>
        </is>
      </c>
      <c r="J386" t="inlineStr">
        <is>
          <t>EQUIPO DE 4: cada docente atiende un grupo de estudiantes en su área</t>
        </is>
      </c>
      <c r="K386" t="inlineStr">
        <is>
          <t>Montaño Anchico Favio Héctor (CAS); Ramírez Guerra Jimmy Eduardo (ERD); Villota Rubio Héctor Hugo (CNA)</t>
        </is>
      </c>
      <c r="L386" t="inlineStr">
        <is>
          <t>ÉNFASIS 10°-1</t>
        </is>
      </c>
      <c r="M386" t="inlineStr">
        <is>
          <t>EQUIPO DE 4: cada docente atiende un grupo de estudiantes en su área · Con: Montaño Anchico Favio Héctor (CAS); Ramírez Guerra Jimmy Eduardo (ERD); Villota Rubio Héctor Hugo (CNA)</t>
        </is>
      </c>
      <c r="N386">
        <f>C386&amp;"|"&amp;D386</f>
        <v/>
      </c>
      <c r="O386">
        <f>COUNTIF($N$2:N386,N386)</f>
        <v/>
      </c>
      <c r="P386">
        <f>N386&amp;"|"&amp;O386</f>
        <v/>
      </c>
      <c r="Q386">
        <f>C386&amp;"|"&amp;D386&amp;"|"&amp;A386</f>
        <v/>
      </c>
    </row>
    <row r="387">
      <c r="A387" t="n">
        <v>30</v>
      </c>
      <c r="B387" t="inlineStr">
        <is>
          <t>Montaño Anchico Favio Héctor</t>
        </is>
      </c>
      <c r="C387" t="inlineStr">
        <is>
          <t>MARTES</t>
        </is>
      </c>
      <c r="D387" t="n">
        <v>7</v>
      </c>
      <c r="E387" t="n">
        <v>4</v>
      </c>
      <c r="F387" t="inlineStr">
        <is>
          <t>ENFASIS</t>
        </is>
      </c>
      <c r="G387" t="inlineStr"/>
      <c r="H387" t="inlineStr">
        <is>
          <t>CAS</t>
        </is>
      </c>
      <c r="I387" t="inlineStr">
        <is>
          <t>1001</t>
        </is>
      </c>
      <c r="J387" t="inlineStr">
        <is>
          <t>EQUIPO DE 4: cada docente atiende un grupo de estudiantes en su área</t>
        </is>
      </c>
      <c r="K387" t="inlineStr">
        <is>
          <t>Arboleda Ortiz Luz América (ART); Ramírez Guerra Jimmy Eduardo (ERD); Villota Rubio Héctor Hugo (CNA)</t>
        </is>
      </c>
      <c r="L387" t="inlineStr">
        <is>
          <t>ÉNFASIS 10°-1</t>
        </is>
      </c>
      <c r="M387" t="inlineStr">
        <is>
          <t>EQUIPO DE 4: cada docente atiende un grupo de estudiantes en su área · Con: Arboleda Ortiz Luz América (ART); Ramírez Guerra Jimmy Eduardo (ERD); Villota Rubio Héctor Hugo (CNA)</t>
        </is>
      </c>
      <c r="N387">
        <f>C387&amp;"|"&amp;D387</f>
        <v/>
      </c>
      <c r="O387">
        <f>COUNTIF($N$2:N387,N387)</f>
        <v/>
      </c>
      <c r="P387">
        <f>N387&amp;"|"&amp;O387</f>
        <v/>
      </c>
      <c r="Q387">
        <f>C387&amp;"|"&amp;D387&amp;"|"&amp;A387</f>
        <v/>
      </c>
    </row>
    <row r="388">
      <c r="A388" t="n">
        <v>43</v>
      </c>
      <c r="B388" t="inlineStr">
        <is>
          <t>Ramírez Guerra Jimmy Eduardo</t>
        </is>
      </c>
      <c r="C388" t="inlineStr">
        <is>
          <t>MARTES</t>
        </is>
      </c>
      <c r="D388" t="n">
        <v>7</v>
      </c>
      <c r="E388" t="n">
        <v>4</v>
      </c>
      <c r="F388" t="inlineStr">
        <is>
          <t>ENFASIS</t>
        </is>
      </c>
      <c r="G388" t="inlineStr"/>
      <c r="H388" t="inlineStr">
        <is>
          <t>ERD</t>
        </is>
      </c>
      <c r="I388" t="inlineStr">
        <is>
          <t>1001</t>
        </is>
      </c>
      <c r="J388" t="inlineStr">
        <is>
          <t>EQUIPO DE 4: cada docente atiende un grupo de estudiantes en su área</t>
        </is>
      </c>
      <c r="K388" t="inlineStr">
        <is>
          <t>Arboleda Ortiz Luz América (ART); Montaño Anchico Favio Héctor (CAS); Villota Rubio Héctor Hugo (CNA)</t>
        </is>
      </c>
      <c r="L388" t="inlineStr">
        <is>
          <t>ÉNFASIS 10°-1</t>
        </is>
      </c>
      <c r="M388" t="inlineStr">
        <is>
          <t>EQUIPO DE 4: cada docente atiende un grupo de estudiantes en su área · Con: Arboleda Ortiz Luz América (ART); Montaño Anchico Favio Héctor (CAS); Villota Rubio Héctor Hugo (CNA)</t>
        </is>
      </c>
      <c r="N388">
        <f>C388&amp;"|"&amp;D388</f>
        <v/>
      </c>
      <c r="O388">
        <f>COUNTIF($N$2:N388,N388)</f>
        <v/>
      </c>
      <c r="P388">
        <f>N388&amp;"|"&amp;O388</f>
        <v/>
      </c>
      <c r="Q388">
        <f>C388&amp;"|"&amp;D388&amp;"|"&amp;A388</f>
        <v/>
      </c>
    </row>
    <row r="389">
      <c r="A389" t="n">
        <v>53</v>
      </c>
      <c r="B389" t="inlineStr">
        <is>
          <t>Villota Rubio Héctor Hugo</t>
        </is>
      </c>
      <c r="C389" t="inlineStr">
        <is>
          <t>MARTES</t>
        </is>
      </c>
      <c r="D389" t="n">
        <v>7</v>
      </c>
      <c r="E389" t="n">
        <v>4</v>
      </c>
      <c r="F389" t="inlineStr">
        <is>
          <t>ENFASIS</t>
        </is>
      </c>
      <c r="G389" t="inlineStr"/>
      <c r="H389" t="inlineStr">
        <is>
          <t>CNA</t>
        </is>
      </c>
      <c r="I389" t="inlineStr">
        <is>
          <t>1001</t>
        </is>
      </c>
      <c r="J389" t="inlineStr">
        <is>
          <t>EQUIPO DE 4: cada docente atiende un grupo de estudiantes en su área</t>
        </is>
      </c>
      <c r="K389" t="inlineStr">
        <is>
          <t>Arboleda Ortiz Luz América (ART); Montaño Anchico Favio Héctor (CAS); Ramírez Guerra Jimmy Eduardo (ERD)</t>
        </is>
      </c>
      <c r="L389" t="inlineStr">
        <is>
          <t>ÉNFASIS 10°-1</t>
        </is>
      </c>
      <c r="M389" t="inlineStr">
        <is>
          <t>EQUIPO DE 4: cada docente atiende un grupo de estudiantes en su área · Con: Arboleda Ortiz Luz América (ART); Montaño Anchico Favio Héctor (CAS); Ramírez Guerra Jimmy Eduardo (ERD)</t>
        </is>
      </c>
      <c r="N389">
        <f>C389&amp;"|"&amp;D389</f>
        <v/>
      </c>
      <c r="O389">
        <f>COUNTIF($N$2:N389,N389)</f>
        <v/>
      </c>
      <c r="P389">
        <f>N389&amp;"|"&amp;O389</f>
        <v/>
      </c>
      <c r="Q389">
        <f>C389&amp;"|"&amp;D389&amp;"|"&amp;A389</f>
        <v/>
      </c>
    </row>
    <row r="390">
      <c r="A390" t="n">
        <v>41</v>
      </c>
      <c r="B390" t="inlineStr">
        <is>
          <t>Quintero Ramírez María del Carmen</t>
        </is>
      </c>
      <c r="C390" t="inlineStr">
        <is>
          <t>MARTES</t>
        </is>
      </c>
      <c r="D390" t="n">
        <v>8</v>
      </c>
      <c r="E390" t="n">
        <v>4</v>
      </c>
      <c r="F390" t="inlineStr">
        <is>
          <t>CLASE</t>
        </is>
      </c>
      <c r="G390" t="inlineStr">
        <is>
          <t>0701</t>
        </is>
      </c>
      <c r="H390" t="inlineStr">
        <is>
          <t>CSI</t>
        </is>
      </c>
      <c r="I390" t="inlineStr"/>
      <c r="J390" t="inlineStr">
        <is>
          <t>Sociales / Inglés (alternan cada semana)</t>
        </is>
      </c>
      <c r="K390" t="inlineStr"/>
      <c r="L390" t="inlineStr">
        <is>
          <t>7°-1</t>
        </is>
      </c>
      <c r="M390" t="inlineStr">
        <is>
          <t>Sociales / Inglés (alternan cada semana)</t>
        </is>
      </c>
      <c r="N390">
        <f>C390&amp;"|"&amp;D390</f>
        <v/>
      </c>
      <c r="O390">
        <f>COUNTIF($N$2:N390,N390)</f>
        <v/>
      </c>
      <c r="P390">
        <f>N390&amp;"|"&amp;O390</f>
        <v/>
      </c>
      <c r="Q390">
        <f>C390&amp;"|"&amp;D390&amp;"|"&amp;A390</f>
        <v/>
      </c>
    </row>
    <row r="391">
      <c r="A391" t="n">
        <v>52</v>
      </c>
      <c r="B391" t="inlineStr">
        <is>
          <t>Vásquez Valencia Segundo Leoncio</t>
        </is>
      </c>
      <c r="C391" t="inlineStr">
        <is>
          <t>MARTES</t>
        </is>
      </c>
      <c r="D391" t="n">
        <v>8</v>
      </c>
      <c r="E391" t="n">
        <v>4</v>
      </c>
      <c r="F391" t="inlineStr">
        <is>
          <t>CLASE</t>
        </is>
      </c>
      <c r="G391" t="inlineStr">
        <is>
          <t>0702</t>
        </is>
      </c>
      <c r="H391" t="inlineStr">
        <is>
          <t>MAT</t>
        </is>
      </c>
      <c r="I391" t="inlineStr"/>
      <c r="J391" t="inlineStr"/>
      <c r="K391" t="inlineStr"/>
      <c r="L391" t="inlineStr">
        <is>
          <t>7°-2</t>
        </is>
      </c>
      <c r="M391" t="inlineStr"/>
      <c r="N391">
        <f>C391&amp;"|"&amp;D391</f>
        <v/>
      </c>
      <c r="O391">
        <f>COUNTIF($N$2:N391,N391)</f>
        <v/>
      </c>
      <c r="P391">
        <f>N391&amp;"|"&amp;O391</f>
        <v/>
      </c>
      <c r="Q391">
        <f>C391&amp;"|"&amp;D391&amp;"|"&amp;A391</f>
        <v/>
      </c>
    </row>
    <row r="392">
      <c r="A392" t="n">
        <v>8</v>
      </c>
      <c r="B392" t="inlineStr">
        <is>
          <t>Casanova Quiñones Yoli del Carmen</t>
        </is>
      </c>
      <c r="C392" t="inlineStr">
        <is>
          <t>MARTES</t>
        </is>
      </c>
      <c r="D392" t="n">
        <v>8</v>
      </c>
      <c r="E392" t="n">
        <v>4</v>
      </c>
      <c r="F392" t="inlineStr">
        <is>
          <t>CLASE</t>
        </is>
      </c>
      <c r="G392" t="inlineStr">
        <is>
          <t>0703</t>
        </is>
      </c>
      <c r="H392" t="inlineStr">
        <is>
          <t>ETR</t>
        </is>
      </c>
      <c r="I392" t="inlineStr"/>
      <c r="J392" t="inlineStr">
        <is>
          <t>Ética / Religión (alternan cada semana)</t>
        </is>
      </c>
      <c r="K392" t="inlineStr"/>
      <c r="L392" t="inlineStr">
        <is>
          <t>7°-3</t>
        </is>
      </c>
      <c r="M392" t="inlineStr">
        <is>
          <t>Ética / Religión (alternan cada semana)</t>
        </is>
      </c>
      <c r="N392">
        <f>C392&amp;"|"&amp;D392</f>
        <v/>
      </c>
      <c r="O392">
        <f>COUNTIF($N$2:N392,N392)</f>
        <v/>
      </c>
      <c r="P392">
        <f>N392&amp;"|"&amp;O392</f>
        <v/>
      </c>
      <c r="Q392">
        <f>C392&amp;"|"&amp;D392&amp;"|"&amp;A392</f>
        <v/>
      </c>
    </row>
    <row r="393">
      <c r="A393" t="n">
        <v>1</v>
      </c>
      <c r="B393" t="inlineStr">
        <is>
          <t>Aguirre Riascos Jorge Andrés</t>
        </is>
      </c>
      <c r="C393" t="inlineStr">
        <is>
          <t>MARTES</t>
        </is>
      </c>
      <c r="D393" t="n">
        <v>8</v>
      </c>
      <c r="E393" t="n">
        <v>4</v>
      </c>
      <c r="F393" t="inlineStr">
        <is>
          <t>CLASE</t>
        </is>
      </c>
      <c r="G393" t="inlineStr">
        <is>
          <t>0704</t>
        </is>
      </c>
      <c r="H393" t="inlineStr">
        <is>
          <t>TEI</t>
        </is>
      </c>
      <c r="I393" t="inlineStr"/>
      <c r="J393" t="inlineStr"/>
      <c r="K393" t="inlineStr"/>
      <c r="L393" t="inlineStr">
        <is>
          <t>7°-4</t>
        </is>
      </c>
      <c r="M393" t="inlineStr"/>
      <c r="N393">
        <f>C393&amp;"|"&amp;D393</f>
        <v/>
      </c>
      <c r="O393">
        <f>COUNTIF($N$2:N393,N393)</f>
        <v/>
      </c>
      <c r="P393">
        <f>N393&amp;"|"&amp;O393</f>
        <v/>
      </c>
      <c r="Q393">
        <f>C393&amp;"|"&amp;D393&amp;"|"&amp;A393</f>
        <v/>
      </c>
    </row>
    <row r="394">
      <c r="A394" t="n">
        <v>12</v>
      </c>
      <c r="B394" t="inlineStr">
        <is>
          <t>Chillambo Quiñones María Rocío</t>
        </is>
      </c>
      <c r="C394" t="inlineStr">
        <is>
          <t>MARTES</t>
        </is>
      </c>
      <c r="D394" t="n">
        <v>8</v>
      </c>
      <c r="E394" t="n">
        <v>4</v>
      </c>
      <c r="F394" t="inlineStr">
        <is>
          <t>CLASE</t>
        </is>
      </c>
      <c r="G394" t="inlineStr">
        <is>
          <t>0801</t>
        </is>
      </c>
      <c r="H394" t="inlineStr">
        <is>
          <t>CNA</t>
        </is>
      </c>
      <c r="I394" t="inlineStr"/>
      <c r="J394" t="inlineStr"/>
      <c r="K394" t="inlineStr"/>
      <c r="L394" t="inlineStr">
        <is>
          <t>8°-1</t>
        </is>
      </c>
      <c r="M394" t="inlineStr"/>
      <c r="N394">
        <f>C394&amp;"|"&amp;D394</f>
        <v/>
      </c>
      <c r="O394">
        <f>COUNTIF($N$2:N394,N394)</f>
        <v/>
      </c>
      <c r="P394">
        <f>N394&amp;"|"&amp;O394</f>
        <v/>
      </c>
      <c r="Q394">
        <f>C394&amp;"|"&amp;D394&amp;"|"&amp;A394</f>
        <v/>
      </c>
    </row>
    <row r="395">
      <c r="A395" t="n">
        <v>51</v>
      </c>
      <c r="B395" t="inlineStr">
        <is>
          <t>Valverde Montaño María Teresa</t>
        </is>
      </c>
      <c r="C395" t="inlineStr">
        <is>
          <t>MARTES</t>
        </is>
      </c>
      <c r="D395" t="n">
        <v>8</v>
      </c>
      <c r="E395" t="n">
        <v>4</v>
      </c>
      <c r="F395" t="inlineStr">
        <is>
          <t>CLASE</t>
        </is>
      </c>
      <c r="G395" t="inlineStr">
        <is>
          <t>0802</t>
        </is>
      </c>
      <c r="H395" t="inlineStr">
        <is>
          <t>CAS</t>
        </is>
      </c>
      <c r="I395" t="inlineStr"/>
      <c r="J395" t="inlineStr"/>
      <c r="K395" t="inlineStr"/>
      <c r="L395" t="inlineStr">
        <is>
          <t>8°-2</t>
        </is>
      </c>
      <c r="M395" t="inlineStr"/>
      <c r="N395">
        <f>C395&amp;"|"&amp;D395</f>
        <v/>
      </c>
      <c r="O395">
        <f>COUNTIF($N$2:N395,N395)</f>
        <v/>
      </c>
      <c r="P395">
        <f>N395&amp;"|"&amp;O395</f>
        <v/>
      </c>
      <c r="Q395">
        <f>C395&amp;"|"&amp;D395&amp;"|"&amp;A395</f>
        <v/>
      </c>
    </row>
    <row r="396">
      <c r="A396" t="n">
        <v>18</v>
      </c>
      <c r="B396" t="inlineStr">
        <is>
          <t>Estacio Estupiñán Rosario</t>
        </is>
      </c>
      <c r="C396" t="inlineStr">
        <is>
          <t>MARTES</t>
        </is>
      </c>
      <c r="D396" t="n">
        <v>8</v>
      </c>
      <c r="E396" t="n">
        <v>4</v>
      </c>
      <c r="F396" t="inlineStr">
        <is>
          <t>CLASE</t>
        </is>
      </c>
      <c r="G396" t="inlineStr">
        <is>
          <t>0902</t>
        </is>
      </c>
      <c r="H396" t="inlineStr">
        <is>
          <t>ETR</t>
        </is>
      </c>
      <c r="I396" t="inlineStr"/>
      <c r="J396" t="inlineStr">
        <is>
          <t>Ética / Religión (alternan cada semana)</t>
        </is>
      </c>
      <c r="K396" t="inlineStr"/>
      <c r="L396" t="inlineStr">
        <is>
          <t>9°-2</t>
        </is>
      </c>
      <c r="M396" t="inlineStr">
        <is>
          <t>Ética / Religión (alternan cada semana)</t>
        </is>
      </c>
      <c r="N396">
        <f>C396&amp;"|"&amp;D396</f>
        <v/>
      </c>
      <c r="O396">
        <f>COUNTIF($N$2:N396,N396)</f>
        <v/>
      </c>
      <c r="P396">
        <f>N396&amp;"|"&amp;O396</f>
        <v/>
      </c>
      <c r="Q396">
        <f>C396&amp;"|"&amp;D396&amp;"|"&amp;A396</f>
        <v/>
      </c>
    </row>
    <row r="397">
      <c r="A397" t="n">
        <v>40</v>
      </c>
      <c r="B397" t="inlineStr">
        <is>
          <t>Pulgarín Ortiz César Marino</t>
        </is>
      </c>
      <c r="C397" t="inlineStr">
        <is>
          <t>MARTES</t>
        </is>
      </c>
      <c r="D397" t="n">
        <v>8</v>
      </c>
      <c r="E397" t="n">
        <v>4</v>
      </c>
      <c r="F397" t="inlineStr">
        <is>
          <t>CLASE</t>
        </is>
      </c>
      <c r="G397" t="inlineStr">
        <is>
          <t>1002</t>
        </is>
      </c>
      <c r="H397" t="inlineStr">
        <is>
          <t>CSI</t>
        </is>
      </c>
      <c r="I397" t="inlineStr"/>
      <c r="J397" t="inlineStr">
        <is>
          <t>Sociales / Inglés (alternan cada semana)</t>
        </is>
      </c>
      <c r="K397" t="inlineStr"/>
      <c r="L397" t="inlineStr">
        <is>
          <t>10°-2</t>
        </is>
      </c>
      <c r="M397" t="inlineStr">
        <is>
          <t>Sociales / Inglés (alternan cada semana)</t>
        </is>
      </c>
      <c r="N397">
        <f>C397&amp;"|"&amp;D397</f>
        <v/>
      </c>
      <c r="O397">
        <f>COUNTIF($N$2:N397,N397)</f>
        <v/>
      </c>
      <c r="P397">
        <f>N397&amp;"|"&amp;O397</f>
        <v/>
      </c>
      <c r="Q397">
        <f>C397&amp;"|"&amp;D397&amp;"|"&amp;A397</f>
        <v/>
      </c>
    </row>
    <row r="398">
      <c r="A398" t="n">
        <v>54</v>
      </c>
      <c r="B398" t="inlineStr">
        <is>
          <t>Villota Rubio Janeth del Carmen</t>
        </is>
      </c>
      <c r="C398" t="inlineStr">
        <is>
          <t>MARTES</t>
        </is>
      </c>
      <c r="D398" t="n">
        <v>8</v>
      </c>
      <c r="E398" t="n">
        <v>4</v>
      </c>
      <c r="F398" t="inlineStr">
        <is>
          <t>CLASE</t>
        </is>
      </c>
      <c r="G398" t="inlineStr">
        <is>
          <t>1101</t>
        </is>
      </c>
      <c r="H398" t="inlineStr">
        <is>
          <t>MAT</t>
        </is>
      </c>
      <c r="I398" t="inlineStr"/>
      <c r="J398" t="inlineStr"/>
      <c r="K398" t="inlineStr"/>
      <c r="L398" t="inlineStr">
        <is>
          <t>11°-1</t>
        </is>
      </c>
      <c r="M398" t="inlineStr"/>
      <c r="N398">
        <f>C398&amp;"|"&amp;D398</f>
        <v/>
      </c>
      <c r="O398">
        <f>COUNTIF($N$2:N398,N398)</f>
        <v/>
      </c>
      <c r="P398">
        <f>N398&amp;"|"&amp;O398</f>
        <v/>
      </c>
      <c r="Q398">
        <f>C398&amp;"|"&amp;D398&amp;"|"&amp;A398</f>
        <v/>
      </c>
    </row>
    <row r="399">
      <c r="A399" t="n">
        <v>2</v>
      </c>
      <c r="B399" t="inlineStr">
        <is>
          <t>Angulo Lucero Andrés Mauricio</t>
        </is>
      </c>
      <c r="C399" t="inlineStr">
        <is>
          <t>MARTES</t>
        </is>
      </c>
      <c r="D399" t="n">
        <v>8</v>
      </c>
      <c r="E399" t="n">
        <v>4</v>
      </c>
      <c r="F399" t="inlineStr">
        <is>
          <t>CLASE</t>
        </is>
      </c>
      <c r="G399" t="inlineStr">
        <is>
          <t>1102</t>
        </is>
      </c>
      <c r="H399" t="inlineStr">
        <is>
          <t>TEI</t>
        </is>
      </c>
      <c r="I399" t="inlineStr"/>
      <c r="J399" t="inlineStr"/>
      <c r="K399" t="inlineStr"/>
      <c r="L399" t="inlineStr">
        <is>
          <t>11°-2</t>
        </is>
      </c>
      <c r="M399" t="inlineStr"/>
      <c r="N399">
        <f>C399&amp;"|"&amp;D399</f>
        <v/>
      </c>
      <c r="O399">
        <f>COUNTIF($N$2:N399,N399)</f>
        <v/>
      </c>
      <c r="P399">
        <f>N399&amp;"|"&amp;O399</f>
        <v/>
      </c>
      <c r="Q399">
        <f>C399&amp;"|"&amp;D399&amp;"|"&amp;A399</f>
        <v/>
      </c>
    </row>
    <row r="400">
      <c r="A400" t="n">
        <v>37</v>
      </c>
      <c r="B400" t="inlineStr">
        <is>
          <t>Prado Quiñones Genís Maribel</t>
        </is>
      </c>
      <c r="C400" t="inlineStr">
        <is>
          <t>MARTES</t>
        </is>
      </c>
      <c r="D400" t="n">
        <v>8</v>
      </c>
      <c r="E400" t="n">
        <v>4</v>
      </c>
      <c r="F400" t="inlineStr">
        <is>
          <t>CLASE</t>
        </is>
      </c>
      <c r="G400" t="inlineStr">
        <is>
          <t>CS101</t>
        </is>
      </c>
      <c r="H400" t="inlineStr">
        <is>
          <t>ART</t>
        </is>
      </c>
      <c r="I400" t="inlineStr"/>
      <c r="J400" t="inlineStr"/>
      <c r="K400" t="inlineStr"/>
      <c r="L400" t="inlineStr">
        <is>
          <t>CS 1-1</t>
        </is>
      </c>
      <c r="M400" t="inlineStr"/>
      <c r="N400">
        <f>C400&amp;"|"&amp;D400</f>
        <v/>
      </c>
      <c r="O400">
        <f>COUNTIF($N$2:N400,N400)</f>
        <v/>
      </c>
      <c r="P400">
        <f>N400&amp;"|"&amp;O400</f>
        <v/>
      </c>
      <c r="Q400">
        <f>C400&amp;"|"&amp;D400&amp;"|"&amp;A400</f>
        <v/>
      </c>
    </row>
    <row r="401">
      <c r="A401" t="n">
        <v>4</v>
      </c>
      <c r="B401" t="inlineStr">
        <is>
          <t>Arizala Castro Roberto Carlos</t>
        </is>
      </c>
      <c r="C401" t="inlineStr">
        <is>
          <t>MARTES</t>
        </is>
      </c>
      <c r="D401" t="n">
        <v>8</v>
      </c>
      <c r="E401" t="n">
        <v>4</v>
      </c>
      <c r="F401" t="inlineStr">
        <is>
          <t>CLASE</t>
        </is>
      </c>
      <c r="G401" t="inlineStr">
        <is>
          <t>CS102</t>
        </is>
      </c>
      <c r="H401" t="inlineStr">
        <is>
          <t>CNA</t>
        </is>
      </c>
      <c r="I401" t="inlineStr"/>
      <c r="J401" t="inlineStr"/>
      <c r="K401" t="inlineStr"/>
      <c r="L401" t="inlineStr">
        <is>
          <t>CS 1-2</t>
        </is>
      </c>
      <c r="M401" t="inlineStr"/>
      <c r="N401">
        <f>C401&amp;"|"&amp;D401</f>
        <v/>
      </c>
      <c r="O401">
        <f>COUNTIF($N$2:N401,N401)</f>
        <v/>
      </c>
      <c r="P401">
        <f>N401&amp;"|"&amp;O401</f>
        <v/>
      </c>
      <c r="Q401">
        <f>C401&amp;"|"&amp;D401&amp;"|"&amp;A401</f>
        <v/>
      </c>
    </row>
    <row r="402">
      <c r="A402" t="n">
        <v>38</v>
      </c>
      <c r="B402" t="inlineStr">
        <is>
          <t>Preciado Torres Oleisa</t>
        </is>
      </c>
      <c r="C402" t="inlineStr">
        <is>
          <t>MARTES</t>
        </is>
      </c>
      <c r="D402" t="n">
        <v>8</v>
      </c>
      <c r="E402" t="n">
        <v>4</v>
      </c>
      <c r="F402" t="inlineStr">
        <is>
          <t>CLASE</t>
        </is>
      </c>
      <c r="G402" t="inlineStr">
        <is>
          <t>CS201</t>
        </is>
      </c>
      <c r="H402" t="inlineStr">
        <is>
          <t>MAT</t>
        </is>
      </c>
      <c r="I402" t="inlineStr"/>
      <c r="J402" t="inlineStr"/>
      <c r="K402" t="inlineStr"/>
      <c r="L402" t="inlineStr">
        <is>
          <t>CS 2-1</t>
        </is>
      </c>
      <c r="M402" t="inlineStr"/>
      <c r="N402">
        <f>C402&amp;"|"&amp;D402</f>
        <v/>
      </c>
      <c r="O402">
        <f>COUNTIF($N$2:N402,N402)</f>
        <v/>
      </c>
      <c r="P402">
        <f>N402&amp;"|"&amp;O402</f>
        <v/>
      </c>
      <c r="Q402">
        <f>C402&amp;"|"&amp;D402&amp;"|"&amp;A402</f>
        <v/>
      </c>
    </row>
    <row r="403">
      <c r="A403" t="n">
        <v>9</v>
      </c>
      <c r="B403" t="inlineStr">
        <is>
          <t>Castillo Angulo Martha Cecilia</t>
        </is>
      </c>
      <c r="C403" t="inlineStr">
        <is>
          <t>MARTES</t>
        </is>
      </c>
      <c r="D403" t="n">
        <v>8</v>
      </c>
      <c r="E403" t="n">
        <v>4</v>
      </c>
      <c r="F403" t="inlineStr">
        <is>
          <t>CLASE</t>
        </is>
      </c>
      <c r="G403" t="inlineStr">
        <is>
          <t>CS202</t>
        </is>
      </c>
      <c r="H403" t="inlineStr">
        <is>
          <t>ETR</t>
        </is>
      </c>
      <c r="I403" t="inlineStr"/>
      <c r="J403" t="inlineStr">
        <is>
          <t>Ética / Religión (alternan cada semana)</t>
        </is>
      </c>
      <c r="K403" t="inlineStr"/>
      <c r="L403" t="inlineStr">
        <is>
          <t>CS 2-2</t>
        </is>
      </c>
      <c r="M403" t="inlineStr">
        <is>
          <t>Ética / Religión (alternan cada semana)</t>
        </is>
      </c>
      <c r="N403">
        <f>C403&amp;"|"&amp;D403</f>
        <v/>
      </c>
      <c r="O403">
        <f>COUNTIF($N$2:N403,N403)</f>
        <v/>
      </c>
      <c r="P403">
        <f>N403&amp;"|"&amp;O403</f>
        <v/>
      </c>
      <c r="Q403">
        <f>C403&amp;"|"&amp;D403&amp;"|"&amp;A403</f>
        <v/>
      </c>
    </row>
    <row r="404">
      <c r="A404" t="n">
        <v>10</v>
      </c>
      <c r="B404" t="inlineStr">
        <is>
          <t>Castillo Cuero Daira Eneida</t>
        </is>
      </c>
      <c r="C404" t="inlineStr">
        <is>
          <t>MARTES</t>
        </is>
      </c>
      <c r="D404" t="n">
        <v>8</v>
      </c>
      <c r="E404" t="n">
        <v>4</v>
      </c>
      <c r="F404" t="inlineStr">
        <is>
          <t>ENFASIS</t>
        </is>
      </c>
      <c r="G404" t="inlineStr"/>
      <c r="H404" t="inlineStr">
        <is>
          <t>CAS</t>
        </is>
      </c>
      <c r="I404" t="inlineStr">
        <is>
          <t>0601</t>
        </is>
      </c>
      <c r="J404" t="inlineStr">
        <is>
          <t>PAREJA: comparten el énfasis y alternan por semana</t>
        </is>
      </c>
      <c r="K404" t="inlineStr">
        <is>
          <t>Puches Ana Milena (ART)</t>
        </is>
      </c>
      <c r="L404" t="inlineStr">
        <is>
          <t>ÉNFASIS 6°-1</t>
        </is>
      </c>
      <c r="M404" t="inlineStr">
        <is>
          <t>PAREJA: comparten el énfasis y alternan por semana · Con: Puches Ana Milena (ART)</t>
        </is>
      </c>
      <c r="N404">
        <f>C404&amp;"|"&amp;D404</f>
        <v/>
      </c>
      <c r="O404">
        <f>COUNTIF($N$2:N404,N404)</f>
        <v/>
      </c>
      <c r="P404">
        <f>N404&amp;"|"&amp;O404</f>
        <v/>
      </c>
      <c r="Q404">
        <f>C404&amp;"|"&amp;D404&amp;"|"&amp;A404</f>
        <v/>
      </c>
    </row>
    <row r="405">
      <c r="A405" t="n">
        <v>39</v>
      </c>
      <c r="B405" t="inlineStr">
        <is>
          <t>Puches Ana Milena</t>
        </is>
      </c>
      <c r="C405" t="inlineStr">
        <is>
          <t>MARTES</t>
        </is>
      </c>
      <c r="D405" t="n">
        <v>8</v>
      </c>
      <c r="E405" t="n">
        <v>4</v>
      </c>
      <c r="F405" t="inlineStr">
        <is>
          <t>ENFASIS</t>
        </is>
      </c>
      <c r="G405" t="inlineStr"/>
      <c r="H405" t="inlineStr">
        <is>
          <t>ART</t>
        </is>
      </c>
      <c r="I405" t="inlineStr">
        <is>
          <t>0601</t>
        </is>
      </c>
      <c r="J405" t="inlineStr">
        <is>
          <t>PAREJA: comparten el énfasis y alternan por semana</t>
        </is>
      </c>
      <c r="K405" t="inlineStr">
        <is>
          <t>Castillo Cuero Daira Eneida (CAS)</t>
        </is>
      </c>
      <c r="L405" t="inlineStr">
        <is>
          <t>ÉNFASIS 6°-1</t>
        </is>
      </c>
      <c r="M405" t="inlineStr">
        <is>
          <t>PAREJA: comparten el énfasis y alternan por semana · Con: Castillo Cuero Daira Eneida (CAS)</t>
        </is>
      </c>
      <c r="N405">
        <f>C405&amp;"|"&amp;D405</f>
        <v/>
      </c>
      <c r="O405">
        <f>COUNTIF($N$2:N405,N405)</f>
        <v/>
      </c>
      <c r="P405">
        <f>N405&amp;"|"&amp;O405</f>
        <v/>
      </c>
      <c r="Q405">
        <f>C405&amp;"|"&amp;D405&amp;"|"&amp;A405</f>
        <v/>
      </c>
    </row>
    <row r="406">
      <c r="A406" t="n">
        <v>34</v>
      </c>
      <c r="B406" t="inlineStr">
        <is>
          <t>Ordóñez Tenorio Jaime Marcial</t>
        </is>
      </c>
      <c r="C406" t="inlineStr">
        <is>
          <t>MARTES</t>
        </is>
      </c>
      <c r="D406" t="n">
        <v>8</v>
      </c>
      <c r="E406" t="n">
        <v>4</v>
      </c>
      <c r="F406" t="inlineStr">
        <is>
          <t>ENFASIS</t>
        </is>
      </c>
      <c r="G406" t="inlineStr"/>
      <c r="H406" t="inlineStr">
        <is>
          <t>CNA</t>
        </is>
      </c>
      <c r="I406" t="inlineStr">
        <is>
          <t>0602</t>
        </is>
      </c>
      <c r="J406" t="inlineStr">
        <is>
          <t>PAREJA: comparten el énfasis y alternan por semana</t>
        </is>
      </c>
      <c r="K406" t="inlineStr">
        <is>
          <t>Armero Dájome Jesús (ERD)</t>
        </is>
      </c>
      <c r="L406" t="inlineStr">
        <is>
          <t>ÉNFASIS 6°-2</t>
        </is>
      </c>
      <c r="M406" t="inlineStr">
        <is>
          <t>PAREJA: comparten el énfasis y alternan por semana · Con: Armero Dájome Jesús (ERD)</t>
        </is>
      </c>
      <c r="N406">
        <f>C406&amp;"|"&amp;D406</f>
        <v/>
      </c>
      <c r="O406">
        <f>COUNTIF($N$2:N406,N406)</f>
        <v/>
      </c>
      <c r="P406">
        <f>N406&amp;"|"&amp;O406</f>
        <v/>
      </c>
      <c r="Q406">
        <f>C406&amp;"|"&amp;D406&amp;"|"&amp;A406</f>
        <v/>
      </c>
    </row>
    <row r="407">
      <c r="A407" t="n">
        <v>4</v>
      </c>
      <c r="B407" t="inlineStr">
        <is>
          <t>Arizala Castro Roberto Carlos</t>
        </is>
      </c>
      <c r="C407" t="inlineStr">
        <is>
          <t>MARTES</t>
        </is>
      </c>
      <c r="D407" t="n">
        <v>8</v>
      </c>
      <c r="E407" t="n">
        <v>4</v>
      </c>
      <c r="F407" t="inlineStr">
        <is>
          <t>ENFASIS</t>
        </is>
      </c>
      <c r="G407" t="inlineStr"/>
      <c r="H407" t="inlineStr">
        <is>
          <t>ERD</t>
        </is>
      </c>
      <c r="I407" t="inlineStr">
        <is>
          <t>0602</t>
        </is>
      </c>
      <c r="J407" t="inlineStr">
        <is>
          <t>PAREJA: comparten el énfasis y alternan por semana</t>
        </is>
      </c>
      <c r="K407" t="inlineStr">
        <is>
          <t>Ordóñez Tenorio Jaime Marcial (CNA)</t>
        </is>
      </c>
      <c r="L407" t="inlineStr">
        <is>
          <t>ÉNFASIS 6°-2</t>
        </is>
      </c>
      <c r="M407" t="inlineStr">
        <is>
          <t>PAREJA: comparten el énfasis y alternan por semana · Con: Ordóñez Tenorio Jaime Marcial (CNA)</t>
        </is>
      </c>
      <c r="N407">
        <f>C407&amp;"|"&amp;D407</f>
        <v/>
      </c>
      <c r="O407">
        <f>COUNTIF($N$2:N407,N407)</f>
        <v/>
      </c>
      <c r="P407">
        <f>N407&amp;"|"&amp;O407</f>
        <v/>
      </c>
      <c r="Q407">
        <f>C407&amp;"|"&amp;D407&amp;"|"&amp;A407</f>
        <v/>
      </c>
    </row>
    <row r="408">
      <c r="A408" t="n">
        <v>22</v>
      </c>
      <c r="B408" t="inlineStr">
        <is>
          <t>González Castillo Jólmer Jimy</t>
        </is>
      </c>
      <c r="C408" t="inlineStr">
        <is>
          <t>MARTES</t>
        </is>
      </c>
      <c r="D408" t="n">
        <v>8</v>
      </c>
      <c r="E408" t="n">
        <v>4</v>
      </c>
      <c r="F408" t="inlineStr">
        <is>
          <t>ENFASIS</t>
        </is>
      </c>
      <c r="G408" t="inlineStr"/>
      <c r="H408" t="inlineStr">
        <is>
          <t>ERD</t>
        </is>
      </c>
      <c r="I408" t="inlineStr">
        <is>
          <t>0901</t>
        </is>
      </c>
      <c r="J408" t="inlineStr">
        <is>
          <t>EQUIPO DE 4: cada docente atiende un grupo de estudiantes en su área</t>
        </is>
      </c>
      <c r="K408" t="inlineStr">
        <is>
          <t>Valencia Marínez Saidy Eufemia (ART); Meza Banguera Gladys Alicia (CAS); Lemos Guancha Miriam (CNA)</t>
        </is>
      </c>
      <c r="L408" t="inlineStr">
        <is>
          <t>ÉNFASIS 9°-1</t>
        </is>
      </c>
      <c r="M408" t="inlineStr">
        <is>
          <t>EQUIPO DE 4: cada docente atiende un grupo de estudiantes en su área · Con: Valencia Marínez Saidy Eufemia (ART); Meza Banguera Gladys Alicia (CAS); Lemos Guancha Miriam (CNA)</t>
        </is>
      </c>
      <c r="N408">
        <f>C408&amp;"|"&amp;D408</f>
        <v/>
      </c>
      <c r="O408">
        <f>COUNTIF($N$2:N408,N408)</f>
        <v/>
      </c>
      <c r="P408">
        <f>N408&amp;"|"&amp;O408</f>
        <v/>
      </c>
      <c r="Q408">
        <f>C408&amp;"|"&amp;D408&amp;"|"&amp;A408</f>
        <v/>
      </c>
    </row>
    <row r="409">
      <c r="A409" t="n">
        <v>25</v>
      </c>
      <c r="B409" t="inlineStr">
        <is>
          <t>Lemos Guancha Miriam</t>
        </is>
      </c>
      <c r="C409" t="inlineStr">
        <is>
          <t>MARTES</t>
        </is>
      </c>
      <c r="D409" t="n">
        <v>8</v>
      </c>
      <c r="E409" t="n">
        <v>4</v>
      </c>
      <c r="F409" t="inlineStr">
        <is>
          <t>ENFASIS</t>
        </is>
      </c>
      <c r="G409" t="inlineStr"/>
      <c r="H409" t="inlineStr">
        <is>
          <t>CNA</t>
        </is>
      </c>
      <c r="I409" t="inlineStr">
        <is>
          <t>0901</t>
        </is>
      </c>
      <c r="J409" t="inlineStr">
        <is>
          <t>EQUIPO DE 4: cada docente atiende un grupo de estudiantes en su área</t>
        </is>
      </c>
      <c r="K409" t="inlineStr">
        <is>
          <t>Valencia Marínez Saidy Eufemia (ART); Meza Banguera Gladys Alicia (CAS); González Castillo Jólmer Jimy (ERD)</t>
        </is>
      </c>
      <c r="L409" t="inlineStr">
        <is>
          <t>ÉNFASIS 9°-1</t>
        </is>
      </c>
      <c r="M409" t="inlineStr">
        <is>
          <t>EQUIPO DE 4: cada docente atiende un grupo de estudiantes en su área · Con: Valencia Marínez Saidy Eufemia (ART); Meza Banguera Gladys Alicia (CAS); González Castillo Jólmer Jimy (ERD)</t>
        </is>
      </c>
      <c r="N409">
        <f>C409&amp;"|"&amp;D409</f>
        <v/>
      </c>
      <c r="O409">
        <f>COUNTIF($N$2:N409,N409)</f>
        <v/>
      </c>
      <c r="P409">
        <f>N409&amp;"|"&amp;O409</f>
        <v/>
      </c>
      <c r="Q409">
        <f>C409&amp;"|"&amp;D409&amp;"|"&amp;A409</f>
        <v/>
      </c>
    </row>
    <row r="410">
      <c r="A410" t="n">
        <v>28</v>
      </c>
      <c r="B410" t="inlineStr">
        <is>
          <t>Meza Banguera Gladys Alicia</t>
        </is>
      </c>
      <c r="C410" t="inlineStr">
        <is>
          <t>MARTES</t>
        </is>
      </c>
      <c r="D410" t="n">
        <v>8</v>
      </c>
      <c r="E410" t="n">
        <v>4</v>
      </c>
      <c r="F410" t="inlineStr">
        <is>
          <t>ENFASIS</t>
        </is>
      </c>
      <c r="G410" t="inlineStr"/>
      <c r="H410" t="inlineStr">
        <is>
          <t>CAS</t>
        </is>
      </c>
      <c r="I410" t="inlineStr">
        <is>
          <t>0901</t>
        </is>
      </c>
      <c r="J410" t="inlineStr">
        <is>
          <t>EQUIPO DE 4: cada docente atiende un grupo de estudiantes en su área</t>
        </is>
      </c>
      <c r="K410" t="inlineStr">
        <is>
          <t>Valencia Marínez Saidy Eufemia (ART); González Castillo Jólmer Jimy (ERD); Lemos Guancha Miriam (CNA)</t>
        </is>
      </c>
      <c r="L410" t="inlineStr">
        <is>
          <t>ÉNFASIS 9°-1</t>
        </is>
      </c>
      <c r="M410" t="inlineStr">
        <is>
          <t>EQUIPO DE 4: cada docente atiende un grupo de estudiantes en su área · Con: Valencia Marínez Saidy Eufemia (ART); González Castillo Jólmer Jimy (ERD); Lemos Guancha Miriam (CNA)</t>
        </is>
      </c>
      <c r="N410">
        <f>C410&amp;"|"&amp;D410</f>
        <v/>
      </c>
      <c r="O410">
        <f>COUNTIF($N$2:N410,N410)</f>
        <v/>
      </c>
      <c r="P410">
        <f>N410&amp;"|"&amp;O410</f>
        <v/>
      </c>
      <c r="Q410">
        <f>C410&amp;"|"&amp;D410&amp;"|"&amp;A410</f>
        <v/>
      </c>
    </row>
    <row r="411">
      <c r="A411" t="n">
        <v>49</v>
      </c>
      <c r="B411" t="inlineStr">
        <is>
          <t>Valencia Marínez Saidy Eufemia</t>
        </is>
      </c>
      <c r="C411" t="inlineStr">
        <is>
          <t>MARTES</t>
        </is>
      </c>
      <c r="D411" t="n">
        <v>8</v>
      </c>
      <c r="E411" t="n">
        <v>4</v>
      </c>
      <c r="F411" t="inlineStr">
        <is>
          <t>ENFASIS</t>
        </is>
      </c>
      <c r="G411" t="inlineStr"/>
      <c r="H411" t="inlineStr">
        <is>
          <t>ART</t>
        </is>
      </c>
      <c r="I411" t="inlineStr">
        <is>
          <t>0901</t>
        </is>
      </c>
      <c r="J411" t="inlineStr">
        <is>
          <t>EQUIPO DE 4: cada docente atiende un grupo de estudiantes en su área</t>
        </is>
      </c>
      <c r="K411" t="inlineStr">
        <is>
          <t>Meza Banguera Gladys Alicia (CAS); González Castillo Jólmer Jimy (ERD); Lemos Guancha Miriam (CNA)</t>
        </is>
      </c>
      <c r="L411" t="inlineStr">
        <is>
          <t>ÉNFASIS 9°-1</t>
        </is>
      </c>
      <c r="M411" t="inlineStr">
        <is>
          <t>EQUIPO DE 4: cada docente atiende un grupo de estudiantes en su área · Con: Meza Banguera Gladys Alicia (CAS); González Castillo Jólmer Jimy (ERD); Lemos Guancha Miriam (CNA)</t>
        </is>
      </c>
      <c r="N411">
        <f>C411&amp;"|"&amp;D411</f>
        <v/>
      </c>
      <c r="O411">
        <f>COUNTIF($N$2:N411,N411)</f>
        <v/>
      </c>
      <c r="P411">
        <f>N411&amp;"|"&amp;O411</f>
        <v/>
      </c>
      <c r="Q411">
        <f>C411&amp;"|"&amp;D411&amp;"|"&amp;A411</f>
        <v/>
      </c>
    </row>
    <row r="412">
      <c r="A412" t="n">
        <v>3</v>
      </c>
      <c r="B412" t="inlineStr">
        <is>
          <t>Arboleda Ortiz Luz América</t>
        </is>
      </c>
      <c r="C412" t="inlineStr">
        <is>
          <t>MARTES</t>
        </is>
      </c>
      <c r="D412" t="n">
        <v>8</v>
      </c>
      <c r="E412" t="n">
        <v>4</v>
      </c>
      <c r="F412" t="inlineStr">
        <is>
          <t>ENFASIS</t>
        </is>
      </c>
      <c r="G412" t="inlineStr"/>
      <c r="H412" t="inlineStr">
        <is>
          <t>ART</t>
        </is>
      </c>
      <c r="I412" t="inlineStr">
        <is>
          <t>1001</t>
        </is>
      </c>
      <c r="J412" t="inlineStr">
        <is>
          <t>EQUIPO DE 4: cada docente atiende un grupo de estudiantes en su área</t>
        </is>
      </c>
      <c r="K412" t="inlineStr">
        <is>
          <t>Montaño Anchico Favio Héctor (CAS); Ramírez Guerra Jimmy Eduardo (ERD); Villota Rubio Héctor Hugo (CNA)</t>
        </is>
      </c>
      <c r="L412" t="inlineStr">
        <is>
          <t>ÉNFASIS 10°-1</t>
        </is>
      </c>
      <c r="M412" t="inlineStr">
        <is>
          <t>EQUIPO DE 4: cada docente atiende un grupo de estudiantes en su área · Con: Montaño Anchico Favio Héctor (CAS); Ramírez Guerra Jimmy Eduardo (ERD); Villota Rubio Héctor Hugo (CNA)</t>
        </is>
      </c>
      <c r="N412">
        <f>C412&amp;"|"&amp;D412</f>
        <v/>
      </c>
      <c r="O412">
        <f>COUNTIF($N$2:N412,N412)</f>
        <v/>
      </c>
      <c r="P412">
        <f>N412&amp;"|"&amp;O412</f>
        <v/>
      </c>
      <c r="Q412">
        <f>C412&amp;"|"&amp;D412&amp;"|"&amp;A412</f>
        <v/>
      </c>
    </row>
    <row r="413">
      <c r="A413" t="n">
        <v>30</v>
      </c>
      <c r="B413" t="inlineStr">
        <is>
          <t>Montaño Anchico Favio Héctor</t>
        </is>
      </c>
      <c r="C413" t="inlineStr">
        <is>
          <t>MARTES</t>
        </is>
      </c>
      <c r="D413" t="n">
        <v>8</v>
      </c>
      <c r="E413" t="n">
        <v>4</v>
      </c>
      <c r="F413" t="inlineStr">
        <is>
          <t>ENFASIS</t>
        </is>
      </c>
      <c r="G413" t="inlineStr"/>
      <c r="H413" t="inlineStr">
        <is>
          <t>CAS</t>
        </is>
      </c>
      <c r="I413" t="inlineStr">
        <is>
          <t>1001</t>
        </is>
      </c>
      <c r="J413" t="inlineStr">
        <is>
          <t>EQUIPO DE 4: cada docente atiende un grupo de estudiantes en su área</t>
        </is>
      </c>
      <c r="K413" t="inlineStr">
        <is>
          <t>Arboleda Ortiz Luz América (ART); Ramírez Guerra Jimmy Eduardo (ERD); Villota Rubio Héctor Hugo (CNA)</t>
        </is>
      </c>
      <c r="L413" t="inlineStr">
        <is>
          <t>ÉNFASIS 10°-1</t>
        </is>
      </c>
      <c r="M413" t="inlineStr">
        <is>
          <t>EQUIPO DE 4: cada docente atiende un grupo de estudiantes en su área · Con: Arboleda Ortiz Luz América (ART); Ramírez Guerra Jimmy Eduardo (ERD); Villota Rubio Héctor Hugo (CNA)</t>
        </is>
      </c>
      <c r="N413">
        <f>C413&amp;"|"&amp;D413</f>
        <v/>
      </c>
      <c r="O413">
        <f>COUNTIF($N$2:N413,N413)</f>
        <v/>
      </c>
      <c r="P413">
        <f>N413&amp;"|"&amp;O413</f>
        <v/>
      </c>
      <c r="Q413">
        <f>C413&amp;"|"&amp;D413&amp;"|"&amp;A413</f>
        <v/>
      </c>
    </row>
    <row r="414">
      <c r="A414" t="n">
        <v>43</v>
      </c>
      <c r="B414" t="inlineStr">
        <is>
          <t>Ramírez Guerra Jimmy Eduardo</t>
        </is>
      </c>
      <c r="C414" t="inlineStr">
        <is>
          <t>MARTES</t>
        </is>
      </c>
      <c r="D414" t="n">
        <v>8</v>
      </c>
      <c r="E414" t="n">
        <v>4</v>
      </c>
      <c r="F414" t="inlineStr">
        <is>
          <t>ENFASIS</t>
        </is>
      </c>
      <c r="G414" t="inlineStr"/>
      <c r="H414" t="inlineStr">
        <is>
          <t>ERD</t>
        </is>
      </c>
      <c r="I414" t="inlineStr">
        <is>
          <t>1001</t>
        </is>
      </c>
      <c r="J414" t="inlineStr">
        <is>
          <t>EQUIPO DE 4: cada docente atiende un grupo de estudiantes en su área</t>
        </is>
      </c>
      <c r="K414" t="inlineStr">
        <is>
          <t>Arboleda Ortiz Luz América (ART); Montaño Anchico Favio Héctor (CAS); Villota Rubio Héctor Hugo (CNA)</t>
        </is>
      </c>
      <c r="L414" t="inlineStr">
        <is>
          <t>ÉNFASIS 10°-1</t>
        </is>
      </c>
      <c r="M414" t="inlineStr">
        <is>
          <t>EQUIPO DE 4: cada docente atiende un grupo de estudiantes en su área · Con: Arboleda Ortiz Luz América (ART); Montaño Anchico Favio Héctor (CAS); Villota Rubio Héctor Hugo (CNA)</t>
        </is>
      </c>
      <c r="N414">
        <f>C414&amp;"|"&amp;D414</f>
        <v/>
      </c>
      <c r="O414">
        <f>COUNTIF($N$2:N414,N414)</f>
        <v/>
      </c>
      <c r="P414">
        <f>N414&amp;"|"&amp;O414</f>
        <v/>
      </c>
      <c r="Q414">
        <f>C414&amp;"|"&amp;D414&amp;"|"&amp;A414</f>
        <v/>
      </c>
    </row>
    <row r="415">
      <c r="A415" t="n">
        <v>53</v>
      </c>
      <c r="B415" t="inlineStr">
        <is>
          <t>Villota Rubio Héctor Hugo</t>
        </is>
      </c>
      <c r="C415" t="inlineStr">
        <is>
          <t>MARTES</t>
        </is>
      </c>
      <c r="D415" t="n">
        <v>8</v>
      </c>
      <c r="E415" t="n">
        <v>4</v>
      </c>
      <c r="F415" t="inlineStr">
        <is>
          <t>ENFASIS</t>
        </is>
      </c>
      <c r="G415" t="inlineStr"/>
      <c r="H415" t="inlineStr">
        <is>
          <t>CNA</t>
        </is>
      </c>
      <c r="I415" t="inlineStr">
        <is>
          <t>1001</t>
        </is>
      </c>
      <c r="J415" t="inlineStr">
        <is>
          <t>EQUIPO DE 4: cada docente atiende un grupo de estudiantes en su área</t>
        </is>
      </c>
      <c r="K415" t="inlineStr">
        <is>
          <t>Arboleda Ortiz Luz América (ART); Montaño Anchico Favio Héctor (CAS); Ramírez Guerra Jimmy Eduardo (ERD)</t>
        </is>
      </c>
      <c r="L415" t="inlineStr">
        <is>
          <t>ÉNFASIS 10°-1</t>
        </is>
      </c>
      <c r="M415" t="inlineStr">
        <is>
          <t>EQUIPO DE 4: cada docente atiende un grupo de estudiantes en su área · Con: Arboleda Ortiz Luz América (ART); Montaño Anchico Favio Héctor (CAS); Ramírez Guerra Jimmy Eduardo (ERD)</t>
        </is>
      </c>
      <c r="N415">
        <f>C415&amp;"|"&amp;D415</f>
        <v/>
      </c>
      <c r="O415">
        <f>COUNTIF($N$2:N415,N415)</f>
        <v/>
      </c>
      <c r="P415">
        <f>N415&amp;"|"&amp;O415</f>
        <v/>
      </c>
      <c r="Q415">
        <f>C415&amp;"|"&amp;D415&amp;"|"&amp;A415</f>
        <v/>
      </c>
    </row>
    <row r="416">
      <c r="A416" t="n">
        <v>37</v>
      </c>
      <c r="B416" t="inlineStr">
        <is>
          <t>Prado Quiñones Genís Maribel</t>
        </is>
      </c>
      <c r="C416" t="inlineStr">
        <is>
          <t>MIERCOLES</t>
        </is>
      </c>
      <c r="D416" t="n">
        <v>1</v>
      </c>
      <c r="E416" t="n">
        <v>1</v>
      </c>
      <c r="F416" t="inlineStr">
        <is>
          <t>CLASE</t>
        </is>
      </c>
      <c r="G416" t="inlineStr">
        <is>
          <t>0601</t>
        </is>
      </c>
      <c r="H416" t="inlineStr">
        <is>
          <t>ART</t>
        </is>
      </c>
      <c r="I416" t="inlineStr"/>
      <c r="J416" t="inlineStr"/>
      <c r="K416" t="inlineStr"/>
      <c r="L416" t="inlineStr">
        <is>
          <t>6°-1</t>
        </is>
      </c>
      <c r="M416" t="inlineStr"/>
      <c r="N416">
        <f>C416&amp;"|"&amp;D416</f>
        <v/>
      </c>
      <c r="O416">
        <f>COUNTIF($N$2:N416,N416)</f>
        <v/>
      </c>
      <c r="P416">
        <f>N416&amp;"|"&amp;O416</f>
        <v/>
      </c>
      <c r="Q416">
        <f>C416&amp;"|"&amp;D416&amp;"|"&amp;A416</f>
        <v/>
      </c>
    </row>
    <row r="417">
      <c r="A417" t="n">
        <v>57</v>
      </c>
      <c r="B417" t="inlineStr">
        <is>
          <t>Armero Dájome Jesús</t>
        </is>
      </c>
      <c r="C417" t="inlineStr">
        <is>
          <t>MIERCOLES</t>
        </is>
      </c>
      <c r="D417" t="n">
        <v>1</v>
      </c>
      <c r="E417" t="n">
        <v>1</v>
      </c>
      <c r="F417" t="inlineStr">
        <is>
          <t>CLASE</t>
        </is>
      </c>
      <c r="G417" t="inlineStr">
        <is>
          <t>0602</t>
        </is>
      </c>
      <c r="H417" t="inlineStr">
        <is>
          <t>ERD</t>
        </is>
      </c>
      <c r="I417" t="inlineStr"/>
      <c r="J417" t="inlineStr"/>
      <c r="K417" t="inlineStr"/>
      <c r="L417" t="inlineStr">
        <is>
          <t>6°-2</t>
        </is>
      </c>
      <c r="M417" t="inlineStr"/>
      <c r="N417">
        <f>C417&amp;"|"&amp;D417</f>
        <v/>
      </c>
      <c r="O417">
        <f>COUNTIF($N$2:N417,N417)</f>
        <v/>
      </c>
      <c r="P417">
        <f>N417&amp;"|"&amp;O417</f>
        <v/>
      </c>
      <c r="Q417">
        <f>C417&amp;"|"&amp;D417&amp;"|"&amp;A417</f>
        <v/>
      </c>
    </row>
    <row r="418">
      <c r="A418" t="n">
        <v>34</v>
      </c>
      <c r="B418" t="inlineStr">
        <is>
          <t>Ordóñez Tenorio Jaime Marcial</t>
        </is>
      </c>
      <c r="C418" t="inlineStr">
        <is>
          <t>MIERCOLES</t>
        </is>
      </c>
      <c r="D418" t="n">
        <v>1</v>
      </c>
      <c r="E418" t="n">
        <v>1</v>
      </c>
      <c r="F418" t="inlineStr">
        <is>
          <t>CLASE</t>
        </is>
      </c>
      <c r="G418" t="inlineStr">
        <is>
          <t>0704</t>
        </is>
      </c>
      <c r="H418" t="inlineStr">
        <is>
          <t>CNA</t>
        </is>
      </c>
      <c r="I418" t="inlineStr"/>
      <c r="J418" t="inlineStr"/>
      <c r="K418" t="inlineStr"/>
      <c r="L418" t="inlineStr">
        <is>
          <t>7°-4</t>
        </is>
      </c>
      <c r="M418" t="inlineStr"/>
      <c r="N418">
        <f>C418&amp;"|"&amp;D418</f>
        <v/>
      </c>
      <c r="O418">
        <f>COUNTIF($N$2:N418,N418)</f>
        <v/>
      </c>
      <c r="P418">
        <f>N418&amp;"|"&amp;O418</f>
        <v/>
      </c>
      <c r="Q418">
        <f>C418&amp;"|"&amp;D418&amp;"|"&amp;A418</f>
        <v/>
      </c>
    </row>
    <row r="419">
      <c r="A419" t="n">
        <v>51</v>
      </c>
      <c r="B419" t="inlineStr">
        <is>
          <t>Valverde Montaño María Teresa</t>
        </is>
      </c>
      <c r="C419" t="inlineStr">
        <is>
          <t>MIERCOLES</t>
        </is>
      </c>
      <c r="D419" t="n">
        <v>1</v>
      </c>
      <c r="E419" t="n">
        <v>1</v>
      </c>
      <c r="F419" t="inlineStr">
        <is>
          <t>CLASE</t>
        </is>
      </c>
      <c r="G419" t="inlineStr">
        <is>
          <t>0801</t>
        </is>
      </c>
      <c r="H419" t="inlineStr">
        <is>
          <t>CAS</t>
        </is>
      </c>
      <c r="I419" t="inlineStr"/>
      <c r="J419" t="inlineStr"/>
      <c r="K419" t="inlineStr"/>
      <c r="L419" t="inlineStr">
        <is>
          <t>8°-1</t>
        </is>
      </c>
      <c r="M419" t="inlineStr"/>
      <c r="N419">
        <f>C419&amp;"|"&amp;D419</f>
        <v/>
      </c>
      <c r="O419">
        <f>COUNTIF($N$2:N419,N419)</f>
        <v/>
      </c>
      <c r="P419">
        <f>N419&amp;"|"&amp;O419</f>
        <v/>
      </c>
      <c r="Q419">
        <f>C419&amp;"|"&amp;D419&amp;"|"&amp;A419</f>
        <v/>
      </c>
    </row>
    <row r="420">
      <c r="A420" t="n">
        <v>19</v>
      </c>
      <c r="B420" t="inlineStr">
        <is>
          <t>Fernández Vélez Alfredo Enrique</t>
        </is>
      </c>
      <c r="C420" t="inlineStr">
        <is>
          <t>MIERCOLES</t>
        </is>
      </c>
      <c r="D420" t="n">
        <v>1</v>
      </c>
      <c r="E420" t="n">
        <v>1</v>
      </c>
      <c r="F420" t="inlineStr">
        <is>
          <t>CLASE</t>
        </is>
      </c>
      <c r="G420" t="inlineStr">
        <is>
          <t>0802</t>
        </is>
      </c>
      <c r="H420" t="inlineStr">
        <is>
          <t>TEI</t>
        </is>
      </c>
      <c r="I420" t="inlineStr"/>
      <c r="J420" t="inlineStr"/>
      <c r="K420" t="inlineStr"/>
      <c r="L420" t="inlineStr">
        <is>
          <t>8°-2</t>
        </is>
      </c>
      <c r="M420" t="inlineStr"/>
      <c r="N420">
        <f>C420&amp;"|"&amp;D420</f>
        <v/>
      </c>
      <c r="O420">
        <f>COUNTIF($N$2:N420,N420)</f>
        <v/>
      </c>
      <c r="P420">
        <f>N420&amp;"|"&amp;O420</f>
        <v/>
      </c>
      <c r="Q420">
        <f>C420&amp;"|"&amp;D420&amp;"|"&amp;A420</f>
        <v/>
      </c>
    </row>
    <row r="421">
      <c r="A421" t="n">
        <v>5</v>
      </c>
      <c r="B421" t="inlineStr">
        <is>
          <t>Bastidas Valencia Zeneida Judith</t>
        </is>
      </c>
      <c r="C421" t="inlineStr">
        <is>
          <t>MIERCOLES</t>
        </is>
      </c>
      <c r="D421" t="n">
        <v>1</v>
      </c>
      <c r="E421" t="n">
        <v>1</v>
      </c>
      <c r="F421" t="inlineStr">
        <is>
          <t>CLASE</t>
        </is>
      </c>
      <c r="G421" t="inlineStr">
        <is>
          <t>0901</t>
        </is>
      </c>
      <c r="H421" t="inlineStr">
        <is>
          <t>MAT</t>
        </is>
      </c>
      <c r="I421" t="inlineStr"/>
      <c r="J421" t="inlineStr"/>
      <c r="K421" t="inlineStr"/>
      <c r="L421" t="inlineStr">
        <is>
          <t>9°-1</t>
        </is>
      </c>
      <c r="M421" t="inlineStr"/>
      <c r="N421">
        <f>C421&amp;"|"&amp;D421</f>
        <v/>
      </c>
      <c r="O421">
        <f>COUNTIF($N$2:N421,N421)</f>
        <v/>
      </c>
      <c r="P421">
        <f>N421&amp;"|"&amp;O421</f>
        <v/>
      </c>
      <c r="Q421">
        <f>C421&amp;"|"&amp;D421&amp;"|"&amp;A421</f>
        <v/>
      </c>
    </row>
    <row r="422">
      <c r="A422" t="n">
        <v>28</v>
      </c>
      <c r="B422" t="inlineStr">
        <is>
          <t>Meza Banguera Gladys Alicia</t>
        </is>
      </c>
      <c r="C422" t="inlineStr">
        <is>
          <t>MIERCOLES</t>
        </is>
      </c>
      <c r="D422" t="n">
        <v>1</v>
      </c>
      <c r="E422" t="n">
        <v>1</v>
      </c>
      <c r="F422" t="inlineStr">
        <is>
          <t>CLASE</t>
        </is>
      </c>
      <c r="G422" t="inlineStr">
        <is>
          <t>0902</t>
        </is>
      </c>
      <c r="H422" t="inlineStr">
        <is>
          <t>CAS</t>
        </is>
      </c>
      <c r="I422" t="inlineStr"/>
      <c r="J422" t="inlineStr"/>
      <c r="K422" t="inlineStr"/>
      <c r="L422" t="inlineStr">
        <is>
          <t>9°-2</t>
        </is>
      </c>
      <c r="M422" t="inlineStr"/>
      <c r="N422">
        <f>C422&amp;"|"&amp;D422</f>
        <v/>
      </c>
      <c r="O422">
        <f>COUNTIF($N$2:N422,N422)</f>
        <v/>
      </c>
      <c r="P422">
        <f>N422&amp;"|"&amp;O422</f>
        <v/>
      </c>
      <c r="Q422">
        <f>C422&amp;"|"&amp;D422&amp;"|"&amp;A422</f>
        <v/>
      </c>
    </row>
    <row r="423">
      <c r="A423" t="n">
        <v>22</v>
      </c>
      <c r="B423" t="inlineStr">
        <is>
          <t>González Castillo Jólmer Jimy</t>
        </is>
      </c>
      <c r="C423" t="inlineStr">
        <is>
          <t>MIERCOLES</t>
        </is>
      </c>
      <c r="D423" t="n">
        <v>1</v>
      </c>
      <c r="E423" t="n">
        <v>1</v>
      </c>
      <c r="F423" t="inlineStr">
        <is>
          <t>CLASE</t>
        </is>
      </c>
      <c r="G423" t="inlineStr">
        <is>
          <t>1001</t>
        </is>
      </c>
      <c r="H423" t="inlineStr">
        <is>
          <t>ERD</t>
        </is>
      </c>
      <c r="I423" t="inlineStr"/>
      <c r="J423" t="inlineStr"/>
      <c r="K423" t="inlineStr"/>
      <c r="L423" t="inlineStr">
        <is>
          <t>10°-1</t>
        </is>
      </c>
      <c r="M423" t="inlineStr"/>
      <c r="N423">
        <f>C423&amp;"|"&amp;D423</f>
        <v/>
      </c>
      <c r="O423">
        <f>COUNTIF($N$2:N423,N423)</f>
        <v/>
      </c>
      <c r="P423">
        <f>N423&amp;"|"&amp;O423</f>
        <v/>
      </c>
      <c r="Q423">
        <f>C423&amp;"|"&amp;D423&amp;"|"&amp;A423</f>
        <v/>
      </c>
    </row>
    <row r="424">
      <c r="A424" t="n">
        <v>53</v>
      </c>
      <c r="B424" t="inlineStr">
        <is>
          <t>Villota Rubio Héctor Hugo</t>
        </is>
      </c>
      <c r="C424" t="inlineStr">
        <is>
          <t>MIERCOLES</t>
        </is>
      </c>
      <c r="D424" t="n">
        <v>1</v>
      </c>
      <c r="E424" t="n">
        <v>1</v>
      </c>
      <c r="F424" t="inlineStr">
        <is>
          <t>CLASE</t>
        </is>
      </c>
      <c r="G424" t="inlineStr">
        <is>
          <t>1002</t>
        </is>
      </c>
      <c r="H424" t="inlineStr">
        <is>
          <t>CNA</t>
        </is>
      </c>
      <c r="I424" t="inlineStr"/>
      <c r="J424" t="inlineStr"/>
      <c r="K424" t="inlineStr"/>
      <c r="L424" t="inlineStr">
        <is>
          <t>10°-2</t>
        </is>
      </c>
      <c r="M424" t="inlineStr"/>
      <c r="N424">
        <f>C424&amp;"|"&amp;D424</f>
        <v/>
      </c>
      <c r="O424">
        <f>COUNTIF($N$2:N424,N424)</f>
        <v/>
      </c>
      <c r="P424">
        <f>N424&amp;"|"&amp;O424</f>
        <v/>
      </c>
      <c r="Q424">
        <f>C424&amp;"|"&amp;D424&amp;"|"&amp;A424</f>
        <v/>
      </c>
    </row>
    <row r="425">
      <c r="A425" t="n">
        <v>31</v>
      </c>
      <c r="B425" t="inlineStr">
        <is>
          <t>Montaño Arizala Leidis Claudina</t>
        </is>
      </c>
      <c r="C425" t="inlineStr">
        <is>
          <t>MIERCOLES</t>
        </is>
      </c>
      <c r="D425" t="n">
        <v>1</v>
      </c>
      <c r="E425" t="n">
        <v>1</v>
      </c>
      <c r="F425" t="inlineStr">
        <is>
          <t>CLASE</t>
        </is>
      </c>
      <c r="G425" t="inlineStr">
        <is>
          <t>1101</t>
        </is>
      </c>
      <c r="H425" t="inlineStr">
        <is>
          <t>ETR</t>
        </is>
      </c>
      <c r="I425" t="inlineStr"/>
      <c r="J425" t="inlineStr">
        <is>
          <t>Ética / Religión (alternan cada semana)</t>
        </is>
      </c>
      <c r="K425" t="inlineStr"/>
      <c r="L425" t="inlineStr">
        <is>
          <t>11°-1</t>
        </is>
      </c>
      <c r="M425" t="inlineStr">
        <is>
          <t>Ética / Religión (alternan cada semana)</t>
        </is>
      </c>
      <c r="N425">
        <f>C425&amp;"|"&amp;D425</f>
        <v/>
      </c>
      <c r="O425">
        <f>COUNTIF($N$2:N425,N425)</f>
        <v/>
      </c>
      <c r="P425">
        <f>N425&amp;"|"&amp;O425</f>
        <v/>
      </c>
      <c r="Q425">
        <f>C425&amp;"|"&amp;D425&amp;"|"&amp;A425</f>
        <v/>
      </c>
    </row>
    <row r="426">
      <c r="A426" t="n">
        <v>3</v>
      </c>
      <c r="B426" t="inlineStr">
        <is>
          <t>Arboleda Ortiz Luz América</t>
        </is>
      </c>
      <c r="C426" t="inlineStr">
        <is>
          <t>MIERCOLES</t>
        </is>
      </c>
      <c r="D426" t="n">
        <v>1</v>
      </c>
      <c r="E426" t="n">
        <v>1</v>
      </c>
      <c r="F426" t="inlineStr">
        <is>
          <t>CLASE</t>
        </is>
      </c>
      <c r="G426" t="inlineStr">
        <is>
          <t>1102</t>
        </is>
      </c>
      <c r="H426" t="inlineStr">
        <is>
          <t>ART</t>
        </is>
      </c>
      <c r="I426" t="inlineStr"/>
      <c r="J426" t="inlineStr"/>
      <c r="K426" t="inlineStr"/>
      <c r="L426" t="inlineStr">
        <is>
          <t>11°-2</t>
        </is>
      </c>
      <c r="M426" t="inlineStr"/>
      <c r="N426">
        <f>C426&amp;"|"&amp;D426</f>
        <v/>
      </c>
      <c r="O426">
        <f>COUNTIF($N$2:N426,N426)</f>
        <v/>
      </c>
      <c r="P426">
        <f>N426&amp;"|"&amp;O426</f>
        <v/>
      </c>
      <c r="Q426">
        <f>C426&amp;"|"&amp;D426&amp;"|"&amp;A426</f>
        <v/>
      </c>
    </row>
    <row r="427">
      <c r="A427" t="n">
        <v>44</v>
      </c>
      <c r="B427" t="inlineStr">
        <is>
          <t>Samaniego Angulo Flor Mireya</t>
        </is>
      </c>
      <c r="C427" t="inlineStr">
        <is>
          <t>MIERCOLES</t>
        </is>
      </c>
      <c r="D427" t="n">
        <v>1</v>
      </c>
      <c r="E427" t="n">
        <v>1</v>
      </c>
      <c r="F427" t="inlineStr">
        <is>
          <t>CLASE</t>
        </is>
      </c>
      <c r="G427" t="inlineStr">
        <is>
          <t>CS201</t>
        </is>
      </c>
      <c r="H427" t="inlineStr">
        <is>
          <t>ART</t>
        </is>
      </c>
      <c r="I427" t="inlineStr"/>
      <c r="J427" t="inlineStr"/>
      <c r="K427" t="inlineStr"/>
      <c r="L427" t="inlineStr">
        <is>
          <t>CS 2-1</t>
        </is>
      </c>
      <c r="M427" t="inlineStr"/>
      <c r="N427">
        <f>C427&amp;"|"&amp;D427</f>
        <v/>
      </c>
      <c r="O427">
        <f>COUNTIF($N$2:N427,N427)</f>
        <v/>
      </c>
      <c r="P427">
        <f>N427&amp;"|"&amp;O427</f>
        <v/>
      </c>
      <c r="Q427">
        <f>C427&amp;"|"&amp;D427&amp;"|"&amp;A427</f>
        <v/>
      </c>
    </row>
    <row r="428">
      <c r="A428" t="n">
        <v>35</v>
      </c>
      <c r="B428" t="inlineStr">
        <is>
          <t>Ortiz Araujo Adiela Carlota</t>
        </is>
      </c>
      <c r="C428" t="inlineStr">
        <is>
          <t>MIERCOLES</t>
        </is>
      </c>
      <c r="D428" t="n">
        <v>1</v>
      </c>
      <c r="E428" t="n">
        <v>1</v>
      </c>
      <c r="F428" t="inlineStr">
        <is>
          <t>CLASE</t>
        </is>
      </c>
      <c r="G428" t="inlineStr">
        <is>
          <t>CS202</t>
        </is>
      </c>
      <c r="H428" t="inlineStr">
        <is>
          <t>CSI</t>
        </is>
      </c>
      <c r="I428" t="inlineStr"/>
      <c r="J428" t="inlineStr">
        <is>
          <t>Sociales / Inglés (alternan cada semana)</t>
        </is>
      </c>
      <c r="K428" t="inlineStr"/>
      <c r="L428" t="inlineStr">
        <is>
          <t>CS 2-2</t>
        </is>
      </c>
      <c r="M428" t="inlineStr">
        <is>
          <t>Sociales / Inglés (alternan cada semana)</t>
        </is>
      </c>
      <c r="N428">
        <f>C428&amp;"|"&amp;D428</f>
        <v/>
      </c>
      <c r="O428">
        <f>COUNTIF($N$2:N428,N428)</f>
        <v/>
      </c>
      <c r="P428">
        <f>N428&amp;"|"&amp;O428</f>
        <v/>
      </c>
      <c r="Q428">
        <f>C428&amp;"|"&amp;D428&amp;"|"&amp;A428</f>
        <v/>
      </c>
    </row>
    <row r="429">
      <c r="A429" t="n">
        <v>10</v>
      </c>
      <c r="B429" t="inlineStr">
        <is>
          <t>Castillo Cuero Daira Eneida</t>
        </is>
      </c>
      <c r="C429" t="inlineStr">
        <is>
          <t>MIERCOLES</t>
        </is>
      </c>
      <c r="D429" t="n">
        <v>1</v>
      </c>
      <c r="E429" t="n">
        <v>1</v>
      </c>
      <c r="F429" t="inlineStr">
        <is>
          <t>ENFASIS</t>
        </is>
      </c>
      <c r="G429" t="inlineStr"/>
      <c r="H429" t="inlineStr">
        <is>
          <t>CAS</t>
        </is>
      </c>
      <c r="I429" t="inlineStr">
        <is>
          <t>0701</t>
        </is>
      </c>
      <c r="J429" t="inlineStr">
        <is>
          <t>PAREJA: comparten el énfasis y alternan por semana</t>
        </is>
      </c>
      <c r="K429" t="inlineStr">
        <is>
          <t>Puches Ana Milena (ART)</t>
        </is>
      </c>
      <c r="L429" t="inlineStr">
        <is>
          <t>ÉNFASIS 7°-1</t>
        </is>
      </c>
      <c r="M429" t="inlineStr">
        <is>
          <t>PAREJA: comparten el énfasis y alternan por semana · Con: Puches Ana Milena (ART)</t>
        </is>
      </c>
      <c r="N429">
        <f>C429&amp;"|"&amp;D429</f>
        <v/>
      </c>
      <c r="O429">
        <f>COUNTIF($N$2:N429,N429)</f>
        <v/>
      </c>
      <c r="P429">
        <f>N429&amp;"|"&amp;O429</f>
        <v/>
      </c>
      <c r="Q429">
        <f>C429&amp;"|"&amp;D429&amp;"|"&amp;A429</f>
        <v/>
      </c>
    </row>
    <row r="430">
      <c r="A430" t="n">
        <v>39</v>
      </c>
      <c r="B430" t="inlineStr">
        <is>
          <t>Puches Ana Milena</t>
        </is>
      </c>
      <c r="C430" t="inlineStr">
        <is>
          <t>MIERCOLES</t>
        </is>
      </c>
      <c r="D430" t="n">
        <v>1</v>
      </c>
      <c r="E430" t="n">
        <v>1</v>
      </c>
      <c r="F430" t="inlineStr">
        <is>
          <t>ENFASIS</t>
        </is>
      </c>
      <c r="G430" t="inlineStr"/>
      <c r="H430" t="inlineStr">
        <is>
          <t>ART</t>
        </is>
      </c>
      <c r="I430" t="inlineStr">
        <is>
          <t>0701</t>
        </is>
      </c>
      <c r="J430" t="inlineStr">
        <is>
          <t>PAREJA: comparten el énfasis y alternan por semana</t>
        </is>
      </c>
      <c r="K430" t="inlineStr">
        <is>
          <t>Castillo Cuero Daira Eneida (CAS)</t>
        </is>
      </c>
      <c r="L430" t="inlineStr">
        <is>
          <t>ÉNFASIS 7°-1</t>
        </is>
      </c>
      <c r="M430" t="inlineStr">
        <is>
          <t>PAREJA: comparten el énfasis y alternan por semana · Con: Castillo Cuero Daira Eneida (CAS)</t>
        </is>
      </c>
      <c r="N430">
        <f>C430&amp;"|"&amp;D430</f>
        <v/>
      </c>
      <c r="O430">
        <f>COUNTIF($N$2:N430,N430)</f>
        <v/>
      </c>
      <c r="P430">
        <f>N430&amp;"|"&amp;O430</f>
        <v/>
      </c>
      <c r="Q430">
        <f>C430&amp;"|"&amp;D430&amp;"|"&amp;A430</f>
        <v/>
      </c>
    </row>
    <row r="431">
      <c r="A431" t="n">
        <v>12</v>
      </c>
      <c r="B431" t="inlineStr">
        <is>
          <t>Chillambo Quiñones María Rocío</t>
        </is>
      </c>
      <c r="C431" t="inlineStr">
        <is>
          <t>MIERCOLES</t>
        </is>
      </c>
      <c r="D431" t="n">
        <v>1</v>
      </c>
      <c r="E431" t="n">
        <v>1</v>
      </c>
      <c r="F431" t="inlineStr">
        <is>
          <t>ENFASIS</t>
        </is>
      </c>
      <c r="G431" t="inlineStr"/>
      <c r="H431" t="inlineStr">
        <is>
          <t>CNA</t>
        </is>
      </c>
      <c r="I431" t="inlineStr">
        <is>
          <t>0702</t>
        </is>
      </c>
      <c r="J431" t="inlineStr">
        <is>
          <t>PAREJA: comparten el énfasis y alternan por semana</t>
        </is>
      </c>
      <c r="K431" t="inlineStr">
        <is>
          <t>Cuero Bamba Berte Levi (ERD)</t>
        </is>
      </c>
      <c r="L431" t="inlineStr">
        <is>
          <t>ÉNFASIS 7°-2</t>
        </is>
      </c>
      <c r="M431" t="inlineStr">
        <is>
          <t>PAREJA: comparten el énfasis y alternan por semana · Con: Cuero Bamba Berte Levi (ERD)</t>
        </is>
      </c>
      <c r="N431">
        <f>C431&amp;"|"&amp;D431</f>
        <v/>
      </c>
      <c r="O431">
        <f>COUNTIF($N$2:N431,N431)</f>
        <v/>
      </c>
      <c r="P431">
        <f>N431&amp;"|"&amp;O431</f>
        <v/>
      </c>
      <c r="Q431">
        <f>C431&amp;"|"&amp;D431&amp;"|"&amp;A431</f>
        <v/>
      </c>
    </row>
    <row r="432">
      <c r="A432" t="n">
        <v>15</v>
      </c>
      <c r="B432" t="inlineStr">
        <is>
          <t>Cuero Bamba Berte Levi</t>
        </is>
      </c>
      <c r="C432" t="inlineStr">
        <is>
          <t>MIERCOLES</t>
        </is>
      </c>
      <c r="D432" t="n">
        <v>1</v>
      </c>
      <c r="E432" t="n">
        <v>1</v>
      </c>
      <c r="F432" t="inlineStr">
        <is>
          <t>ENFASIS</t>
        </is>
      </c>
      <c r="G432" t="inlineStr"/>
      <c r="H432" t="inlineStr">
        <is>
          <t>ERD</t>
        </is>
      </c>
      <c r="I432" t="inlineStr">
        <is>
          <t>0702</t>
        </is>
      </c>
      <c r="J432" t="inlineStr">
        <is>
          <t>PAREJA: comparten el énfasis y alternan por semana</t>
        </is>
      </c>
      <c r="K432" t="inlineStr">
        <is>
          <t>Chillambo Quiñones María Rocío (CNA)</t>
        </is>
      </c>
      <c r="L432" t="inlineStr">
        <is>
          <t>ÉNFASIS 7°-2</t>
        </is>
      </c>
      <c r="M432" t="inlineStr">
        <is>
          <t>PAREJA: comparten el énfasis y alternan por semana · Con: Chillambo Quiñones María Rocío (CNA)</t>
        </is>
      </c>
      <c r="N432">
        <f>C432&amp;"|"&amp;D432</f>
        <v/>
      </c>
      <c r="O432">
        <f>COUNTIF($N$2:N432,N432)</f>
        <v/>
      </c>
      <c r="P432">
        <f>N432&amp;"|"&amp;O432</f>
        <v/>
      </c>
      <c r="Q432">
        <f>C432&amp;"|"&amp;D432&amp;"|"&amp;A432</f>
        <v/>
      </c>
    </row>
    <row r="433">
      <c r="A433" t="n">
        <v>8</v>
      </c>
      <c r="B433" t="inlineStr">
        <is>
          <t>Casanova Quiñones Yoli del Carmen</t>
        </is>
      </c>
      <c r="C433" t="inlineStr">
        <is>
          <t>MIERCOLES</t>
        </is>
      </c>
      <c r="D433" t="n">
        <v>1</v>
      </c>
      <c r="E433" t="n">
        <v>1</v>
      </c>
      <c r="F433" t="inlineStr">
        <is>
          <t>ENFASIS</t>
        </is>
      </c>
      <c r="G433" t="inlineStr"/>
      <c r="H433" t="inlineStr">
        <is>
          <t>ETR</t>
        </is>
      </c>
      <c r="I433" t="inlineStr">
        <is>
          <t>0703</t>
        </is>
      </c>
      <c r="J433" t="inlineStr">
        <is>
          <t>PAREJA: comparten el énfasis y alternan por semana</t>
        </is>
      </c>
      <c r="K433" t="inlineStr">
        <is>
          <t>Quintero Ramírez María del Carmen (CSI)</t>
        </is>
      </c>
      <c r="L433" t="inlineStr">
        <is>
          <t>ÉNFASIS 7°-3</t>
        </is>
      </c>
      <c r="M433" t="inlineStr">
        <is>
          <t>PAREJA: comparten el énfasis y alternan por semana · Con: Quintero Ramírez María del Carmen (CSI)</t>
        </is>
      </c>
      <c r="N433">
        <f>C433&amp;"|"&amp;D433</f>
        <v/>
      </c>
      <c r="O433">
        <f>COUNTIF($N$2:N433,N433)</f>
        <v/>
      </c>
      <c r="P433">
        <f>N433&amp;"|"&amp;O433</f>
        <v/>
      </c>
      <c r="Q433">
        <f>C433&amp;"|"&amp;D433&amp;"|"&amp;A433</f>
        <v/>
      </c>
    </row>
    <row r="434">
      <c r="A434" t="n">
        <v>41</v>
      </c>
      <c r="B434" t="inlineStr">
        <is>
          <t>Quintero Ramírez María del Carmen</t>
        </is>
      </c>
      <c r="C434" t="inlineStr">
        <is>
          <t>MIERCOLES</t>
        </is>
      </c>
      <c r="D434" t="n">
        <v>1</v>
      </c>
      <c r="E434" t="n">
        <v>1</v>
      </c>
      <c r="F434" t="inlineStr">
        <is>
          <t>ENFASIS</t>
        </is>
      </c>
      <c r="G434" t="inlineStr"/>
      <c r="H434" t="inlineStr">
        <is>
          <t>CSI</t>
        </is>
      </c>
      <c r="I434" t="inlineStr">
        <is>
          <t>0703</t>
        </is>
      </c>
      <c r="J434" t="inlineStr">
        <is>
          <t>PAREJA: comparten el énfasis y alternan por semana</t>
        </is>
      </c>
      <c r="K434" t="inlineStr">
        <is>
          <t>Casanova Quiñones Yoli del Carmen (ETR)</t>
        </is>
      </c>
      <c r="L434" t="inlineStr">
        <is>
          <t>ÉNFASIS 7°-3</t>
        </is>
      </c>
      <c r="M434" t="inlineStr">
        <is>
          <t>PAREJA: comparten el énfasis y alternan por semana · Con: Casanova Quiñones Yoli del Carmen (ETR)</t>
        </is>
      </c>
      <c r="N434">
        <f>C434&amp;"|"&amp;D434</f>
        <v/>
      </c>
      <c r="O434">
        <f>COUNTIF($N$2:N434,N434)</f>
        <v/>
      </c>
      <c r="P434">
        <f>N434&amp;"|"&amp;O434</f>
        <v/>
      </c>
      <c r="Q434">
        <f>C434&amp;"|"&amp;D434&amp;"|"&amp;A434</f>
        <v/>
      </c>
    </row>
    <row r="435">
      <c r="A435" t="n">
        <v>20</v>
      </c>
      <c r="B435" t="inlineStr">
        <is>
          <t>García Gobea Saydi Magali</t>
        </is>
      </c>
      <c r="C435" t="inlineStr">
        <is>
          <t>MIERCOLES</t>
        </is>
      </c>
      <c r="D435" t="n">
        <v>1</v>
      </c>
      <c r="E435" t="n">
        <v>1</v>
      </c>
      <c r="F435" t="inlineStr">
        <is>
          <t>ENFASIS</t>
        </is>
      </c>
      <c r="G435" t="inlineStr"/>
      <c r="H435" t="inlineStr">
        <is>
          <t>CSI</t>
        </is>
      </c>
      <c r="I435" t="inlineStr">
        <is>
          <t>CS101</t>
        </is>
      </c>
      <c r="J435" t="inlineStr">
        <is>
          <t>PAREJA: comparten el énfasis y alternan por semana</t>
        </is>
      </c>
      <c r="K435" t="inlineStr">
        <is>
          <t>Lozano Torres Amanda Inés (ETR)</t>
        </is>
      </c>
      <c r="L435" t="inlineStr">
        <is>
          <t>ÉNFASIS CS 1-1</t>
        </is>
      </c>
      <c r="M435" t="inlineStr">
        <is>
          <t>PAREJA: comparten el énfasis y alternan por semana · Con: Lozano Torres Amanda Inés (ETR)</t>
        </is>
      </c>
      <c r="N435">
        <f>C435&amp;"|"&amp;D435</f>
        <v/>
      </c>
      <c r="O435">
        <f>COUNTIF($N$2:N435,N435)</f>
        <v/>
      </c>
      <c r="P435">
        <f>N435&amp;"|"&amp;O435</f>
        <v/>
      </c>
      <c r="Q435">
        <f>C435&amp;"|"&amp;D435&amp;"|"&amp;A435</f>
        <v/>
      </c>
    </row>
    <row r="436">
      <c r="A436" t="n">
        <v>26</v>
      </c>
      <c r="B436" t="inlineStr">
        <is>
          <t>Lozano Torres Amanda Inés</t>
        </is>
      </c>
      <c r="C436" t="inlineStr">
        <is>
          <t>MIERCOLES</t>
        </is>
      </c>
      <c r="D436" t="n">
        <v>1</v>
      </c>
      <c r="E436" t="n">
        <v>1</v>
      </c>
      <c r="F436" t="inlineStr">
        <is>
          <t>ENFASIS</t>
        </is>
      </c>
      <c r="G436" t="inlineStr"/>
      <c r="H436" t="inlineStr">
        <is>
          <t>ETR</t>
        </is>
      </c>
      <c r="I436" t="inlineStr">
        <is>
          <t>CS101</t>
        </is>
      </c>
      <c r="J436" t="inlineStr">
        <is>
          <t>PAREJA: comparten el énfasis y alternan por semana</t>
        </is>
      </c>
      <c r="K436" t="inlineStr">
        <is>
          <t>García Gobea Saydi Magali (CSI)</t>
        </is>
      </c>
      <c r="L436" t="inlineStr">
        <is>
          <t>ÉNFASIS CS 1-1</t>
        </is>
      </c>
      <c r="M436" t="inlineStr">
        <is>
          <t>PAREJA: comparten el énfasis y alternan por semana · Con: García Gobea Saydi Magali (CSI)</t>
        </is>
      </c>
      <c r="N436">
        <f>C436&amp;"|"&amp;D436</f>
        <v/>
      </c>
      <c r="O436">
        <f>COUNTIF($N$2:N436,N436)</f>
        <v/>
      </c>
      <c r="P436">
        <f>N436&amp;"|"&amp;O436</f>
        <v/>
      </c>
      <c r="Q436">
        <f>C436&amp;"|"&amp;D436&amp;"|"&amp;A436</f>
        <v/>
      </c>
    </row>
    <row r="437">
      <c r="A437" t="n">
        <v>1</v>
      </c>
      <c r="B437" t="inlineStr">
        <is>
          <t>Aguirre Riascos Jorge Andrés</t>
        </is>
      </c>
      <c r="C437" t="inlineStr">
        <is>
          <t>MIERCOLES</t>
        </is>
      </c>
      <c r="D437" t="n">
        <v>1</v>
      </c>
      <c r="E437" t="n">
        <v>1</v>
      </c>
      <c r="F437" t="inlineStr">
        <is>
          <t>ENFASIS</t>
        </is>
      </c>
      <c r="G437" t="inlineStr"/>
      <c r="H437" t="inlineStr">
        <is>
          <t>TEI</t>
        </is>
      </c>
      <c r="I437" t="inlineStr">
        <is>
          <t>CS102</t>
        </is>
      </c>
      <c r="J437" t="inlineStr">
        <is>
          <t>PAREJA: comparten el énfasis y alternan por semana</t>
        </is>
      </c>
      <c r="K437" t="inlineStr">
        <is>
          <t>Vásquez Valencia Segundo Leoncio (MAT)</t>
        </is>
      </c>
      <c r="L437" t="inlineStr">
        <is>
          <t>ÉNFASIS CS 1-2</t>
        </is>
      </c>
      <c r="M437" t="inlineStr">
        <is>
          <t>PAREJA: comparten el énfasis y alternan por semana · Con: Vásquez Valencia Segundo Leoncio (MAT)</t>
        </is>
      </c>
      <c r="N437">
        <f>C437&amp;"|"&amp;D437</f>
        <v/>
      </c>
      <c r="O437">
        <f>COUNTIF($N$2:N437,N437)</f>
        <v/>
      </c>
      <c r="P437">
        <f>N437&amp;"|"&amp;O437</f>
        <v/>
      </c>
      <c r="Q437">
        <f>C437&amp;"|"&amp;D437&amp;"|"&amp;A437</f>
        <v/>
      </c>
    </row>
    <row r="438">
      <c r="A438" t="n">
        <v>52</v>
      </c>
      <c r="B438" t="inlineStr">
        <is>
          <t>Vásquez Valencia Segundo Leoncio</t>
        </is>
      </c>
      <c r="C438" t="inlineStr">
        <is>
          <t>MIERCOLES</t>
        </is>
      </c>
      <c r="D438" t="n">
        <v>1</v>
      </c>
      <c r="E438" t="n">
        <v>1</v>
      </c>
      <c r="F438" t="inlineStr">
        <is>
          <t>ENFASIS</t>
        </is>
      </c>
      <c r="G438" t="inlineStr"/>
      <c r="H438" t="inlineStr">
        <is>
          <t>MAT</t>
        </is>
      </c>
      <c r="I438" t="inlineStr">
        <is>
          <t>CS102</t>
        </is>
      </c>
      <c r="J438" t="inlineStr">
        <is>
          <t>PAREJA: comparten el énfasis y alternan por semana</t>
        </is>
      </c>
      <c r="K438" t="inlineStr">
        <is>
          <t>Aguirre Riascos Jorge Andrés (TEI)</t>
        </is>
      </c>
      <c r="L438" t="inlineStr">
        <is>
          <t>ÉNFASIS CS 1-2</t>
        </is>
      </c>
      <c r="M438" t="inlineStr">
        <is>
          <t>PAREJA: comparten el énfasis y alternan por semana · Con: Aguirre Riascos Jorge Andrés (TEI)</t>
        </is>
      </c>
      <c r="N438">
        <f>C438&amp;"|"&amp;D438</f>
        <v/>
      </c>
      <c r="O438">
        <f>COUNTIF($N$2:N438,N438)</f>
        <v/>
      </c>
      <c r="P438">
        <f>N438&amp;"|"&amp;O438</f>
        <v/>
      </c>
      <c r="Q438">
        <f>C438&amp;"|"&amp;D438&amp;"|"&amp;A438</f>
        <v/>
      </c>
    </row>
    <row r="439">
      <c r="A439" t="n">
        <v>37</v>
      </c>
      <c r="B439" t="inlineStr">
        <is>
          <t>Prado Quiñones Genís Maribel</t>
        </is>
      </c>
      <c r="C439" t="inlineStr">
        <is>
          <t>MIERCOLES</t>
        </is>
      </c>
      <c r="D439" t="n">
        <v>2</v>
      </c>
      <c r="E439" t="n">
        <v>1</v>
      </c>
      <c r="F439" t="inlineStr">
        <is>
          <t>CLASE</t>
        </is>
      </c>
      <c r="G439" t="inlineStr">
        <is>
          <t>0601</t>
        </is>
      </c>
      <c r="H439" t="inlineStr">
        <is>
          <t>ART</t>
        </is>
      </c>
      <c r="I439" t="inlineStr"/>
      <c r="J439" t="inlineStr"/>
      <c r="K439" t="inlineStr"/>
      <c r="L439" t="inlineStr">
        <is>
          <t>6°-1</t>
        </is>
      </c>
      <c r="M439" t="inlineStr"/>
      <c r="N439">
        <f>C439&amp;"|"&amp;D439</f>
        <v/>
      </c>
      <c r="O439">
        <f>COUNTIF($N$2:N439,N439)</f>
        <v/>
      </c>
      <c r="P439">
        <f>N439&amp;"|"&amp;O439</f>
        <v/>
      </c>
      <c r="Q439">
        <f>C439&amp;"|"&amp;D439&amp;"|"&amp;A439</f>
        <v/>
      </c>
    </row>
    <row r="440">
      <c r="A440" t="n">
        <v>57</v>
      </c>
      <c r="B440" t="inlineStr">
        <is>
          <t>Armero Dájome Jesús</t>
        </is>
      </c>
      <c r="C440" t="inlineStr">
        <is>
          <t>MIERCOLES</t>
        </is>
      </c>
      <c r="D440" t="n">
        <v>2</v>
      </c>
      <c r="E440" t="n">
        <v>1</v>
      </c>
      <c r="F440" t="inlineStr">
        <is>
          <t>CLASE</t>
        </is>
      </c>
      <c r="G440" t="inlineStr">
        <is>
          <t>0602</t>
        </is>
      </c>
      <c r="H440" t="inlineStr">
        <is>
          <t>ERD</t>
        </is>
      </c>
      <c r="I440" t="inlineStr"/>
      <c r="J440" t="inlineStr"/>
      <c r="K440" t="inlineStr"/>
      <c r="L440" t="inlineStr">
        <is>
          <t>6°-2</t>
        </is>
      </c>
      <c r="M440" t="inlineStr"/>
      <c r="N440">
        <f>C440&amp;"|"&amp;D440</f>
        <v/>
      </c>
      <c r="O440">
        <f>COUNTIF($N$2:N440,N440)</f>
        <v/>
      </c>
      <c r="P440">
        <f>N440&amp;"|"&amp;O440</f>
        <v/>
      </c>
      <c r="Q440">
        <f>C440&amp;"|"&amp;D440&amp;"|"&amp;A440</f>
        <v/>
      </c>
    </row>
    <row r="441">
      <c r="A441" t="n">
        <v>34</v>
      </c>
      <c r="B441" t="inlineStr">
        <is>
          <t>Ordóñez Tenorio Jaime Marcial</t>
        </is>
      </c>
      <c r="C441" t="inlineStr">
        <is>
          <t>MIERCOLES</t>
        </is>
      </c>
      <c r="D441" t="n">
        <v>2</v>
      </c>
      <c r="E441" t="n">
        <v>1</v>
      </c>
      <c r="F441" t="inlineStr">
        <is>
          <t>CLASE</t>
        </is>
      </c>
      <c r="G441" t="inlineStr">
        <is>
          <t>0704</t>
        </is>
      </c>
      <c r="H441" t="inlineStr">
        <is>
          <t>CNA</t>
        </is>
      </c>
      <c r="I441" t="inlineStr"/>
      <c r="J441" t="inlineStr"/>
      <c r="K441" t="inlineStr"/>
      <c r="L441" t="inlineStr">
        <is>
          <t>7°-4</t>
        </is>
      </c>
      <c r="M441" t="inlineStr"/>
      <c r="N441">
        <f>C441&amp;"|"&amp;D441</f>
        <v/>
      </c>
      <c r="O441">
        <f>COUNTIF($N$2:N441,N441)</f>
        <v/>
      </c>
      <c r="P441">
        <f>N441&amp;"|"&amp;O441</f>
        <v/>
      </c>
      <c r="Q441">
        <f>C441&amp;"|"&amp;D441&amp;"|"&amp;A441</f>
        <v/>
      </c>
    </row>
    <row r="442">
      <c r="A442" t="n">
        <v>51</v>
      </c>
      <c r="B442" t="inlineStr">
        <is>
          <t>Valverde Montaño María Teresa</t>
        </is>
      </c>
      <c r="C442" t="inlineStr">
        <is>
          <t>MIERCOLES</t>
        </is>
      </c>
      <c r="D442" t="n">
        <v>2</v>
      </c>
      <c r="E442" t="n">
        <v>1</v>
      </c>
      <c r="F442" t="inlineStr">
        <is>
          <t>CLASE</t>
        </is>
      </c>
      <c r="G442" t="inlineStr">
        <is>
          <t>0801</t>
        </is>
      </c>
      <c r="H442" t="inlineStr">
        <is>
          <t>CAS</t>
        </is>
      </c>
      <c r="I442" t="inlineStr"/>
      <c r="J442" t="inlineStr"/>
      <c r="K442" t="inlineStr"/>
      <c r="L442" t="inlineStr">
        <is>
          <t>8°-1</t>
        </is>
      </c>
      <c r="M442" t="inlineStr"/>
      <c r="N442">
        <f>C442&amp;"|"&amp;D442</f>
        <v/>
      </c>
      <c r="O442">
        <f>COUNTIF($N$2:N442,N442)</f>
        <v/>
      </c>
      <c r="P442">
        <f>N442&amp;"|"&amp;O442</f>
        <v/>
      </c>
      <c r="Q442">
        <f>C442&amp;"|"&amp;D442&amp;"|"&amp;A442</f>
        <v/>
      </c>
    </row>
    <row r="443">
      <c r="A443" t="n">
        <v>19</v>
      </c>
      <c r="B443" t="inlineStr">
        <is>
          <t>Fernández Vélez Alfredo Enrique</t>
        </is>
      </c>
      <c r="C443" t="inlineStr">
        <is>
          <t>MIERCOLES</t>
        </is>
      </c>
      <c r="D443" t="n">
        <v>2</v>
      </c>
      <c r="E443" t="n">
        <v>1</v>
      </c>
      <c r="F443" t="inlineStr">
        <is>
          <t>CLASE</t>
        </is>
      </c>
      <c r="G443" t="inlineStr">
        <is>
          <t>0802</t>
        </is>
      </c>
      <c r="H443" t="inlineStr">
        <is>
          <t>TEI</t>
        </is>
      </c>
      <c r="I443" t="inlineStr"/>
      <c r="J443" t="inlineStr"/>
      <c r="K443" t="inlineStr"/>
      <c r="L443" t="inlineStr">
        <is>
          <t>8°-2</t>
        </is>
      </c>
      <c r="M443" t="inlineStr"/>
      <c r="N443">
        <f>C443&amp;"|"&amp;D443</f>
        <v/>
      </c>
      <c r="O443">
        <f>COUNTIF($N$2:N443,N443)</f>
        <v/>
      </c>
      <c r="P443">
        <f>N443&amp;"|"&amp;O443</f>
        <v/>
      </c>
      <c r="Q443">
        <f>C443&amp;"|"&amp;D443&amp;"|"&amp;A443</f>
        <v/>
      </c>
    </row>
    <row r="444">
      <c r="A444" t="n">
        <v>5</v>
      </c>
      <c r="B444" t="inlineStr">
        <is>
          <t>Bastidas Valencia Zeneida Judith</t>
        </is>
      </c>
      <c r="C444" t="inlineStr">
        <is>
          <t>MIERCOLES</t>
        </is>
      </c>
      <c r="D444" t="n">
        <v>2</v>
      </c>
      <c r="E444" t="n">
        <v>1</v>
      </c>
      <c r="F444" t="inlineStr">
        <is>
          <t>CLASE</t>
        </is>
      </c>
      <c r="G444" t="inlineStr">
        <is>
          <t>0901</t>
        </is>
      </c>
      <c r="H444" t="inlineStr">
        <is>
          <t>MAT</t>
        </is>
      </c>
      <c r="I444" t="inlineStr"/>
      <c r="J444" t="inlineStr"/>
      <c r="K444" t="inlineStr"/>
      <c r="L444" t="inlineStr">
        <is>
          <t>9°-1</t>
        </is>
      </c>
      <c r="M444" t="inlineStr"/>
      <c r="N444">
        <f>C444&amp;"|"&amp;D444</f>
        <v/>
      </c>
      <c r="O444">
        <f>COUNTIF($N$2:N444,N444)</f>
        <v/>
      </c>
      <c r="P444">
        <f>N444&amp;"|"&amp;O444</f>
        <v/>
      </c>
      <c r="Q444">
        <f>C444&amp;"|"&amp;D444&amp;"|"&amp;A444</f>
        <v/>
      </c>
    </row>
    <row r="445">
      <c r="A445" t="n">
        <v>28</v>
      </c>
      <c r="B445" t="inlineStr">
        <is>
          <t>Meza Banguera Gladys Alicia</t>
        </is>
      </c>
      <c r="C445" t="inlineStr">
        <is>
          <t>MIERCOLES</t>
        </is>
      </c>
      <c r="D445" t="n">
        <v>2</v>
      </c>
      <c r="E445" t="n">
        <v>1</v>
      </c>
      <c r="F445" t="inlineStr">
        <is>
          <t>CLASE</t>
        </is>
      </c>
      <c r="G445" t="inlineStr">
        <is>
          <t>0902</t>
        </is>
      </c>
      <c r="H445" t="inlineStr">
        <is>
          <t>CAS</t>
        </is>
      </c>
      <c r="I445" t="inlineStr"/>
      <c r="J445" t="inlineStr"/>
      <c r="K445" t="inlineStr"/>
      <c r="L445" t="inlineStr">
        <is>
          <t>9°-2</t>
        </is>
      </c>
      <c r="M445" t="inlineStr"/>
      <c r="N445">
        <f>C445&amp;"|"&amp;D445</f>
        <v/>
      </c>
      <c r="O445">
        <f>COUNTIF($N$2:N445,N445)</f>
        <v/>
      </c>
      <c r="P445">
        <f>N445&amp;"|"&amp;O445</f>
        <v/>
      </c>
      <c r="Q445">
        <f>C445&amp;"|"&amp;D445&amp;"|"&amp;A445</f>
        <v/>
      </c>
    </row>
    <row r="446">
      <c r="A446" t="n">
        <v>22</v>
      </c>
      <c r="B446" t="inlineStr">
        <is>
          <t>González Castillo Jólmer Jimy</t>
        </is>
      </c>
      <c r="C446" t="inlineStr">
        <is>
          <t>MIERCOLES</t>
        </is>
      </c>
      <c r="D446" t="n">
        <v>2</v>
      </c>
      <c r="E446" t="n">
        <v>1</v>
      </c>
      <c r="F446" t="inlineStr">
        <is>
          <t>CLASE</t>
        </is>
      </c>
      <c r="G446" t="inlineStr">
        <is>
          <t>1001</t>
        </is>
      </c>
      <c r="H446" t="inlineStr">
        <is>
          <t>ERD</t>
        </is>
      </c>
      <c r="I446" t="inlineStr"/>
      <c r="J446" t="inlineStr"/>
      <c r="K446" t="inlineStr"/>
      <c r="L446" t="inlineStr">
        <is>
          <t>10°-1</t>
        </is>
      </c>
      <c r="M446" t="inlineStr"/>
      <c r="N446">
        <f>C446&amp;"|"&amp;D446</f>
        <v/>
      </c>
      <c r="O446">
        <f>COUNTIF($N$2:N446,N446)</f>
        <v/>
      </c>
      <c r="P446">
        <f>N446&amp;"|"&amp;O446</f>
        <v/>
      </c>
      <c r="Q446">
        <f>C446&amp;"|"&amp;D446&amp;"|"&amp;A446</f>
        <v/>
      </c>
    </row>
    <row r="447">
      <c r="A447" t="n">
        <v>53</v>
      </c>
      <c r="B447" t="inlineStr">
        <is>
          <t>Villota Rubio Héctor Hugo</t>
        </is>
      </c>
      <c r="C447" t="inlineStr">
        <is>
          <t>MIERCOLES</t>
        </is>
      </c>
      <c r="D447" t="n">
        <v>2</v>
      </c>
      <c r="E447" t="n">
        <v>1</v>
      </c>
      <c r="F447" t="inlineStr">
        <is>
          <t>CLASE</t>
        </is>
      </c>
      <c r="G447" t="inlineStr">
        <is>
          <t>1002</t>
        </is>
      </c>
      <c r="H447" t="inlineStr">
        <is>
          <t>CNA</t>
        </is>
      </c>
      <c r="I447" t="inlineStr"/>
      <c r="J447" t="inlineStr"/>
      <c r="K447" t="inlineStr"/>
      <c r="L447" t="inlineStr">
        <is>
          <t>10°-2</t>
        </is>
      </c>
      <c r="M447" t="inlineStr"/>
      <c r="N447">
        <f>C447&amp;"|"&amp;D447</f>
        <v/>
      </c>
      <c r="O447">
        <f>COUNTIF($N$2:N447,N447)</f>
        <v/>
      </c>
      <c r="P447">
        <f>N447&amp;"|"&amp;O447</f>
        <v/>
      </c>
      <c r="Q447">
        <f>C447&amp;"|"&amp;D447&amp;"|"&amp;A447</f>
        <v/>
      </c>
    </row>
    <row r="448">
      <c r="A448" t="n">
        <v>31</v>
      </c>
      <c r="B448" t="inlineStr">
        <is>
          <t>Montaño Arizala Leidis Claudina</t>
        </is>
      </c>
      <c r="C448" t="inlineStr">
        <is>
          <t>MIERCOLES</t>
        </is>
      </c>
      <c r="D448" t="n">
        <v>2</v>
      </c>
      <c r="E448" t="n">
        <v>1</v>
      </c>
      <c r="F448" t="inlineStr">
        <is>
          <t>CLASE</t>
        </is>
      </c>
      <c r="G448" t="inlineStr">
        <is>
          <t>1101</t>
        </is>
      </c>
      <c r="H448" t="inlineStr">
        <is>
          <t>ETR</t>
        </is>
      </c>
      <c r="I448" t="inlineStr"/>
      <c r="J448" t="inlineStr">
        <is>
          <t>Ética / Religión (alternan cada semana)</t>
        </is>
      </c>
      <c r="K448" t="inlineStr"/>
      <c r="L448" t="inlineStr">
        <is>
          <t>11°-1</t>
        </is>
      </c>
      <c r="M448" t="inlineStr">
        <is>
          <t>Ética / Religión (alternan cada semana)</t>
        </is>
      </c>
      <c r="N448">
        <f>C448&amp;"|"&amp;D448</f>
        <v/>
      </c>
      <c r="O448">
        <f>COUNTIF($N$2:N448,N448)</f>
        <v/>
      </c>
      <c r="P448">
        <f>N448&amp;"|"&amp;O448</f>
        <v/>
      </c>
      <c r="Q448">
        <f>C448&amp;"|"&amp;D448&amp;"|"&amp;A448</f>
        <v/>
      </c>
    </row>
    <row r="449">
      <c r="A449" t="n">
        <v>3</v>
      </c>
      <c r="B449" t="inlineStr">
        <is>
          <t>Arboleda Ortiz Luz América</t>
        </is>
      </c>
      <c r="C449" t="inlineStr">
        <is>
          <t>MIERCOLES</t>
        </is>
      </c>
      <c r="D449" t="n">
        <v>2</v>
      </c>
      <c r="E449" t="n">
        <v>1</v>
      </c>
      <c r="F449" t="inlineStr">
        <is>
          <t>CLASE</t>
        </is>
      </c>
      <c r="G449" t="inlineStr">
        <is>
          <t>1102</t>
        </is>
      </c>
      <c r="H449" t="inlineStr">
        <is>
          <t>ART</t>
        </is>
      </c>
      <c r="I449" t="inlineStr"/>
      <c r="J449" t="inlineStr"/>
      <c r="K449" t="inlineStr"/>
      <c r="L449" t="inlineStr">
        <is>
          <t>11°-2</t>
        </is>
      </c>
      <c r="M449" t="inlineStr"/>
      <c r="N449">
        <f>C449&amp;"|"&amp;D449</f>
        <v/>
      </c>
      <c r="O449">
        <f>COUNTIF($N$2:N449,N449)</f>
        <v/>
      </c>
      <c r="P449">
        <f>N449&amp;"|"&amp;O449</f>
        <v/>
      </c>
      <c r="Q449">
        <f>C449&amp;"|"&amp;D449&amp;"|"&amp;A449</f>
        <v/>
      </c>
    </row>
    <row r="450">
      <c r="A450" t="n">
        <v>44</v>
      </c>
      <c r="B450" t="inlineStr">
        <is>
          <t>Samaniego Angulo Flor Mireya</t>
        </is>
      </c>
      <c r="C450" t="inlineStr">
        <is>
          <t>MIERCOLES</t>
        </is>
      </c>
      <c r="D450" t="n">
        <v>2</v>
      </c>
      <c r="E450" t="n">
        <v>1</v>
      </c>
      <c r="F450" t="inlineStr">
        <is>
          <t>CLASE</t>
        </is>
      </c>
      <c r="G450" t="inlineStr">
        <is>
          <t>CS201</t>
        </is>
      </c>
      <c r="H450" t="inlineStr">
        <is>
          <t>ART</t>
        </is>
      </c>
      <c r="I450" t="inlineStr"/>
      <c r="J450" t="inlineStr"/>
      <c r="K450" t="inlineStr"/>
      <c r="L450" t="inlineStr">
        <is>
          <t>CS 2-1</t>
        </is>
      </c>
      <c r="M450" t="inlineStr"/>
      <c r="N450">
        <f>C450&amp;"|"&amp;D450</f>
        <v/>
      </c>
      <c r="O450">
        <f>COUNTIF($N$2:N450,N450)</f>
        <v/>
      </c>
      <c r="P450">
        <f>N450&amp;"|"&amp;O450</f>
        <v/>
      </c>
      <c r="Q450">
        <f>C450&amp;"|"&amp;D450&amp;"|"&amp;A450</f>
        <v/>
      </c>
    </row>
    <row r="451">
      <c r="A451" t="n">
        <v>35</v>
      </c>
      <c r="B451" t="inlineStr">
        <is>
          <t>Ortiz Araujo Adiela Carlota</t>
        </is>
      </c>
      <c r="C451" t="inlineStr">
        <is>
          <t>MIERCOLES</t>
        </is>
      </c>
      <c r="D451" t="n">
        <v>2</v>
      </c>
      <c r="E451" t="n">
        <v>1</v>
      </c>
      <c r="F451" t="inlineStr">
        <is>
          <t>CLASE</t>
        </is>
      </c>
      <c r="G451" t="inlineStr">
        <is>
          <t>CS202</t>
        </is>
      </c>
      <c r="H451" t="inlineStr">
        <is>
          <t>CSI</t>
        </is>
      </c>
      <c r="I451" t="inlineStr"/>
      <c r="J451" t="inlineStr">
        <is>
          <t>Sociales / Inglés (alternan cada semana)</t>
        </is>
      </c>
      <c r="K451" t="inlineStr"/>
      <c r="L451" t="inlineStr">
        <is>
          <t>CS 2-2</t>
        </is>
      </c>
      <c r="M451" t="inlineStr">
        <is>
          <t>Sociales / Inglés (alternan cada semana)</t>
        </is>
      </c>
      <c r="N451">
        <f>C451&amp;"|"&amp;D451</f>
        <v/>
      </c>
      <c r="O451">
        <f>COUNTIF($N$2:N451,N451)</f>
        <v/>
      </c>
      <c r="P451">
        <f>N451&amp;"|"&amp;O451</f>
        <v/>
      </c>
      <c r="Q451">
        <f>C451&amp;"|"&amp;D451&amp;"|"&amp;A451</f>
        <v/>
      </c>
    </row>
    <row r="452">
      <c r="A452" t="n">
        <v>10</v>
      </c>
      <c r="B452" t="inlineStr">
        <is>
          <t>Castillo Cuero Daira Eneida</t>
        </is>
      </c>
      <c r="C452" t="inlineStr">
        <is>
          <t>MIERCOLES</t>
        </is>
      </c>
      <c r="D452" t="n">
        <v>2</v>
      </c>
      <c r="E452" t="n">
        <v>1</v>
      </c>
      <c r="F452" t="inlineStr">
        <is>
          <t>ENFASIS</t>
        </is>
      </c>
      <c r="G452" t="inlineStr"/>
      <c r="H452" t="inlineStr">
        <is>
          <t>CAS</t>
        </is>
      </c>
      <c r="I452" t="inlineStr">
        <is>
          <t>0701</t>
        </is>
      </c>
      <c r="J452" t="inlineStr">
        <is>
          <t>PAREJA: comparten el énfasis y alternan por semana</t>
        </is>
      </c>
      <c r="K452" t="inlineStr">
        <is>
          <t>Puches Ana Milena (ART)</t>
        </is>
      </c>
      <c r="L452" t="inlineStr">
        <is>
          <t>ÉNFASIS 7°-1</t>
        </is>
      </c>
      <c r="M452" t="inlineStr">
        <is>
          <t>PAREJA: comparten el énfasis y alternan por semana · Con: Puches Ana Milena (ART)</t>
        </is>
      </c>
      <c r="N452">
        <f>C452&amp;"|"&amp;D452</f>
        <v/>
      </c>
      <c r="O452">
        <f>COUNTIF($N$2:N452,N452)</f>
        <v/>
      </c>
      <c r="P452">
        <f>N452&amp;"|"&amp;O452</f>
        <v/>
      </c>
      <c r="Q452">
        <f>C452&amp;"|"&amp;D452&amp;"|"&amp;A452</f>
        <v/>
      </c>
    </row>
    <row r="453">
      <c r="A453" t="n">
        <v>39</v>
      </c>
      <c r="B453" t="inlineStr">
        <is>
          <t>Puches Ana Milena</t>
        </is>
      </c>
      <c r="C453" t="inlineStr">
        <is>
          <t>MIERCOLES</t>
        </is>
      </c>
      <c r="D453" t="n">
        <v>2</v>
      </c>
      <c r="E453" t="n">
        <v>1</v>
      </c>
      <c r="F453" t="inlineStr">
        <is>
          <t>ENFASIS</t>
        </is>
      </c>
      <c r="G453" t="inlineStr"/>
      <c r="H453" t="inlineStr">
        <is>
          <t>ART</t>
        </is>
      </c>
      <c r="I453" t="inlineStr">
        <is>
          <t>0701</t>
        </is>
      </c>
      <c r="J453" t="inlineStr">
        <is>
          <t>PAREJA: comparten el énfasis y alternan por semana</t>
        </is>
      </c>
      <c r="K453" t="inlineStr">
        <is>
          <t>Castillo Cuero Daira Eneida (CAS)</t>
        </is>
      </c>
      <c r="L453" t="inlineStr">
        <is>
          <t>ÉNFASIS 7°-1</t>
        </is>
      </c>
      <c r="M453" t="inlineStr">
        <is>
          <t>PAREJA: comparten el énfasis y alternan por semana · Con: Castillo Cuero Daira Eneida (CAS)</t>
        </is>
      </c>
      <c r="N453">
        <f>C453&amp;"|"&amp;D453</f>
        <v/>
      </c>
      <c r="O453">
        <f>COUNTIF($N$2:N453,N453)</f>
        <v/>
      </c>
      <c r="P453">
        <f>N453&amp;"|"&amp;O453</f>
        <v/>
      </c>
      <c r="Q453">
        <f>C453&amp;"|"&amp;D453&amp;"|"&amp;A453</f>
        <v/>
      </c>
    </row>
    <row r="454">
      <c r="A454" t="n">
        <v>12</v>
      </c>
      <c r="B454" t="inlineStr">
        <is>
          <t>Chillambo Quiñones María Rocío</t>
        </is>
      </c>
      <c r="C454" t="inlineStr">
        <is>
          <t>MIERCOLES</t>
        </is>
      </c>
      <c r="D454" t="n">
        <v>2</v>
      </c>
      <c r="E454" t="n">
        <v>1</v>
      </c>
      <c r="F454" t="inlineStr">
        <is>
          <t>ENFASIS</t>
        </is>
      </c>
      <c r="G454" t="inlineStr"/>
      <c r="H454" t="inlineStr">
        <is>
          <t>CNA</t>
        </is>
      </c>
      <c r="I454" t="inlineStr">
        <is>
          <t>0702</t>
        </is>
      </c>
      <c r="J454" t="inlineStr">
        <is>
          <t>PAREJA: comparten el énfasis y alternan por semana</t>
        </is>
      </c>
      <c r="K454" t="inlineStr">
        <is>
          <t>Cuero Bamba Berte Levi (ERD)</t>
        </is>
      </c>
      <c r="L454" t="inlineStr">
        <is>
          <t>ÉNFASIS 7°-2</t>
        </is>
      </c>
      <c r="M454" t="inlineStr">
        <is>
          <t>PAREJA: comparten el énfasis y alternan por semana · Con: Cuero Bamba Berte Levi (ERD)</t>
        </is>
      </c>
      <c r="N454">
        <f>C454&amp;"|"&amp;D454</f>
        <v/>
      </c>
      <c r="O454">
        <f>COUNTIF($N$2:N454,N454)</f>
        <v/>
      </c>
      <c r="P454">
        <f>N454&amp;"|"&amp;O454</f>
        <v/>
      </c>
      <c r="Q454">
        <f>C454&amp;"|"&amp;D454&amp;"|"&amp;A454</f>
        <v/>
      </c>
    </row>
    <row r="455">
      <c r="A455" t="n">
        <v>15</v>
      </c>
      <c r="B455" t="inlineStr">
        <is>
          <t>Cuero Bamba Berte Levi</t>
        </is>
      </c>
      <c r="C455" t="inlineStr">
        <is>
          <t>MIERCOLES</t>
        </is>
      </c>
      <c r="D455" t="n">
        <v>2</v>
      </c>
      <c r="E455" t="n">
        <v>1</v>
      </c>
      <c r="F455" t="inlineStr">
        <is>
          <t>ENFASIS</t>
        </is>
      </c>
      <c r="G455" t="inlineStr"/>
      <c r="H455" t="inlineStr">
        <is>
          <t>ERD</t>
        </is>
      </c>
      <c r="I455" t="inlineStr">
        <is>
          <t>0702</t>
        </is>
      </c>
      <c r="J455" t="inlineStr">
        <is>
          <t>PAREJA: comparten el énfasis y alternan por semana</t>
        </is>
      </c>
      <c r="K455" t="inlineStr">
        <is>
          <t>Chillambo Quiñones María Rocío (CNA)</t>
        </is>
      </c>
      <c r="L455" t="inlineStr">
        <is>
          <t>ÉNFASIS 7°-2</t>
        </is>
      </c>
      <c r="M455" t="inlineStr">
        <is>
          <t>PAREJA: comparten el énfasis y alternan por semana · Con: Chillambo Quiñones María Rocío (CNA)</t>
        </is>
      </c>
      <c r="N455">
        <f>C455&amp;"|"&amp;D455</f>
        <v/>
      </c>
      <c r="O455">
        <f>COUNTIF($N$2:N455,N455)</f>
        <v/>
      </c>
      <c r="P455">
        <f>N455&amp;"|"&amp;O455</f>
        <v/>
      </c>
      <c r="Q455">
        <f>C455&amp;"|"&amp;D455&amp;"|"&amp;A455</f>
        <v/>
      </c>
    </row>
    <row r="456">
      <c r="A456" t="n">
        <v>8</v>
      </c>
      <c r="B456" t="inlineStr">
        <is>
          <t>Casanova Quiñones Yoli del Carmen</t>
        </is>
      </c>
      <c r="C456" t="inlineStr">
        <is>
          <t>MIERCOLES</t>
        </is>
      </c>
      <c r="D456" t="n">
        <v>2</v>
      </c>
      <c r="E456" t="n">
        <v>1</v>
      </c>
      <c r="F456" t="inlineStr">
        <is>
          <t>ENFASIS</t>
        </is>
      </c>
      <c r="G456" t="inlineStr"/>
      <c r="H456" t="inlineStr">
        <is>
          <t>ETR</t>
        </is>
      </c>
      <c r="I456" t="inlineStr">
        <is>
          <t>0703</t>
        </is>
      </c>
      <c r="J456" t="inlineStr">
        <is>
          <t>PAREJA: comparten el énfasis y alternan por semana</t>
        </is>
      </c>
      <c r="K456" t="inlineStr">
        <is>
          <t>Quintero Ramírez María del Carmen (CSI)</t>
        </is>
      </c>
      <c r="L456" t="inlineStr">
        <is>
          <t>ÉNFASIS 7°-3</t>
        </is>
      </c>
      <c r="M456" t="inlineStr">
        <is>
          <t>PAREJA: comparten el énfasis y alternan por semana · Con: Quintero Ramírez María del Carmen (CSI)</t>
        </is>
      </c>
      <c r="N456">
        <f>C456&amp;"|"&amp;D456</f>
        <v/>
      </c>
      <c r="O456">
        <f>COUNTIF($N$2:N456,N456)</f>
        <v/>
      </c>
      <c r="P456">
        <f>N456&amp;"|"&amp;O456</f>
        <v/>
      </c>
      <c r="Q456">
        <f>C456&amp;"|"&amp;D456&amp;"|"&amp;A456</f>
        <v/>
      </c>
    </row>
    <row r="457">
      <c r="A457" t="n">
        <v>41</v>
      </c>
      <c r="B457" t="inlineStr">
        <is>
          <t>Quintero Ramírez María del Carmen</t>
        </is>
      </c>
      <c r="C457" t="inlineStr">
        <is>
          <t>MIERCOLES</t>
        </is>
      </c>
      <c r="D457" t="n">
        <v>2</v>
      </c>
      <c r="E457" t="n">
        <v>1</v>
      </c>
      <c r="F457" t="inlineStr">
        <is>
          <t>ENFASIS</t>
        </is>
      </c>
      <c r="G457" t="inlineStr"/>
      <c r="H457" t="inlineStr">
        <is>
          <t>CSI</t>
        </is>
      </c>
      <c r="I457" t="inlineStr">
        <is>
          <t>0703</t>
        </is>
      </c>
      <c r="J457" t="inlineStr">
        <is>
          <t>PAREJA: comparten el énfasis y alternan por semana</t>
        </is>
      </c>
      <c r="K457" t="inlineStr">
        <is>
          <t>Casanova Quiñones Yoli del Carmen (ETR)</t>
        </is>
      </c>
      <c r="L457" t="inlineStr">
        <is>
          <t>ÉNFASIS 7°-3</t>
        </is>
      </c>
      <c r="M457" t="inlineStr">
        <is>
          <t>PAREJA: comparten el énfasis y alternan por semana · Con: Casanova Quiñones Yoli del Carmen (ETR)</t>
        </is>
      </c>
      <c r="N457">
        <f>C457&amp;"|"&amp;D457</f>
        <v/>
      </c>
      <c r="O457">
        <f>COUNTIF($N$2:N457,N457)</f>
        <v/>
      </c>
      <c r="P457">
        <f>N457&amp;"|"&amp;O457</f>
        <v/>
      </c>
      <c r="Q457">
        <f>C457&amp;"|"&amp;D457&amp;"|"&amp;A457</f>
        <v/>
      </c>
    </row>
    <row r="458">
      <c r="A458" t="n">
        <v>20</v>
      </c>
      <c r="B458" t="inlineStr">
        <is>
          <t>García Gobea Saydi Magali</t>
        </is>
      </c>
      <c r="C458" t="inlineStr">
        <is>
          <t>MIERCOLES</t>
        </is>
      </c>
      <c r="D458" t="n">
        <v>2</v>
      </c>
      <c r="E458" t="n">
        <v>1</v>
      </c>
      <c r="F458" t="inlineStr">
        <is>
          <t>ENFASIS</t>
        </is>
      </c>
      <c r="G458" t="inlineStr"/>
      <c r="H458" t="inlineStr">
        <is>
          <t>CSI</t>
        </is>
      </c>
      <c r="I458" t="inlineStr">
        <is>
          <t>CS101</t>
        </is>
      </c>
      <c r="J458" t="inlineStr">
        <is>
          <t>PAREJA: comparten el énfasis y alternan por semana</t>
        </is>
      </c>
      <c r="K458" t="inlineStr">
        <is>
          <t>Lozano Torres Amanda Inés (ETR)</t>
        </is>
      </c>
      <c r="L458" t="inlineStr">
        <is>
          <t>ÉNFASIS CS 1-1</t>
        </is>
      </c>
      <c r="M458" t="inlineStr">
        <is>
          <t>PAREJA: comparten el énfasis y alternan por semana · Con: Lozano Torres Amanda Inés (ETR)</t>
        </is>
      </c>
      <c r="N458">
        <f>C458&amp;"|"&amp;D458</f>
        <v/>
      </c>
      <c r="O458">
        <f>COUNTIF($N$2:N458,N458)</f>
        <v/>
      </c>
      <c r="P458">
        <f>N458&amp;"|"&amp;O458</f>
        <v/>
      </c>
      <c r="Q458">
        <f>C458&amp;"|"&amp;D458&amp;"|"&amp;A458</f>
        <v/>
      </c>
    </row>
    <row r="459">
      <c r="A459" t="n">
        <v>26</v>
      </c>
      <c r="B459" t="inlineStr">
        <is>
          <t>Lozano Torres Amanda Inés</t>
        </is>
      </c>
      <c r="C459" t="inlineStr">
        <is>
          <t>MIERCOLES</t>
        </is>
      </c>
      <c r="D459" t="n">
        <v>2</v>
      </c>
      <c r="E459" t="n">
        <v>1</v>
      </c>
      <c r="F459" t="inlineStr">
        <is>
          <t>ENFASIS</t>
        </is>
      </c>
      <c r="G459" t="inlineStr"/>
      <c r="H459" t="inlineStr">
        <is>
          <t>ETR</t>
        </is>
      </c>
      <c r="I459" t="inlineStr">
        <is>
          <t>CS101</t>
        </is>
      </c>
      <c r="J459" t="inlineStr">
        <is>
          <t>PAREJA: comparten el énfasis y alternan por semana</t>
        </is>
      </c>
      <c r="K459" t="inlineStr">
        <is>
          <t>García Gobea Saydi Magali (CSI)</t>
        </is>
      </c>
      <c r="L459" t="inlineStr">
        <is>
          <t>ÉNFASIS CS 1-1</t>
        </is>
      </c>
      <c r="M459" t="inlineStr">
        <is>
          <t>PAREJA: comparten el énfasis y alternan por semana · Con: García Gobea Saydi Magali (CSI)</t>
        </is>
      </c>
      <c r="N459">
        <f>C459&amp;"|"&amp;D459</f>
        <v/>
      </c>
      <c r="O459">
        <f>COUNTIF($N$2:N459,N459)</f>
        <v/>
      </c>
      <c r="P459">
        <f>N459&amp;"|"&amp;O459</f>
        <v/>
      </c>
      <c r="Q459">
        <f>C459&amp;"|"&amp;D459&amp;"|"&amp;A459</f>
        <v/>
      </c>
    </row>
    <row r="460">
      <c r="A460" t="n">
        <v>1</v>
      </c>
      <c r="B460" t="inlineStr">
        <is>
          <t>Aguirre Riascos Jorge Andrés</t>
        </is>
      </c>
      <c r="C460" t="inlineStr">
        <is>
          <t>MIERCOLES</t>
        </is>
      </c>
      <c r="D460" t="n">
        <v>2</v>
      </c>
      <c r="E460" t="n">
        <v>1</v>
      </c>
      <c r="F460" t="inlineStr">
        <is>
          <t>ENFASIS</t>
        </is>
      </c>
      <c r="G460" t="inlineStr"/>
      <c r="H460" t="inlineStr">
        <is>
          <t>TEI</t>
        </is>
      </c>
      <c r="I460" t="inlineStr">
        <is>
          <t>CS102</t>
        </is>
      </c>
      <c r="J460" t="inlineStr">
        <is>
          <t>PAREJA: comparten el énfasis y alternan por semana</t>
        </is>
      </c>
      <c r="K460" t="inlineStr">
        <is>
          <t>Vásquez Valencia Segundo Leoncio (MAT)</t>
        </is>
      </c>
      <c r="L460" t="inlineStr">
        <is>
          <t>ÉNFASIS CS 1-2</t>
        </is>
      </c>
      <c r="M460" t="inlineStr">
        <is>
          <t>PAREJA: comparten el énfasis y alternan por semana · Con: Vásquez Valencia Segundo Leoncio (MAT)</t>
        </is>
      </c>
      <c r="N460">
        <f>C460&amp;"|"&amp;D460</f>
        <v/>
      </c>
      <c r="O460">
        <f>COUNTIF($N$2:N460,N460)</f>
        <v/>
      </c>
      <c r="P460">
        <f>N460&amp;"|"&amp;O460</f>
        <v/>
      </c>
      <c r="Q460">
        <f>C460&amp;"|"&amp;D460&amp;"|"&amp;A460</f>
        <v/>
      </c>
    </row>
    <row r="461">
      <c r="A461" t="n">
        <v>52</v>
      </c>
      <c r="B461" t="inlineStr">
        <is>
          <t>Vásquez Valencia Segundo Leoncio</t>
        </is>
      </c>
      <c r="C461" t="inlineStr">
        <is>
          <t>MIERCOLES</t>
        </is>
      </c>
      <c r="D461" t="n">
        <v>2</v>
      </c>
      <c r="E461" t="n">
        <v>1</v>
      </c>
      <c r="F461" t="inlineStr">
        <is>
          <t>ENFASIS</t>
        </is>
      </c>
      <c r="G461" t="inlineStr"/>
      <c r="H461" t="inlineStr">
        <is>
          <t>MAT</t>
        </is>
      </c>
      <c r="I461" t="inlineStr">
        <is>
          <t>CS102</t>
        </is>
      </c>
      <c r="J461" t="inlineStr">
        <is>
          <t>PAREJA: comparten el énfasis y alternan por semana</t>
        </is>
      </c>
      <c r="K461" t="inlineStr">
        <is>
          <t>Aguirre Riascos Jorge Andrés (TEI)</t>
        </is>
      </c>
      <c r="L461" t="inlineStr">
        <is>
          <t>ÉNFASIS CS 1-2</t>
        </is>
      </c>
      <c r="M461" t="inlineStr">
        <is>
          <t>PAREJA: comparten el énfasis y alternan por semana · Con: Aguirre Riascos Jorge Andrés (TEI)</t>
        </is>
      </c>
      <c r="N461">
        <f>C461&amp;"|"&amp;D461</f>
        <v/>
      </c>
      <c r="O461">
        <f>COUNTIF($N$2:N461,N461)</f>
        <v/>
      </c>
      <c r="P461">
        <f>N461&amp;"|"&amp;O461</f>
        <v/>
      </c>
      <c r="Q461">
        <f>C461&amp;"|"&amp;D461&amp;"|"&amp;A461</f>
        <v/>
      </c>
    </row>
    <row r="462">
      <c r="A462" t="n">
        <v>16</v>
      </c>
      <c r="B462" t="inlineStr">
        <is>
          <t>Cuero Rincón Hernando Jesús</t>
        </is>
      </c>
      <c r="C462" t="inlineStr">
        <is>
          <t>MIERCOLES</t>
        </is>
      </c>
      <c r="D462" t="n">
        <v>3</v>
      </c>
      <c r="E462" t="n">
        <v>2</v>
      </c>
      <c r="F462" t="inlineStr">
        <is>
          <t>CLASE</t>
        </is>
      </c>
      <c r="G462" t="inlineStr">
        <is>
          <t>0601</t>
        </is>
      </c>
      <c r="H462" t="inlineStr">
        <is>
          <t>CAS</t>
        </is>
      </c>
      <c r="I462" t="inlineStr"/>
      <c r="J462" t="inlineStr"/>
      <c r="K462" t="inlineStr"/>
      <c r="L462" t="inlineStr">
        <is>
          <t>6°-1</t>
        </is>
      </c>
      <c r="M462" t="inlineStr"/>
      <c r="N462">
        <f>C462&amp;"|"&amp;D462</f>
        <v/>
      </c>
      <c r="O462">
        <f>COUNTIF($N$2:N462,N462)</f>
        <v/>
      </c>
      <c r="P462">
        <f>N462&amp;"|"&amp;O462</f>
        <v/>
      </c>
      <c r="Q462">
        <f>C462&amp;"|"&amp;D462&amp;"|"&amp;A462</f>
        <v/>
      </c>
    </row>
    <row r="463">
      <c r="A463" t="n">
        <v>37</v>
      </c>
      <c r="B463" t="inlineStr">
        <is>
          <t>Prado Quiñones Genís Maribel</t>
        </is>
      </c>
      <c r="C463" t="inlineStr">
        <is>
          <t>MIERCOLES</t>
        </is>
      </c>
      <c r="D463" t="n">
        <v>3</v>
      </c>
      <c r="E463" t="n">
        <v>2</v>
      </c>
      <c r="F463" t="inlineStr">
        <is>
          <t>CLASE</t>
        </is>
      </c>
      <c r="G463" t="inlineStr">
        <is>
          <t>0602</t>
        </is>
      </c>
      <c r="H463" t="inlineStr">
        <is>
          <t>ART</t>
        </is>
      </c>
      <c r="I463" t="inlineStr"/>
      <c r="J463" t="inlineStr"/>
      <c r="K463" t="inlineStr"/>
      <c r="L463" t="inlineStr">
        <is>
          <t>6°-2</t>
        </is>
      </c>
      <c r="M463" t="inlineStr"/>
      <c r="N463">
        <f>C463&amp;"|"&amp;D463</f>
        <v/>
      </c>
      <c r="O463">
        <f>COUNTIF($N$2:N463,N463)</f>
        <v/>
      </c>
      <c r="P463">
        <f>N463&amp;"|"&amp;O463</f>
        <v/>
      </c>
      <c r="Q463">
        <f>C463&amp;"|"&amp;D463&amp;"|"&amp;A463</f>
        <v/>
      </c>
    </row>
    <row r="464">
      <c r="A464" t="n">
        <v>10</v>
      </c>
      <c r="B464" t="inlineStr">
        <is>
          <t>Castillo Cuero Daira Eneida</t>
        </is>
      </c>
      <c r="C464" t="inlineStr">
        <is>
          <t>MIERCOLES</t>
        </is>
      </c>
      <c r="D464" t="n">
        <v>3</v>
      </c>
      <c r="E464" t="n">
        <v>2</v>
      </c>
      <c r="F464" t="inlineStr">
        <is>
          <t>CLASE</t>
        </is>
      </c>
      <c r="G464" t="inlineStr">
        <is>
          <t>0701</t>
        </is>
      </c>
      <c r="H464" t="inlineStr">
        <is>
          <t>CAS</t>
        </is>
      </c>
      <c r="I464" t="inlineStr"/>
      <c r="J464" t="inlineStr"/>
      <c r="K464" t="inlineStr"/>
      <c r="L464" t="inlineStr">
        <is>
          <t>7°-1</t>
        </is>
      </c>
      <c r="M464" t="inlineStr"/>
      <c r="N464">
        <f>C464&amp;"|"&amp;D464</f>
        <v/>
      </c>
      <c r="O464">
        <f>COUNTIF($N$2:N464,N464)</f>
        <v/>
      </c>
      <c r="P464">
        <f>N464&amp;"|"&amp;O464</f>
        <v/>
      </c>
      <c r="Q464">
        <f>C464&amp;"|"&amp;D464&amp;"|"&amp;A464</f>
        <v/>
      </c>
    </row>
    <row r="465">
      <c r="A465" t="n">
        <v>39</v>
      </c>
      <c r="B465" t="inlineStr">
        <is>
          <t>Puches Ana Milena</t>
        </is>
      </c>
      <c r="C465" t="inlineStr">
        <is>
          <t>MIERCOLES</t>
        </is>
      </c>
      <c r="D465" t="n">
        <v>3</v>
      </c>
      <c r="E465" t="n">
        <v>2</v>
      </c>
      <c r="F465" t="inlineStr">
        <is>
          <t>CLASE</t>
        </is>
      </c>
      <c r="G465" t="inlineStr">
        <is>
          <t>0702</t>
        </is>
      </c>
      <c r="H465" t="inlineStr">
        <is>
          <t>ART</t>
        </is>
      </c>
      <c r="I465" t="inlineStr"/>
      <c r="J465" t="inlineStr"/>
      <c r="K465" t="inlineStr"/>
      <c r="L465" t="inlineStr">
        <is>
          <t>7°-2</t>
        </is>
      </c>
      <c r="M465" t="inlineStr"/>
      <c r="N465">
        <f>C465&amp;"|"&amp;D465</f>
        <v/>
      </c>
      <c r="O465">
        <f>COUNTIF($N$2:N465,N465)</f>
        <v/>
      </c>
      <c r="P465">
        <f>N465&amp;"|"&amp;O465</f>
        <v/>
      </c>
      <c r="Q465">
        <f>C465&amp;"|"&amp;D465&amp;"|"&amp;A465</f>
        <v/>
      </c>
    </row>
    <row r="466">
      <c r="A466" t="n">
        <v>34</v>
      </c>
      <c r="B466" t="inlineStr">
        <is>
          <t>Ordóñez Tenorio Jaime Marcial</t>
        </is>
      </c>
      <c r="C466" t="inlineStr">
        <is>
          <t>MIERCOLES</t>
        </is>
      </c>
      <c r="D466" t="n">
        <v>3</v>
      </c>
      <c r="E466" t="n">
        <v>2</v>
      </c>
      <c r="F466" t="inlineStr">
        <is>
          <t>CLASE</t>
        </is>
      </c>
      <c r="G466" t="inlineStr">
        <is>
          <t>0703</t>
        </is>
      </c>
      <c r="H466" t="inlineStr">
        <is>
          <t>CNA</t>
        </is>
      </c>
      <c r="I466" t="inlineStr"/>
      <c r="J466" t="inlineStr"/>
      <c r="K466" t="inlineStr"/>
      <c r="L466" t="inlineStr">
        <is>
          <t>7°-3</t>
        </is>
      </c>
      <c r="M466" t="inlineStr"/>
      <c r="N466">
        <f>C466&amp;"|"&amp;D466</f>
        <v/>
      </c>
      <c r="O466">
        <f>COUNTIF($N$2:N466,N466)</f>
        <v/>
      </c>
      <c r="P466">
        <f>N466&amp;"|"&amp;O466</f>
        <v/>
      </c>
      <c r="Q466">
        <f>C466&amp;"|"&amp;D466&amp;"|"&amp;A466</f>
        <v/>
      </c>
    </row>
    <row r="467">
      <c r="A467" t="n">
        <v>4</v>
      </c>
      <c r="B467" t="inlineStr">
        <is>
          <t>Arizala Castro Roberto Carlos</t>
        </is>
      </c>
      <c r="C467" t="inlineStr">
        <is>
          <t>MIERCOLES</t>
        </is>
      </c>
      <c r="D467" t="n">
        <v>3</v>
      </c>
      <c r="E467" t="n">
        <v>2</v>
      </c>
      <c r="F467" t="inlineStr">
        <is>
          <t>CLASE</t>
        </is>
      </c>
      <c r="G467" t="inlineStr">
        <is>
          <t>0704</t>
        </is>
      </c>
      <c r="H467" t="inlineStr">
        <is>
          <t>ERD</t>
        </is>
      </c>
      <c r="I467" t="inlineStr"/>
      <c r="J467" t="inlineStr"/>
      <c r="K467" t="inlineStr"/>
      <c r="L467" t="inlineStr">
        <is>
          <t>7°-4</t>
        </is>
      </c>
      <c r="M467" t="inlineStr"/>
      <c r="N467">
        <f>C467&amp;"|"&amp;D467</f>
        <v/>
      </c>
      <c r="O467">
        <f>COUNTIF($N$2:N467,N467)</f>
        <v/>
      </c>
      <c r="P467">
        <f>N467&amp;"|"&amp;O467</f>
        <v/>
      </c>
      <c r="Q467">
        <f>C467&amp;"|"&amp;D467&amp;"|"&amp;A467</f>
        <v/>
      </c>
    </row>
    <row r="468">
      <c r="A468" t="n">
        <v>35</v>
      </c>
      <c r="B468" t="inlineStr">
        <is>
          <t>Ortiz Araujo Adiela Carlota</t>
        </is>
      </c>
      <c r="C468" t="inlineStr">
        <is>
          <t>MIERCOLES</t>
        </is>
      </c>
      <c r="D468" t="n">
        <v>3</v>
      </c>
      <c r="E468" t="n">
        <v>2</v>
      </c>
      <c r="F468" t="inlineStr">
        <is>
          <t>CLASE</t>
        </is>
      </c>
      <c r="G468" t="inlineStr">
        <is>
          <t>0802</t>
        </is>
      </c>
      <c r="H468" t="inlineStr">
        <is>
          <t>CSI</t>
        </is>
      </c>
      <c r="I468" t="inlineStr"/>
      <c r="J468" t="inlineStr">
        <is>
          <t>Sociales / Inglés (alternan cada semana)</t>
        </is>
      </c>
      <c r="K468" t="inlineStr"/>
      <c r="L468" t="inlineStr">
        <is>
          <t>8°-2</t>
        </is>
      </c>
      <c r="M468" t="inlineStr">
        <is>
          <t>Sociales / Inglés (alternan cada semana)</t>
        </is>
      </c>
      <c r="N468">
        <f>C468&amp;"|"&amp;D468</f>
        <v/>
      </c>
      <c r="O468">
        <f>COUNTIF($N$2:N468,N468)</f>
        <v/>
      </c>
      <c r="P468">
        <f>N468&amp;"|"&amp;O468</f>
        <v/>
      </c>
      <c r="Q468">
        <f>C468&amp;"|"&amp;D468&amp;"|"&amp;A468</f>
        <v/>
      </c>
    </row>
    <row r="469">
      <c r="A469" t="n">
        <v>49</v>
      </c>
      <c r="B469" t="inlineStr">
        <is>
          <t>Valencia Marínez Saidy Eufemia</t>
        </is>
      </c>
      <c r="C469" t="inlineStr">
        <is>
          <t>MIERCOLES</t>
        </is>
      </c>
      <c r="D469" t="n">
        <v>3</v>
      </c>
      <c r="E469" t="n">
        <v>2</v>
      </c>
      <c r="F469" t="inlineStr">
        <is>
          <t>CLASE</t>
        </is>
      </c>
      <c r="G469" t="inlineStr">
        <is>
          <t>0901</t>
        </is>
      </c>
      <c r="H469" t="inlineStr">
        <is>
          <t>ART</t>
        </is>
      </c>
      <c r="I469" t="inlineStr"/>
      <c r="J469" t="inlineStr"/>
      <c r="K469" t="inlineStr"/>
      <c r="L469" t="inlineStr">
        <is>
          <t>9°-1</t>
        </is>
      </c>
      <c r="M469" t="inlineStr"/>
      <c r="N469">
        <f>C469&amp;"|"&amp;D469</f>
        <v/>
      </c>
      <c r="O469">
        <f>COUNTIF($N$2:N469,N469)</f>
        <v/>
      </c>
      <c r="P469">
        <f>N469&amp;"|"&amp;O469</f>
        <v/>
      </c>
      <c r="Q469">
        <f>C469&amp;"|"&amp;D469&amp;"|"&amp;A469</f>
        <v/>
      </c>
    </row>
    <row r="470">
      <c r="A470" t="n">
        <v>22</v>
      </c>
      <c r="B470" t="inlineStr">
        <is>
          <t>González Castillo Jólmer Jimy</t>
        </is>
      </c>
      <c r="C470" t="inlineStr">
        <is>
          <t>MIERCOLES</t>
        </is>
      </c>
      <c r="D470" t="n">
        <v>3</v>
      </c>
      <c r="E470" t="n">
        <v>2</v>
      </c>
      <c r="F470" t="inlineStr">
        <is>
          <t>CLASE</t>
        </is>
      </c>
      <c r="G470" t="inlineStr">
        <is>
          <t>0902</t>
        </is>
      </c>
      <c r="H470" t="inlineStr">
        <is>
          <t>ERD</t>
        </is>
      </c>
      <c r="I470" t="inlineStr"/>
      <c r="J470" t="inlineStr"/>
      <c r="K470" t="inlineStr"/>
      <c r="L470" t="inlineStr">
        <is>
          <t>9°-2</t>
        </is>
      </c>
      <c r="M470" t="inlineStr"/>
      <c r="N470">
        <f>C470&amp;"|"&amp;D470</f>
        <v/>
      </c>
      <c r="O470">
        <f>COUNTIF($N$2:N470,N470)</f>
        <v/>
      </c>
      <c r="P470">
        <f>N470&amp;"|"&amp;O470</f>
        <v/>
      </c>
      <c r="Q470">
        <f>C470&amp;"|"&amp;D470&amp;"|"&amp;A470</f>
        <v/>
      </c>
    </row>
    <row r="471">
      <c r="A471" t="n">
        <v>28</v>
      </c>
      <c r="B471" t="inlineStr">
        <is>
          <t>Meza Banguera Gladys Alicia</t>
        </is>
      </c>
      <c r="C471" t="inlineStr">
        <is>
          <t>MIERCOLES</t>
        </is>
      </c>
      <c r="D471" t="n">
        <v>3</v>
      </c>
      <c r="E471" t="n">
        <v>2</v>
      </c>
      <c r="F471" t="inlineStr">
        <is>
          <t>CLASE</t>
        </is>
      </c>
      <c r="G471" t="inlineStr">
        <is>
          <t>1001</t>
        </is>
      </c>
      <c r="H471" t="inlineStr">
        <is>
          <t>CAS</t>
        </is>
      </c>
      <c r="I471" t="inlineStr"/>
      <c r="J471" t="inlineStr"/>
      <c r="K471" t="inlineStr"/>
      <c r="L471" t="inlineStr">
        <is>
          <t>10°-1</t>
        </is>
      </c>
      <c r="M471" t="inlineStr"/>
      <c r="N471">
        <f>C471&amp;"|"&amp;D471</f>
        <v/>
      </c>
      <c r="O471">
        <f>COUNTIF($N$2:N471,N471)</f>
        <v/>
      </c>
      <c r="P471">
        <f>N471&amp;"|"&amp;O471</f>
        <v/>
      </c>
      <c r="Q471">
        <f>C471&amp;"|"&amp;D471&amp;"|"&amp;A471</f>
        <v/>
      </c>
    </row>
    <row r="472">
      <c r="A472" t="n">
        <v>30</v>
      </c>
      <c r="B472" t="inlineStr">
        <is>
          <t>Montaño Anchico Favio Héctor</t>
        </is>
      </c>
      <c r="C472" t="inlineStr">
        <is>
          <t>MIERCOLES</t>
        </is>
      </c>
      <c r="D472" t="n">
        <v>3</v>
      </c>
      <c r="E472" t="n">
        <v>2</v>
      </c>
      <c r="F472" t="inlineStr">
        <is>
          <t>CLASE</t>
        </is>
      </c>
      <c r="G472" t="inlineStr">
        <is>
          <t>1002</t>
        </is>
      </c>
      <c r="H472" t="inlineStr">
        <is>
          <t>CAS</t>
        </is>
      </c>
      <c r="I472" t="inlineStr"/>
      <c r="J472" t="inlineStr"/>
      <c r="K472" t="inlineStr"/>
      <c r="L472" t="inlineStr">
        <is>
          <t>10°-2</t>
        </is>
      </c>
      <c r="M472" t="inlineStr"/>
      <c r="N472">
        <f>C472&amp;"|"&amp;D472</f>
        <v/>
      </c>
      <c r="O472">
        <f>COUNTIF($N$2:N472,N472)</f>
        <v/>
      </c>
      <c r="P472">
        <f>N472&amp;"|"&amp;O472</f>
        <v/>
      </c>
      <c r="Q472">
        <f>C472&amp;"|"&amp;D472&amp;"|"&amp;A472</f>
        <v/>
      </c>
    </row>
    <row r="473">
      <c r="A473" t="n">
        <v>3</v>
      </c>
      <c r="B473" t="inlineStr">
        <is>
          <t>Arboleda Ortiz Luz América</t>
        </is>
      </c>
      <c r="C473" t="inlineStr">
        <is>
          <t>MIERCOLES</t>
        </is>
      </c>
      <c r="D473" t="n">
        <v>3</v>
      </c>
      <c r="E473" t="n">
        <v>2</v>
      </c>
      <c r="F473" t="inlineStr">
        <is>
          <t>CLASE</t>
        </is>
      </c>
      <c r="G473" t="inlineStr">
        <is>
          <t>1101</t>
        </is>
      </c>
      <c r="H473" t="inlineStr">
        <is>
          <t>ART</t>
        </is>
      </c>
      <c r="I473" t="inlineStr"/>
      <c r="J473" t="inlineStr"/>
      <c r="K473" t="inlineStr"/>
      <c r="L473" t="inlineStr">
        <is>
          <t>11°-1</t>
        </is>
      </c>
      <c r="M473" t="inlineStr"/>
      <c r="N473">
        <f>C473&amp;"|"&amp;D473</f>
        <v/>
      </c>
      <c r="O473">
        <f>COUNTIF($N$2:N473,N473)</f>
        <v/>
      </c>
      <c r="P473">
        <f>N473&amp;"|"&amp;O473</f>
        <v/>
      </c>
      <c r="Q473">
        <f>C473&amp;"|"&amp;D473&amp;"|"&amp;A473</f>
        <v/>
      </c>
    </row>
    <row r="474">
      <c r="A474" t="n">
        <v>4</v>
      </c>
      <c r="B474" t="inlineStr">
        <is>
          <t>Arizala Castro Roberto Carlos</t>
        </is>
      </c>
      <c r="C474" t="inlineStr">
        <is>
          <t>MIERCOLES</t>
        </is>
      </c>
      <c r="D474" t="n">
        <v>3</v>
      </c>
      <c r="E474" t="n">
        <v>2</v>
      </c>
      <c r="F474" t="inlineStr">
        <is>
          <t>CLASE</t>
        </is>
      </c>
      <c r="G474" t="inlineStr">
        <is>
          <t>CS101</t>
        </is>
      </c>
      <c r="H474" t="inlineStr">
        <is>
          <t>CNA</t>
        </is>
      </c>
      <c r="I474" t="inlineStr"/>
      <c r="J474" t="inlineStr"/>
      <c r="K474" t="inlineStr"/>
      <c r="L474" t="inlineStr">
        <is>
          <t>CS 1-1</t>
        </is>
      </c>
      <c r="M474" t="inlineStr"/>
      <c r="N474">
        <f>C474&amp;"|"&amp;D474</f>
        <v/>
      </c>
      <c r="O474">
        <f>COUNTIF($N$2:N474,N474)</f>
        <v/>
      </c>
      <c r="P474">
        <f>N474&amp;"|"&amp;O474</f>
        <v/>
      </c>
      <c r="Q474">
        <f>C474&amp;"|"&amp;D474&amp;"|"&amp;A474</f>
        <v/>
      </c>
    </row>
    <row r="475">
      <c r="A475" t="n">
        <v>20</v>
      </c>
      <c r="B475" t="inlineStr">
        <is>
          <t>García Gobea Saydi Magali</t>
        </is>
      </c>
      <c r="C475" t="inlineStr">
        <is>
          <t>MIERCOLES</t>
        </is>
      </c>
      <c r="D475" t="n">
        <v>3</v>
      </c>
      <c r="E475" t="n">
        <v>2</v>
      </c>
      <c r="F475" t="inlineStr">
        <is>
          <t>CLASE</t>
        </is>
      </c>
      <c r="G475" t="inlineStr">
        <is>
          <t>CS102</t>
        </is>
      </c>
      <c r="H475" t="inlineStr">
        <is>
          <t>CSI</t>
        </is>
      </c>
      <c r="I475" t="inlineStr"/>
      <c r="J475" t="inlineStr">
        <is>
          <t>Sociales / Inglés (alternan cada semana)</t>
        </is>
      </c>
      <c r="K475" t="inlineStr"/>
      <c r="L475" t="inlineStr">
        <is>
          <t>CS 1-2</t>
        </is>
      </c>
      <c r="M475" t="inlineStr">
        <is>
          <t>Sociales / Inglés (alternan cada semana)</t>
        </is>
      </c>
      <c r="N475">
        <f>C475&amp;"|"&amp;D475</f>
        <v/>
      </c>
      <c r="O475">
        <f>COUNTIF($N$2:N475,N475)</f>
        <v/>
      </c>
      <c r="P475">
        <f>N475&amp;"|"&amp;O475</f>
        <v/>
      </c>
      <c r="Q475">
        <f>C475&amp;"|"&amp;D475&amp;"|"&amp;A475</f>
        <v/>
      </c>
    </row>
    <row r="476">
      <c r="A476" t="n">
        <v>9</v>
      </c>
      <c r="B476" t="inlineStr">
        <is>
          <t>Castillo Angulo Martha Cecilia</t>
        </is>
      </c>
      <c r="C476" t="inlineStr">
        <is>
          <t>MIERCOLES</t>
        </is>
      </c>
      <c r="D476" t="n">
        <v>3</v>
      </c>
      <c r="E476" t="n">
        <v>2</v>
      </c>
      <c r="F476" t="inlineStr">
        <is>
          <t>CLASE</t>
        </is>
      </c>
      <c r="G476" t="inlineStr">
        <is>
          <t>CS201</t>
        </is>
      </c>
      <c r="H476" t="inlineStr">
        <is>
          <t>ETR</t>
        </is>
      </c>
      <c r="I476" t="inlineStr"/>
      <c r="J476" t="inlineStr">
        <is>
          <t>Ética / Religión (alternan cada semana)</t>
        </is>
      </c>
      <c r="K476" t="inlineStr"/>
      <c r="L476" t="inlineStr">
        <is>
          <t>CS 2-1</t>
        </is>
      </c>
      <c r="M476" t="inlineStr">
        <is>
          <t>Ética / Religión (alternan cada semana)</t>
        </is>
      </c>
      <c r="N476">
        <f>C476&amp;"|"&amp;D476</f>
        <v/>
      </c>
      <c r="O476">
        <f>COUNTIF($N$2:N476,N476)</f>
        <v/>
      </c>
      <c r="P476">
        <f>N476&amp;"|"&amp;O476</f>
        <v/>
      </c>
      <c r="Q476">
        <f>C476&amp;"|"&amp;D476&amp;"|"&amp;A476</f>
        <v/>
      </c>
    </row>
    <row r="477">
      <c r="A477" t="n">
        <v>12</v>
      </c>
      <c r="B477" t="inlineStr">
        <is>
          <t>Chillambo Quiñones María Rocío</t>
        </is>
      </c>
      <c r="C477" t="inlineStr">
        <is>
          <t>MIERCOLES</t>
        </is>
      </c>
      <c r="D477" t="n">
        <v>3</v>
      </c>
      <c r="E477" t="n">
        <v>2</v>
      </c>
      <c r="F477" t="inlineStr">
        <is>
          <t>ENFASIS</t>
        </is>
      </c>
      <c r="G477" t="inlineStr"/>
      <c r="H477" t="inlineStr">
        <is>
          <t>CNA</t>
        </is>
      </c>
      <c r="I477" t="inlineStr">
        <is>
          <t>0801</t>
        </is>
      </c>
      <c r="J477" t="inlineStr">
        <is>
          <t>EQUIPO DE 4: cada docente atiende un grupo de estudiantes en su área</t>
        </is>
      </c>
      <c r="K477" t="inlineStr">
        <is>
          <t>Samaniego Angulo Flor Mireya (ART); Valverde Montaño María Teresa (CAS); Cuero Bamba Berte Levi (ERD)</t>
        </is>
      </c>
      <c r="L477" t="inlineStr">
        <is>
          <t>ÉNFASIS 8°-1</t>
        </is>
      </c>
      <c r="M477" t="inlineStr">
        <is>
          <t>EQUIPO DE 4: cada docente atiende un grupo de estudiantes en su área · Con: Samaniego Angulo Flor Mireya (ART); Valverde Montaño María Teresa (CAS); Cuero Bamba Berte Levi (ERD)</t>
        </is>
      </c>
      <c r="N477">
        <f>C477&amp;"|"&amp;D477</f>
        <v/>
      </c>
      <c r="O477">
        <f>COUNTIF($N$2:N477,N477)</f>
        <v/>
      </c>
      <c r="P477">
        <f>N477&amp;"|"&amp;O477</f>
        <v/>
      </c>
      <c r="Q477">
        <f>C477&amp;"|"&amp;D477&amp;"|"&amp;A477</f>
        <v/>
      </c>
    </row>
    <row r="478">
      <c r="A478" t="n">
        <v>15</v>
      </c>
      <c r="B478" t="inlineStr">
        <is>
          <t>Cuero Bamba Berte Levi</t>
        </is>
      </c>
      <c r="C478" t="inlineStr">
        <is>
          <t>MIERCOLES</t>
        </is>
      </c>
      <c r="D478" t="n">
        <v>3</v>
      </c>
      <c r="E478" t="n">
        <v>2</v>
      </c>
      <c r="F478" t="inlineStr">
        <is>
          <t>ENFASIS</t>
        </is>
      </c>
      <c r="G478" t="inlineStr"/>
      <c r="H478" t="inlineStr">
        <is>
          <t>ERD</t>
        </is>
      </c>
      <c r="I478" t="inlineStr">
        <is>
          <t>0801</t>
        </is>
      </c>
      <c r="J478" t="inlineStr">
        <is>
          <t>EQUIPO DE 4: cada docente atiende un grupo de estudiantes en su área</t>
        </is>
      </c>
      <c r="K478" t="inlineStr">
        <is>
          <t>Samaniego Angulo Flor Mireya (ART); Valverde Montaño María Teresa (CAS); Chillambo Quiñones María Rocío (CNA)</t>
        </is>
      </c>
      <c r="L478" t="inlineStr">
        <is>
          <t>ÉNFASIS 8°-1</t>
        </is>
      </c>
      <c r="M478" t="inlineStr">
        <is>
          <t>EQUIPO DE 4: cada docente atiende un grupo de estudiantes en su área · Con: Samaniego Angulo Flor Mireya (ART); Valverde Montaño María Teresa (CAS); Chillambo Quiñones María Rocío (CNA)</t>
        </is>
      </c>
      <c r="N478">
        <f>C478&amp;"|"&amp;D478</f>
        <v/>
      </c>
      <c r="O478">
        <f>COUNTIF($N$2:N478,N478)</f>
        <v/>
      </c>
      <c r="P478">
        <f>N478&amp;"|"&amp;O478</f>
        <v/>
      </c>
      <c r="Q478">
        <f>C478&amp;"|"&amp;D478&amp;"|"&amp;A478</f>
        <v/>
      </c>
    </row>
    <row r="479">
      <c r="A479" t="n">
        <v>44</v>
      </c>
      <c r="B479" t="inlineStr">
        <is>
          <t>Samaniego Angulo Flor Mireya</t>
        </is>
      </c>
      <c r="C479" t="inlineStr">
        <is>
          <t>MIERCOLES</t>
        </is>
      </c>
      <c r="D479" t="n">
        <v>3</v>
      </c>
      <c r="E479" t="n">
        <v>2</v>
      </c>
      <c r="F479" t="inlineStr">
        <is>
          <t>ENFASIS</t>
        </is>
      </c>
      <c r="G479" t="inlineStr"/>
      <c r="H479" t="inlineStr">
        <is>
          <t>ART</t>
        </is>
      </c>
      <c r="I479" t="inlineStr">
        <is>
          <t>0801</t>
        </is>
      </c>
      <c r="J479" t="inlineStr">
        <is>
          <t>EQUIPO DE 4: cada docente atiende un grupo de estudiantes en su área</t>
        </is>
      </c>
      <c r="K479" t="inlineStr">
        <is>
          <t>Valverde Montaño María Teresa (CAS); Cuero Bamba Berte Levi (ERD); Chillambo Quiñones María Rocío (CNA)</t>
        </is>
      </c>
      <c r="L479" t="inlineStr">
        <is>
          <t>ÉNFASIS 8°-1</t>
        </is>
      </c>
      <c r="M479" t="inlineStr">
        <is>
          <t>EQUIPO DE 4: cada docente atiende un grupo de estudiantes en su área · Con: Valverde Montaño María Teresa (CAS); Cuero Bamba Berte Levi (ERD); Chillambo Quiñones María Rocío (CNA)</t>
        </is>
      </c>
      <c r="N479">
        <f>C479&amp;"|"&amp;D479</f>
        <v/>
      </c>
      <c r="O479">
        <f>COUNTIF($N$2:N479,N479)</f>
        <v/>
      </c>
      <c r="P479">
        <f>N479&amp;"|"&amp;O479</f>
        <v/>
      </c>
      <c r="Q479">
        <f>C479&amp;"|"&amp;D479&amp;"|"&amp;A479</f>
        <v/>
      </c>
    </row>
    <row r="480">
      <c r="A480" t="n">
        <v>51</v>
      </c>
      <c r="B480" t="inlineStr">
        <is>
          <t>Valverde Montaño María Teresa</t>
        </is>
      </c>
      <c r="C480" t="inlineStr">
        <is>
          <t>MIERCOLES</t>
        </is>
      </c>
      <c r="D480" t="n">
        <v>3</v>
      </c>
      <c r="E480" t="n">
        <v>2</v>
      </c>
      <c r="F480" t="inlineStr">
        <is>
          <t>ENFASIS</t>
        </is>
      </c>
      <c r="G480" t="inlineStr"/>
      <c r="H480" t="inlineStr">
        <is>
          <t>CAS</t>
        </is>
      </c>
      <c r="I480" t="inlineStr">
        <is>
          <t>0801</t>
        </is>
      </c>
      <c r="J480" t="inlineStr">
        <is>
          <t>EQUIPO DE 4: cada docente atiende un grupo de estudiantes en su área</t>
        </is>
      </c>
      <c r="K480" t="inlineStr">
        <is>
          <t>Samaniego Angulo Flor Mireya (ART); Cuero Bamba Berte Levi (ERD); Chillambo Quiñones María Rocío (CNA)</t>
        </is>
      </c>
      <c r="L480" t="inlineStr">
        <is>
          <t>ÉNFASIS 8°-1</t>
        </is>
      </c>
      <c r="M480" t="inlineStr">
        <is>
          <t>EQUIPO DE 4: cada docente atiende un grupo de estudiantes en su área · Con: Samaniego Angulo Flor Mireya (ART); Cuero Bamba Berte Levi (ERD); Chillambo Quiñones María Rocío (CNA)</t>
        </is>
      </c>
      <c r="N480">
        <f>C480&amp;"|"&amp;D480</f>
        <v/>
      </c>
      <c r="O480">
        <f>COUNTIF($N$2:N480,N480)</f>
        <v/>
      </c>
      <c r="P480">
        <f>N480&amp;"|"&amp;O480</f>
        <v/>
      </c>
      <c r="Q480">
        <f>C480&amp;"|"&amp;D480&amp;"|"&amp;A480</f>
        <v/>
      </c>
    </row>
    <row r="481">
      <c r="A481" t="n">
        <v>2</v>
      </c>
      <c r="B481" t="inlineStr">
        <is>
          <t>Angulo Lucero Andrés Mauricio</t>
        </is>
      </c>
      <c r="C481" t="inlineStr">
        <is>
          <t>MIERCOLES</t>
        </is>
      </c>
      <c r="D481" t="n">
        <v>3</v>
      </c>
      <c r="E481" t="n">
        <v>2</v>
      </c>
      <c r="F481" t="inlineStr">
        <is>
          <t>ENFASIS</t>
        </is>
      </c>
      <c r="G481" t="inlineStr"/>
      <c r="H481" t="inlineStr">
        <is>
          <t>TEI</t>
        </is>
      </c>
      <c r="I481" t="inlineStr">
        <is>
          <t>1102</t>
        </is>
      </c>
      <c r="J481" t="inlineStr">
        <is>
          <t>EQUIPO DE 4: cada docente atiende un grupo de estudiantes en su área</t>
        </is>
      </c>
      <c r="K481" t="inlineStr">
        <is>
          <t>Pulgarín Ortiz César Marino (CSI); Montaño Arizala Leidis Claudina (ETR); Villota Rubio Janeth del Carmen (MAT)</t>
        </is>
      </c>
      <c r="L481" t="inlineStr">
        <is>
          <t>ÉNFASIS 11°-2</t>
        </is>
      </c>
      <c r="M481" t="inlineStr">
        <is>
          <t>EQUIPO DE 4: cada docente atiende un grupo de estudiantes en su área · Con: Pulgarín Ortiz César Marino (CSI); Montaño Arizala Leidis Claudina (ETR); Villota Rubio Janeth del Carmen (MAT)</t>
        </is>
      </c>
      <c r="N481">
        <f>C481&amp;"|"&amp;D481</f>
        <v/>
      </c>
      <c r="O481">
        <f>COUNTIF($N$2:N481,N481)</f>
        <v/>
      </c>
      <c r="P481">
        <f>N481&amp;"|"&amp;O481</f>
        <v/>
      </c>
      <c r="Q481">
        <f>C481&amp;"|"&amp;D481&amp;"|"&amp;A481</f>
        <v/>
      </c>
    </row>
    <row r="482">
      <c r="A482" t="n">
        <v>31</v>
      </c>
      <c r="B482" t="inlineStr">
        <is>
          <t>Montaño Arizala Leidis Claudina</t>
        </is>
      </c>
      <c r="C482" t="inlineStr">
        <is>
          <t>MIERCOLES</t>
        </is>
      </c>
      <c r="D482" t="n">
        <v>3</v>
      </c>
      <c r="E482" t="n">
        <v>2</v>
      </c>
      <c r="F482" t="inlineStr">
        <is>
          <t>ENFASIS</t>
        </is>
      </c>
      <c r="G482" t="inlineStr"/>
      <c r="H482" t="inlineStr">
        <is>
          <t>ETR</t>
        </is>
      </c>
      <c r="I482" t="inlineStr">
        <is>
          <t>1102</t>
        </is>
      </c>
      <c r="J482" t="inlineStr">
        <is>
          <t>EQUIPO DE 4: cada docente atiende un grupo de estudiantes en su área</t>
        </is>
      </c>
      <c r="K482" t="inlineStr">
        <is>
          <t>Pulgarín Ortiz César Marino (CSI); Villota Rubio Janeth del Carmen (MAT); Angulo Lucero Andrés Mauricio (TEI)</t>
        </is>
      </c>
      <c r="L482" t="inlineStr">
        <is>
          <t>ÉNFASIS 11°-2</t>
        </is>
      </c>
      <c r="M482" t="inlineStr">
        <is>
          <t>EQUIPO DE 4: cada docente atiende un grupo de estudiantes en su área · Con: Pulgarín Ortiz César Marino (CSI); Villota Rubio Janeth del Carmen (MAT); Angulo Lucero Andrés Mauricio (TEI)</t>
        </is>
      </c>
      <c r="N482">
        <f>C482&amp;"|"&amp;D482</f>
        <v/>
      </c>
      <c r="O482">
        <f>COUNTIF($N$2:N482,N482)</f>
        <v/>
      </c>
      <c r="P482">
        <f>N482&amp;"|"&amp;O482</f>
        <v/>
      </c>
      <c r="Q482">
        <f>C482&amp;"|"&amp;D482&amp;"|"&amp;A482</f>
        <v/>
      </c>
    </row>
    <row r="483">
      <c r="A483" t="n">
        <v>40</v>
      </c>
      <c r="B483" t="inlineStr">
        <is>
          <t>Pulgarín Ortiz César Marino</t>
        </is>
      </c>
      <c r="C483" t="inlineStr">
        <is>
          <t>MIERCOLES</t>
        </is>
      </c>
      <c r="D483" t="n">
        <v>3</v>
      </c>
      <c r="E483" t="n">
        <v>2</v>
      </c>
      <c r="F483" t="inlineStr">
        <is>
          <t>ENFASIS</t>
        </is>
      </c>
      <c r="G483" t="inlineStr"/>
      <c r="H483" t="inlineStr">
        <is>
          <t>CSI</t>
        </is>
      </c>
      <c r="I483" t="inlineStr">
        <is>
          <t>1102</t>
        </is>
      </c>
      <c r="J483" t="inlineStr">
        <is>
          <t>EQUIPO DE 4: cada docente atiende un grupo de estudiantes en su área</t>
        </is>
      </c>
      <c r="K483" t="inlineStr">
        <is>
          <t>Montaño Arizala Leidis Claudina (ETR); Villota Rubio Janeth del Carmen (MAT); Angulo Lucero Andrés Mauricio (TEI)</t>
        </is>
      </c>
      <c r="L483" t="inlineStr">
        <is>
          <t>ÉNFASIS 11°-2</t>
        </is>
      </c>
      <c r="M483" t="inlineStr">
        <is>
          <t>EQUIPO DE 4: cada docente atiende un grupo de estudiantes en su área · Con: Montaño Arizala Leidis Claudina (ETR); Villota Rubio Janeth del Carmen (MAT); Angulo Lucero Andrés Mauricio (TEI)</t>
        </is>
      </c>
      <c r="N483">
        <f>C483&amp;"|"&amp;D483</f>
        <v/>
      </c>
      <c r="O483">
        <f>COUNTIF($N$2:N483,N483)</f>
        <v/>
      </c>
      <c r="P483">
        <f>N483&amp;"|"&amp;O483</f>
        <v/>
      </c>
      <c r="Q483">
        <f>C483&amp;"|"&amp;D483&amp;"|"&amp;A483</f>
        <v/>
      </c>
    </row>
    <row r="484">
      <c r="A484" t="n">
        <v>54</v>
      </c>
      <c r="B484" t="inlineStr">
        <is>
          <t>Villota Rubio Janeth del Carmen</t>
        </is>
      </c>
      <c r="C484" t="inlineStr">
        <is>
          <t>MIERCOLES</t>
        </is>
      </c>
      <c r="D484" t="n">
        <v>3</v>
      </c>
      <c r="E484" t="n">
        <v>2</v>
      </c>
      <c r="F484" t="inlineStr">
        <is>
          <t>ENFASIS</t>
        </is>
      </c>
      <c r="G484" t="inlineStr"/>
      <c r="H484" t="inlineStr">
        <is>
          <t>MAT</t>
        </is>
      </c>
      <c r="I484" t="inlineStr">
        <is>
          <t>1102</t>
        </is>
      </c>
      <c r="J484" t="inlineStr">
        <is>
          <t>EQUIPO DE 4: cada docente atiende un grupo de estudiantes en su área</t>
        </is>
      </c>
      <c r="K484" t="inlineStr">
        <is>
          <t>Pulgarín Ortiz César Marino (CSI); Montaño Arizala Leidis Claudina (ETR); Angulo Lucero Andrés Mauricio (TEI)</t>
        </is>
      </c>
      <c r="L484" t="inlineStr">
        <is>
          <t>ÉNFASIS 11°-2</t>
        </is>
      </c>
      <c r="M484" t="inlineStr">
        <is>
          <t>EQUIPO DE 4: cada docente atiende un grupo de estudiantes en su área · Con: Pulgarín Ortiz César Marino (CSI); Montaño Arizala Leidis Claudina (ETR); Angulo Lucero Andrés Mauricio (TEI)</t>
        </is>
      </c>
      <c r="N484">
        <f>C484&amp;"|"&amp;D484</f>
        <v/>
      </c>
      <c r="O484">
        <f>COUNTIF($N$2:N484,N484)</f>
        <v/>
      </c>
      <c r="P484">
        <f>N484&amp;"|"&amp;O484</f>
        <v/>
      </c>
      <c r="Q484">
        <f>C484&amp;"|"&amp;D484&amp;"|"&amp;A484</f>
        <v/>
      </c>
    </row>
    <row r="485">
      <c r="A485" t="n">
        <v>5</v>
      </c>
      <c r="B485" t="inlineStr">
        <is>
          <t>Bastidas Valencia Zeneida Judith</t>
        </is>
      </c>
      <c r="C485" t="inlineStr">
        <is>
          <t>MIERCOLES</t>
        </is>
      </c>
      <c r="D485" t="n">
        <v>3</v>
      </c>
      <c r="E485" t="n">
        <v>2</v>
      </c>
      <c r="F485" t="inlineStr">
        <is>
          <t>ENFASIS</t>
        </is>
      </c>
      <c r="G485" t="inlineStr"/>
      <c r="H485" t="inlineStr">
        <is>
          <t>MAT</t>
        </is>
      </c>
      <c r="I485" t="inlineStr">
        <is>
          <t>CS202</t>
        </is>
      </c>
      <c r="J485" t="inlineStr">
        <is>
          <t>EQUIPO DE 4: cada docente atiende un grupo de estudiantes en su área</t>
        </is>
      </c>
      <c r="K485" t="inlineStr">
        <is>
          <t>Betancourth Ocampo Yohana Patricia (CSI); Estacio Estupiñán Rosario (ETR); Mindineros Satizábal John Jáver (TEI)</t>
        </is>
      </c>
      <c r="L485" t="inlineStr">
        <is>
          <t>ÉNFASIS CS 2-2</t>
        </is>
      </c>
      <c r="M485" t="inlineStr">
        <is>
          <t>EQUIPO DE 4: cada docente atiende un grupo de estudiantes en su área · Con: Betancourth Ocampo Yohana Patricia (CSI); Estacio Estupiñán Rosario (ETR); Mindineros Satizábal John Jáver (TEI)</t>
        </is>
      </c>
      <c r="N485">
        <f>C485&amp;"|"&amp;D485</f>
        <v/>
      </c>
      <c r="O485">
        <f>COUNTIF($N$2:N485,N485)</f>
        <v/>
      </c>
      <c r="P485">
        <f>N485&amp;"|"&amp;O485</f>
        <v/>
      </c>
      <c r="Q485">
        <f>C485&amp;"|"&amp;D485&amp;"|"&amp;A485</f>
        <v/>
      </c>
    </row>
    <row r="486">
      <c r="A486" t="n">
        <v>6</v>
      </c>
      <c r="B486" t="inlineStr">
        <is>
          <t>Betancourth Ocampo Yohana Patricia</t>
        </is>
      </c>
      <c r="C486" t="inlineStr">
        <is>
          <t>MIERCOLES</t>
        </is>
      </c>
      <c r="D486" t="n">
        <v>3</v>
      </c>
      <c r="E486" t="n">
        <v>2</v>
      </c>
      <c r="F486" t="inlineStr">
        <is>
          <t>ENFASIS</t>
        </is>
      </c>
      <c r="G486" t="inlineStr"/>
      <c r="H486" t="inlineStr">
        <is>
          <t>CSI</t>
        </is>
      </c>
      <c r="I486" t="inlineStr">
        <is>
          <t>CS202</t>
        </is>
      </c>
      <c r="J486" t="inlineStr">
        <is>
          <t>EQUIPO DE 4: cada docente atiende un grupo de estudiantes en su área</t>
        </is>
      </c>
      <c r="K486" t="inlineStr">
        <is>
          <t>Estacio Estupiñán Rosario (ETR); Bastidas Valencia Zeneida Judith (MAT); Mindineros Satizábal John Jáver (TEI)</t>
        </is>
      </c>
      <c r="L486" t="inlineStr">
        <is>
          <t>ÉNFASIS CS 2-2</t>
        </is>
      </c>
      <c r="M486" t="inlineStr">
        <is>
          <t>EQUIPO DE 4: cada docente atiende un grupo de estudiantes en su área · Con: Estacio Estupiñán Rosario (ETR); Bastidas Valencia Zeneida Judith (MAT); Mindineros Satizábal John Jáver (TEI)</t>
        </is>
      </c>
      <c r="N486">
        <f>C486&amp;"|"&amp;D486</f>
        <v/>
      </c>
      <c r="O486">
        <f>COUNTIF($N$2:N486,N486)</f>
        <v/>
      </c>
      <c r="P486">
        <f>N486&amp;"|"&amp;O486</f>
        <v/>
      </c>
      <c r="Q486">
        <f>C486&amp;"|"&amp;D486&amp;"|"&amp;A486</f>
        <v/>
      </c>
    </row>
    <row r="487">
      <c r="A487" t="n">
        <v>18</v>
      </c>
      <c r="B487" t="inlineStr">
        <is>
          <t>Estacio Estupiñán Rosario</t>
        </is>
      </c>
      <c r="C487" t="inlineStr">
        <is>
          <t>MIERCOLES</t>
        </is>
      </c>
      <c r="D487" t="n">
        <v>3</v>
      </c>
      <c r="E487" t="n">
        <v>2</v>
      </c>
      <c r="F487" t="inlineStr">
        <is>
          <t>ENFASIS</t>
        </is>
      </c>
      <c r="G487" t="inlineStr"/>
      <c r="H487" t="inlineStr">
        <is>
          <t>ETR</t>
        </is>
      </c>
      <c r="I487" t="inlineStr">
        <is>
          <t>CS202</t>
        </is>
      </c>
      <c r="J487" t="inlineStr">
        <is>
          <t>EQUIPO DE 4: cada docente atiende un grupo de estudiantes en su área</t>
        </is>
      </c>
      <c r="K487" t="inlineStr">
        <is>
          <t>Betancourth Ocampo Yohana Patricia (CSI); Bastidas Valencia Zeneida Judith (MAT); Mindineros Satizábal John Jáver (TEI)</t>
        </is>
      </c>
      <c r="L487" t="inlineStr">
        <is>
          <t>ÉNFASIS CS 2-2</t>
        </is>
      </c>
      <c r="M487" t="inlineStr">
        <is>
          <t>EQUIPO DE 4: cada docente atiende un grupo de estudiantes en su área · Con: Betancourth Ocampo Yohana Patricia (CSI); Bastidas Valencia Zeneida Judith (MAT); Mindineros Satizábal John Jáver (TEI)</t>
        </is>
      </c>
      <c r="N487">
        <f>C487&amp;"|"&amp;D487</f>
        <v/>
      </c>
      <c r="O487">
        <f>COUNTIF($N$2:N487,N487)</f>
        <v/>
      </c>
      <c r="P487">
        <f>N487&amp;"|"&amp;O487</f>
        <v/>
      </c>
      <c r="Q487">
        <f>C487&amp;"|"&amp;D487&amp;"|"&amp;A487</f>
        <v/>
      </c>
    </row>
    <row r="488">
      <c r="A488" t="n">
        <v>29</v>
      </c>
      <c r="B488" t="inlineStr">
        <is>
          <t>Mindineros Satizábal John Jáver</t>
        </is>
      </c>
      <c r="C488" t="inlineStr">
        <is>
          <t>MIERCOLES</t>
        </is>
      </c>
      <c r="D488" t="n">
        <v>3</v>
      </c>
      <c r="E488" t="n">
        <v>2</v>
      </c>
      <c r="F488" t="inlineStr">
        <is>
          <t>ENFASIS</t>
        </is>
      </c>
      <c r="G488" t="inlineStr"/>
      <c r="H488" t="inlineStr">
        <is>
          <t>TEI</t>
        </is>
      </c>
      <c r="I488" t="inlineStr">
        <is>
          <t>CS202</t>
        </is>
      </c>
      <c r="J488" t="inlineStr">
        <is>
          <t>EQUIPO DE 4: cada docente atiende un grupo de estudiantes en su área</t>
        </is>
      </c>
      <c r="K488" t="inlineStr">
        <is>
          <t>Betancourth Ocampo Yohana Patricia (CSI); Estacio Estupiñán Rosario (ETR); Bastidas Valencia Zeneida Judith (MAT)</t>
        </is>
      </c>
      <c r="L488" t="inlineStr">
        <is>
          <t>ÉNFASIS CS 2-2</t>
        </is>
      </c>
      <c r="M488" t="inlineStr">
        <is>
          <t>EQUIPO DE 4: cada docente atiende un grupo de estudiantes en su área · Con: Betancourth Ocampo Yohana Patricia (CSI); Estacio Estupiñán Rosario (ETR); Bastidas Valencia Zeneida Judith (MAT)</t>
        </is>
      </c>
      <c r="N488">
        <f>C488&amp;"|"&amp;D488</f>
        <v/>
      </c>
      <c r="O488">
        <f>COUNTIF($N$2:N488,N488)</f>
        <v/>
      </c>
      <c r="P488">
        <f>N488&amp;"|"&amp;O488</f>
        <v/>
      </c>
      <c r="Q488">
        <f>C488&amp;"|"&amp;D488&amp;"|"&amp;A488</f>
        <v/>
      </c>
    </row>
    <row r="489">
      <c r="A489" t="n">
        <v>16</v>
      </c>
      <c r="B489" t="inlineStr">
        <is>
          <t>Cuero Rincón Hernando Jesús</t>
        </is>
      </c>
      <c r="C489" t="inlineStr">
        <is>
          <t>MIERCOLES</t>
        </is>
      </c>
      <c r="D489" t="n">
        <v>4</v>
      </c>
      <c r="E489" t="n">
        <v>2</v>
      </c>
      <c r="F489" t="inlineStr">
        <is>
          <t>CLASE</t>
        </is>
      </c>
      <c r="G489" t="inlineStr">
        <is>
          <t>0601</t>
        </is>
      </c>
      <c r="H489" t="inlineStr">
        <is>
          <t>CAS</t>
        </is>
      </c>
      <c r="I489" t="inlineStr"/>
      <c r="J489" t="inlineStr"/>
      <c r="K489" t="inlineStr"/>
      <c r="L489" t="inlineStr">
        <is>
          <t>6°-1</t>
        </is>
      </c>
      <c r="M489" t="inlineStr"/>
      <c r="N489">
        <f>C489&amp;"|"&amp;D489</f>
        <v/>
      </c>
      <c r="O489">
        <f>COUNTIF($N$2:N489,N489)</f>
        <v/>
      </c>
      <c r="P489">
        <f>N489&amp;"|"&amp;O489</f>
        <v/>
      </c>
      <c r="Q489">
        <f>C489&amp;"|"&amp;D489&amp;"|"&amp;A489</f>
        <v/>
      </c>
    </row>
    <row r="490">
      <c r="A490" t="n">
        <v>37</v>
      </c>
      <c r="B490" t="inlineStr">
        <is>
          <t>Prado Quiñones Genís Maribel</t>
        </is>
      </c>
      <c r="C490" t="inlineStr">
        <is>
          <t>MIERCOLES</t>
        </is>
      </c>
      <c r="D490" t="n">
        <v>4</v>
      </c>
      <c r="E490" t="n">
        <v>2</v>
      </c>
      <c r="F490" t="inlineStr">
        <is>
          <t>CLASE</t>
        </is>
      </c>
      <c r="G490" t="inlineStr">
        <is>
          <t>0602</t>
        </is>
      </c>
      <c r="H490" t="inlineStr">
        <is>
          <t>ART</t>
        </is>
      </c>
      <c r="I490" t="inlineStr"/>
      <c r="J490" t="inlineStr"/>
      <c r="K490" t="inlineStr"/>
      <c r="L490" t="inlineStr">
        <is>
          <t>6°-2</t>
        </is>
      </c>
      <c r="M490" t="inlineStr"/>
      <c r="N490">
        <f>C490&amp;"|"&amp;D490</f>
        <v/>
      </c>
      <c r="O490">
        <f>COUNTIF($N$2:N490,N490)</f>
        <v/>
      </c>
      <c r="P490">
        <f>N490&amp;"|"&amp;O490</f>
        <v/>
      </c>
      <c r="Q490">
        <f>C490&amp;"|"&amp;D490&amp;"|"&amp;A490</f>
        <v/>
      </c>
    </row>
    <row r="491">
      <c r="A491" t="n">
        <v>10</v>
      </c>
      <c r="B491" t="inlineStr">
        <is>
          <t>Castillo Cuero Daira Eneida</t>
        </is>
      </c>
      <c r="C491" t="inlineStr">
        <is>
          <t>MIERCOLES</t>
        </is>
      </c>
      <c r="D491" t="n">
        <v>4</v>
      </c>
      <c r="E491" t="n">
        <v>2</v>
      </c>
      <c r="F491" t="inlineStr">
        <is>
          <t>CLASE</t>
        </is>
      </c>
      <c r="G491" t="inlineStr">
        <is>
          <t>0701</t>
        </is>
      </c>
      <c r="H491" t="inlineStr">
        <is>
          <t>CAS</t>
        </is>
      </c>
      <c r="I491" t="inlineStr"/>
      <c r="J491" t="inlineStr"/>
      <c r="K491" t="inlineStr"/>
      <c r="L491" t="inlineStr">
        <is>
          <t>7°-1</t>
        </is>
      </c>
      <c r="M491" t="inlineStr"/>
      <c r="N491">
        <f>C491&amp;"|"&amp;D491</f>
        <v/>
      </c>
      <c r="O491">
        <f>COUNTIF($N$2:N491,N491)</f>
        <v/>
      </c>
      <c r="P491">
        <f>N491&amp;"|"&amp;O491</f>
        <v/>
      </c>
      <c r="Q491">
        <f>C491&amp;"|"&amp;D491&amp;"|"&amp;A491</f>
        <v/>
      </c>
    </row>
    <row r="492">
      <c r="A492" t="n">
        <v>39</v>
      </c>
      <c r="B492" t="inlineStr">
        <is>
          <t>Puches Ana Milena</t>
        </is>
      </c>
      <c r="C492" t="inlineStr">
        <is>
          <t>MIERCOLES</t>
        </is>
      </c>
      <c r="D492" t="n">
        <v>4</v>
      </c>
      <c r="E492" t="n">
        <v>2</v>
      </c>
      <c r="F492" t="inlineStr">
        <is>
          <t>CLASE</t>
        </is>
      </c>
      <c r="G492" t="inlineStr">
        <is>
          <t>0702</t>
        </is>
      </c>
      <c r="H492" t="inlineStr">
        <is>
          <t>ART</t>
        </is>
      </c>
      <c r="I492" t="inlineStr"/>
      <c r="J492" t="inlineStr"/>
      <c r="K492" t="inlineStr"/>
      <c r="L492" t="inlineStr">
        <is>
          <t>7°-2</t>
        </is>
      </c>
      <c r="M492" t="inlineStr"/>
      <c r="N492">
        <f>C492&amp;"|"&amp;D492</f>
        <v/>
      </c>
      <c r="O492">
        <f>COUNTIF($N$2:N492,N492)</f>
        <v/>
      </c>
      <c r="P492">
        <f>N492&amp;"|"&amp;O492</f>
        <v/>
      </c>
      <c r="Q492">
        <f>C492&amp;"|"&amp;D492&amp;"|"&amp;A492</f>
        <v/>
      </c>
    </row>
    <row r="493">
      <c r="A493" t="n">
        <v>34</v>
      </c>
      <c r="B493" t="inlineStr">
        <is>
          <t>Ordóñez Tenorio Jaime Marcial</t>
        </is>
      </c>
      <c r="C493" t="inlineStr">
        <is>
          <t>MIERCOLES</t>
        </is>
      </c>
      <c r="D493" t="n">
        <v>4</v>
      </c>
      <c r="E493" t="n">
        <v>2</v>
      </c>
      <c r="F493" t="inlineStr">
        <is>
          <t>CLASE</t>
        </is>
      </c>
      <c r="G493" t="inlineStr">
        <is>
          <t>0703</t>
        </is>
      </c>
      <c r="H493" t="inlineStr">
        <is>
          <t>CNA</t>
        </is>
      </c>
      <c r="I493" t="inlineStr"/>
      <c r="J493" t="inlineStr"/>
      <c r="K493" t="inlineStr"/>
      <c r="L493" t="inlineStr">
        <is>
          <t>7°-3</t>
        </is>
      </c>
      <c r="M493" t="inlineStr"/>
      <c r="N493">
        <f>C493&amp;"|"&amp;D493</f>
        <v/>
      </c>
      <c r="O493">
        <f>COUNTIF($N$2:N493,N493)</f>
        <v/>
      </c>
      <c r="P493">
        <f>N493&amp;"|"&amp;O493</f>
        <v/>
      </c>
      <c r="Q493">
        <f>C493&amp;"|"&amp;D493&amp;"|"&amp;A493</f>
        <v/>
      </c>
    </row>
    <row r="494">
      <c r="A494" t="n">
        <v>4</v>
      </c>
      <c r="B494" t="inlineStr">
        <is>
          <t>Arizala Castro Roberto Carlos</t>
        </is>
      </c>
      <c r="C494" t="inlineStr">
        <is>
          <t>MIERCOLES</t>
        </is>
      </c>
      <c r="D494" t="n">
        <v>4</v>
      </c>
      <c r="E494" t="n">
        <v>2</v>
      </c>
      <c r="F494" t="inlineStr">
        <is>
          <t>CLASE</t>
        </is>
      </c>
      <c r="G494" t="inlineStr">
        <is>
          <t>0704</t>
        </is>
      </c>
      <c r="H494" t="inlineStr">
        <is>
          <t>ERD</t>
        </is>
      </c>
      <c r="I494" t="inlineStr"/>
      <c r="J494" t="inlineStr"/>
      <c r="K494" t="inlineStr"/>
      <c r="L494" t="inlineStr">
        <is>
          <t>7°-4</t>
        </is>
      </c>
      <c r="M494" t="inlineStr"/>
      <c r="N494">
        <f>C494&amp;"|"&amp;D494</f>
        <v/>
      </c>
      <c r="O494">
        <f>COUNTIF($N$2:N494,N494)</f>
        <v/>
      </c>
      <c r="P494">
        <f>N494&amp;"|"&amp;O494</f>
        <v/>
      </c>
      <c r="Q494">
        <f>C494&amp;"|"&amp;D494&amp;"|"&amp;A494</f>
        <v/>
      </c>
    </row>
    <row r="495">
      <c r="A495" t="n">
        <v>35</v>
      </c>
      <c r="B495" t="inlineStr">
        <is>
          <t>Ortiz Araujo Adiela Carlota</t>
        </is>
      </c>
      <c r="C495" t="inlineStr">
        <is>
          <t>MIERCOLES</t>
        </is>
      </c>
      <c r="D495" t="n">
        <v>4</v>
      </c>
      <c r="E495" t="n">
        <v>2</v>
      </c>
      <c r="F495" t="inlineStr">
        <is>
          <t>CLASE</t>
        </is>
      </c>
      <c r="G495" t="inlineStr">
        <is>
          <t>0802</t>
        </is>
      </c>
      <c r="H495" t="inlineStr">
        <is>
          <t>CSI</t>
        </is>
      </c>
      <c r="I495" t="inlineStr"/>
      <c r="J495" t="inlineStr">
        <is>
          <t>Sociales / Inglés (alternan cada semana)</t>
        </is>
      </c>
      <c r="K495" t="inlineStr"/>
      <c r="L495" t="inlineStr">
        <is>
          <t>8°-2</t>
        </is>
      </c>
      <c r="M495" t="inlineStr">
        <is>
          <t>Sociales / Inglés (alternan cada semana)</t>
        </is>
      </c>
      <c r="N495">
        <f>C495&amp;"|"&amp;D495</f>
        <v/>
      </c>
      <c r="O495">
        <f>COUNTIF($N$2:N495,N495)</f>
        <v/>
      </c>
      <c r="P495">
        <f>N495&amp;"|"&amp;O495</f>
        <v/>
      </c>
      <c r="Q495">
        <f>C495&amp;"|"&amp;D495&amp;"|"&amp;A495</f>
        <v/>
      </c>
    </row>
    <row r="496">
      <c r="A496" t="n">
        <v>49</v>
      </c>
      <c r="B496" t="inlineStr">
        <is>
          <t>Valencia Marínez Saidy Eufemia</t>
        </is>
      </c>
      <c r="C496" t="inlineStr">
        <is>
          <t>MIERCOLES</t>
        </is>
      </c>
      <c r="D496" t="n">
        <v>4</v>
      </c>
      <c r="E496" t="n">
        <v>2</v>
      </c>
      <c r="F496" t="inlineStr">
        <is>
          <t>CLASE</t>
        </is>
      </c>
      <c r="G496" t="inlineStr">
        <is>
          <t>0901</t>
        </is>
      </c>
      <c r="H496" t="inlineStr">
        <is>
          <t>ART</t>
        </is>
      </c>
      <c r="I496" t="inlineStr"/>
      <c r="J496" t="inlineStr"/>
      <c r="K496" t="inlineStr"/>
      <c r="L496" t="inlineStr">
        <is>
          <t>9°-1</t>
        </is>
      </c>
      <c r="M496" t="inlineStr"/>
      <c r="N496">
        <f>C496&amp;"|"&amp;D496</f>
        <v/>
      </c>
      <c r="O496">
        <f>COUNTIF($N$2:N496,N496)</f>
        <v/>
      </c>
      <c r="P496">
        <f>N496&amp;"|"&amp;O496</f>
        <v/>
      </c>
      <c r="Q496">
        <f>C496&amp;"|"&amp;D496&amp;"|"&amp;A496</f>
        <v/>
      </c>
    </row>
    <row r="497">
      <c r="A497" t="n">
        <v>22</v>
      </c>
      <c r="B497" t="inlineStr">
        <is>
          <t>González Castillo Jólmer Jimy</t>
        </is>
      </c>
      <c r="C497" t="inlineStr">
        <is>
          <t>MIERCOLES</t>
        </is>
      </c>
      <c r="D497" t="n">
        <v>4</v>
      </c>
      <c r="E497" t="n">
        <v>2</v>
      </c>
      <c r="F497" t="inlineStr">
        <is>
          <t>CLASE</t>
        </is>
      </c>
      <c r="G497" t="inlineStr">
        <is>
          <t>0902</t>
        </is>
      </c>
      <c r="H497" t="inlineStr">
        <is>
          <t>ERD</t>
        </is>
      </c>
      <c r="I497" t="inlineStr"/>
      <c r="J497" t="inlineStr"/>
      <c r="K497" t="inlineStr"/>
      <c r="L497" t="inlineStr">
        <is>
          <t>9°-2</t>
        </is>
      </c>
      <c r="M497" t="inlineStr"/>
      <c r="N497">
        <f>C497&amp;"|"&amp;D497</f>
        <v/>
      </c>
      <c r="O497">
        <f>COUNTIF($N$2:N497,N497)</f>
        <v/>
      </c>
      <c r="P497">
        <f>N497&amp;"|"&amp;O497</f>
        <v/>
      </c>
      <c r="Q497">
        <f>C497&amp;"|"&amp;D497&amp;"|"&amp;A497</f>
        <v/>
      </c>
    </row>
    <row r="498">
      <c r="A498" t="n">
        <v>28</v>
      </c>
      <c r="B498" t="inlineStr">
        <is>
          <t>Meza Banguera Gladys Alicia</t>
        </is>
      </c>
      <c r="C498" t="inlineStr">
        <is>
          <t>MIERCOLES</t>
        </is>
      </c>
      <c r="D498" t="n">
        <v>4</v>
      </c>
      <c r="E498" t="n">
        <v>2</v>
      </c>
      <c r="F498" t="inlineStr">
        <is>
          <t>CLASE</t>
        </is>
      </c>
      <c r="G498" t="inlineStr">
        <is>
          <t>1001</t>
        </is>
      </c>
      <c r="H498" t="inlineStr">
        <is>
          <t>CAS</t>
        </is>
      </c>
      <c r="I498" t="inlineStr"/>
      <c r="J498" t="inlineStr"/>
      <c r="K498" t="inlineStr"/>
      <c r="L498" t="inlineStr">
        <is>
          <t>10°-1</t>
        </is>
      </c>
      <c r="M498" t="inlineStr"/>
      <c r="N498">
        <f>C498&amp;"|"&amp;D498</f>
        <v/>
      </c>
      <c r="O498">
        <f>COUNTIF($N$2:N498,N498)</f>
        <v/>
      </c>
      <c r="P498">
        <f>N498&amp;"|"&amp;O498</f>
        <v/>
      </c>
      <c r="Q498">
        <f>C498&amp;"|"&amp;D498&amp;"|"&amp;A498</f>
        <v/>
      </c>
    </row>
    <row r="499">
      <c r="A499" t="n">
        <v>30</v>
      </c>
      <c r="B499" t="inlineStr">
        <is>
          <t>Montaño Anchico Favio Héctor</t>
        </is>
      </c>
      <c r="C499" t="inlineStr">
        <is>
          <t>MIERCOLES</t>
        </is>
      </c>
      <c r="D499" t="n">
        <v>4</v>
      </c>
      <c r="E499" t="n">
        <v>2</v>
      </c>
      <c r="F499" t="inlineStr">
        <is>
          <t>CLASE</t>
        </is>
      </c>
      <c r="G499" t="inlineStr">
        <is>
          <t>1002</t>
        </is>
      </c>
      <c r="H499" t="inlineStr">
        <is>
          <t>CAS</t>
        </is>
      </c>
      <c r="I499" t="inlineStr"/>
      <c r="J499" t="inlineStr"/>
      <c r="K499" t="inlineStr"/>
      <c r="L499" t="inlineStr">
        <is>
          <t>10°-2</t>
        </is>
      </c>
      <c r="M499" t="inlineStr"/>
      <c r="N499">
        <f>C499&amp;"|"&amp;D499</f>
        <v/>
      </c>
      <c r="O499">
        <f>COUNTIF($N$2:N499,N499)</f>
        <v/>
      </c>
      <c r="P499">
        <f>N499&amp;"|"&amp;O499</f>
        <v/>
      </c>
      <c r="Q499">
        <f>C499&amp;"|"&amp;D499&amp;"|"&amp;A499</f>
        <v/>
      </c>
    </row>
    <row r="500">
      <c r="A500" t="n">
        <v>3</v>
      </c>
      <c r="B500" t="inlineStr">
        <is>
          <t>Arboleda Ortiz Luz América</t>
        </is>
      </c>
      <c r="C500" t="inlineStr">
        <is>
          <t>MIERCOLES</t>
        </is>
      </c>
      <c r="D500" t="n">
        <v>4</v>
      </c>
      <c r="E500" t="n">
        <v>2</v>
      </c>
      <c r="F500" t="inlineStr">
        <is>
          <t>CLASE</t>
        </is>
      </c>
      <c r="G500" t="inlineStr">
        <is>
          <t>1101</t>
        </is>
      </c>
      <c r="H500" t="inlineStr">
        <is>
          <t>ART</t>
        </is>
      </c>
      <c r="I500" t="inlineStr"/>
      <c r="J500" t="inlineStr"/>
      <c r="K500" t="inlineStr"/>
      <c r="L500" t="inlineStr">
        <is>
          <t>11°-1</t>
        </is>
      </c>
      <c r="M500" t="inlineStr"/>
      <c r="N500">
        <f>C500&amp;"|"&amp;D500</f>
        <v/>
      </c>
      <c r="O500">
        <f>COUNTIF($N$2:N500,N500)</f>
        <v/>
      </c>
      <c r="P500">
        <f>N500&amp;"|"&amp;O500</f>
        <v/>
      </c>
      <c r="Q500">
        <f>C500&amp;"|"&amp;D500&amp;"|"&amp;A500</f>
        <v/>
      </c>
    </row>
    <row r="501">
      <c r="A501" t="n">
        <v>4</v>
      </c>
      <c r="B501" t="inlineStr">
        <is>
          <t>Arizala Castro Roberto Carlos</t>
        </is>
      </c>
      <c r="C501" t="inlineStr">
        <is>
          <t>MIERCOLES</t>
        </is>
      </c>
      <c r="D501" t="n">
        <v>4</v>
      </c>
      <c r="E501" t="n">
        <v>2</v>
      </c>
      <c r="F501" t="inlineStr">
        <is>
          <t>CLASE</t>
        </is>
      </c>
      <c r="G501" t="inlineStr">
        <is>
          <t>CS101</t>
        </is>
      </c>
      <c r="H501" t="inlineStr">
        <is>
          <t>CNA</t>
        </is>
      </c>
      <c r="I501" t="inlineStr"/>
      <c r="J501" t="inlineStr"/>
      <c r="K501" t="inlineStr"/>
      <c r="L501" t="inlineStr">
        <is>
          <t>CS 1-1</t>
        </is>
      </c>
      <c r="M501" t="inlineStr"/>
      <c r="N501">
        <f>C501&amp;"|"&amp;D501</f>
        <v/>
      </c>
      <c r="O501">
        <f>COUNTIF($N$2:N501,N501)</f>
        <v/>
      </c>
      <c r="P501">
        <f>N501&amp;"|"&amp;O501</f>
        <v/>
      </c>
      <c r="Q501">
        <f>C501&amp;"|"&amp;D501&amp;"|"&amp;A501</f>
        <v/>
      </c>
    </row>
    <row r="502">
      <c r="A502" t="n">
        <v>20</v>
      </c>
      <c r="B502" t="inlineStr">
        <is>
          <t>García Gobea Saydi Magali</t>
        </is>
      </c>
      <c r="C502" t="inlineStr">
        <is>
          <t>MIERCOLES</t>
        </is>
      </c>
      <c r="D502" t="n">
        <v>4</v>
      </c>
      <c r="E502" t="n">
        <v>2</v>
      </c>
      <c r="F502" t="inlineStr">
        <is>
          <t>CLASE</t>
        </is>
      </c>
      <c r="G502" t="inlineStr">
        <is>
          <t>CS102</t>
        </is>
      </c>
      <c r="H502" t="inlineStr">
        <is>
          <t>CSI</t>
        </is>
      </c>
      <c r="I502" t="inlineStr"/>
      <c r="J502" t="inlineStr">
        <is>
          <t>Sociales / Inglés (alternan cada semana)</t>
        </is>
      </c>
      <c r="K502" t="inlineStr"/>
      <c r="L502" t="inlineStr">
        <is>
          <t>CS 1-2</t>
        </is>
      </c>
      <c r="M502" t="inlineStr">
        <is>
          <t>Sociales / Inglés (alternan cada semana)</t>
        </is>
      </c>
      <c r="N502">
        <f>C502&amp;"|"&amp;D502</f>
        <v/>
      </c>
      <c r="O502">
        <f>COUNTIF($N$2:N502,N502)</f>
        <v/>
      </c>
      <c r="P502">
        <f>N502&amp;"|"&amp;O502</f>
        <v/>
      </c>
      <c r="Q502">
        <f>C502&amp;"|"&amp;D502&amp;"|"&amp;A502</f>
        <v/>
      </c>
    </row>
    <row r="503">
      <c r="A503" t="n">
        <v>9</v>
      </c>
      <c r="B503" t="inlineStr">
        <is>
          <t>Castillo Angulo Martha Cecilia</t>
        </is>
      </c>
      <c r="C503" t="inlineStr">
        <is>
          <t>MIERCOLES</t>
        </is>
      </c>
      <c r="D503" t="n">
        <v>4</v>
      </c>
      <c r="E503" t="n">
        <v>2</v>
      </c>
      <c r="F503" t="inlineStr">
        <is>
          <t>CLASE</t>
        </is>
      </c>
      <c r="G503" t="inlineStr">
        <is>
          <t>CS201</t>
        </is>
      </c>
      <c r="H503" t="inlineStr">
        <is>
          <t>ETR</t>
        </is>
      </c>
      <c r="I503" t="inlineStr"/>
      <c r="J503" t="inlineStr">
        <is>
          <t>Ética / Religión (alternan cada semana)</t>
        </is>
      </c>
      <c r="K503" t="inlineStr"/>
      <c r="L503" t="inlineStr">
        <is>
          <t>CS 2-1</t>
        </is>
      </c>
      <c r="M503" t="inlineStr">
        <is>
          <t>Ética / Religión (alternan cada semana)</t>
        </is>
      </c>
      <c r="N503">
        <f>C503&amp;"|"&amp;D503</f>
        <v/>
      </c>
      <c r="O503">
        <f>COUNTIF($N$2:N503,N503)</f>
        <v/>
      </c>
      <c r="P503">
        <f>N503&amp;"|"&amp;O503</f>
        <v/>
      </c>
      <c r="Q503">
        <f>C503&amp;"|"&amp;D503&amp;"|"&amp;A503</f>
        <v/>
      </c>
    </row>
    <row r="504">
      <c r="A504" t="n">
        <v>12</v>
      </c>
      <c r="B504" t="inlineStr">
        <is>
          <t>Chillambo Quiñones María Rocío</t>
        </is>
      </c>
      <c r="C504" t="inlineStr">
        <is>
          <t>MIERCOLES</t>
        </is>
      </c>
      <c r="D504" t="n">
        <v>4</v>
      </c>
      <c r="E504" t="n">
        <v>2</v>
      </c>
      <c r="F504" t="inlineStr">
        <is>
          <t>ENFASIS</t>
        </is>
      </c>
      <c r="G504" t="inlineStr"/>
      <c r="H504" t="inlineStr">
        <is>
          <t>CNA</t>
        </is>
      </c>
      <c r="I504" t="inlineStr">
        <is>
          <t>0801</t>
        </is>
      </c>
      <c r="J504" t="inlineStr">
        <is>
          <t>EQUIPO DE 4: cada docente atiende un grupo de estudiantes en su área</t>
        </is>
      </c>
      <c r="K504" t="inlineStr">
        <is>
          <t>Samaniego Angulo Flor Mireya (ART); Valverde Montaño María Teresa (CAS); Cuero Bamba Berte Levi (ERD)</t>
        </is>
      </c>
      <c r="L504" t="inlineStr">
        <is>
          <t>ÉNFASIS 8°-1</t>
        </is>
      </c>
      <c r="M504" t="inlineStr">
        <is>
          <t>EQUIPO DE 4: cada docente atiende un grupo de estudiantes en su área · Con: Samaniego Angulo Flor Mireya (ART); Valverde Montaño María Teresa (CAS); Cuero Bamba Berte Levi (ERD)</t>
        </is>
      </c>
      <c r="N504">
        <f>C504&amp;"|"&amp;D504</f>
        <v/>
      </c>
      <c r="O504">
        <f>COUNTIF($N$2:N504,N504)</f>
        <v/>
      </c>
      <c r="P504">
        <f>N504&amp;"|"&amp;O504</f>
        <v/>
      </c>
      <c r="Q504">
        <f>C504&amp;"|"&amp;D504&amp;"|"&amp;A504</f>
        <v/>
      </c>
    </row>
    <row r="505">
      <c r="A505" t="n">
        <v>15</v>
      </c>
      <c r="B505" t="inlineStr">
        <is>
          <t>Cuero Bamba Berte Levi</t>
        </is>
      </c>
      <c r="C505" t="inlineStr">
        <is>
          <t>MIERCOLES</t>
        </is>
      </c>
      <c r="D505" t="n">
        <v>4</v>
      </c>
      <c r="E505" t="n">
        <v>2</v>
      </c>
      <c r="F505" t="inlineStr">
        <is>
          <t>ENFASIS</t>
        </is>
      </c>
      <c r="G505" t="inlineStr"/>
      <c r="H505" t="inlineStr">
        <is>
          <t>ERD</t>
        </is>
      </c>
      <c r="I505" t="inlineStr">
        <is>
          <t>0801</t>
        </is>
      </c>
      <c r="J505" t="inlineStr">
        <is>
          <t>EQUIPO DE 4: cada docente atiende un grupo de estudiantes en su área</t>
        </is>
      </c>
      <c r="K505" t="inlineStr">
        <is>
          <t>Samaniego Angulo Flor Mireya (ART); Valverde Montaño María Teresa (CAS); Chillambo Quiñones María Rocío (CNA)</t>
        </is>
      </c>
      <c r="L505" t="inlineStr">
        <is>
          <t>ÉNFASIS 8°-1</t>
        </is>
      </c>
      <c r="M505" t="inlineStr">
        <is>
          <t>EQUIPO DE 4: cada docente atiende un grupo de estudiantes en su área · Con: Samaniego Angulo Flor Mireya (ART); Valverde Montaño María Teresa (CAS); Chillambo Quiñones María Rocío (CNA)</t>
        </is>
      </c>
      <c r="N505">
        <f>C505&amp;"|"&amp;D505</f>
        <v/>
      </c>
      <c r="O505">
        <f>COUNTIF($N$2:N505,N505)</f>
        <v/>
      </c>
      <c r="P505">
        <f>N505&amp;"|"&amp;O505</f>
        <v/>
      </c>
      <c r="Q505">
        <f>C505&amp;"|"&amp;D505&amp;"|"&amp;A505</f>
        <v/>
      </c>
    </row>
    <row r="506">
      <c r="A506" t="n">
        <v>44</v>
      </c>
      <c r="B506" t="inlineStr">
        <is>
          <t>Samaniego Angulo Flor Mireya</t>
        </is>
      </c>
      <c r="C506" t="inlineStr">
        <is>
          <t>MIERCOLES</t>
        </is>
      </c>
      <c r="D506" t="n">
        <v>4</v>
      </c>
      <c r="E506" t="n">
        <v>2</v>
      </c>
      <c r="F506" t="inlineStr">
        <is>
          <t>ENFASIS</t>
        </is>
      </c>
      <c r="G506" t="inlineStr"/>
      <c r="H506" t="inlineStr">
        <is>
          <t>ART</t>
        </is>
      </c>
      <c r="I506" t="inlineStr">
        <is>
          <t>0801</t>
        </is>
      </c>
      <c r="J506" t="inlineStr">
        <is>
          <t>EQUIPO DE 4: cada docente atiende un grupo de estudiantes en su área</t>
        </is>
      </c>
      <c r="K506" t="inlineStr">
        <is>
          <t>Valverde Montaño María Teresa (CAS); Cuero Bamba Berte Levi (ERD); Chillambo Quiñones María Rocío (CNA)</t>
        </is>
      </c>
      <c r="L506" t="inlineStr">
        <is>
          <t>ÉNFASIS 8°-1</t>
        </is>
      </c>
      <c r="M506" t="inlineStr">
        <is>
          <t>EQUIPO DE 4: cada docente atiende un grupo de estudiantes en su área · Con: Valverde Montaño María Teresa (CAS); Cuero Bamba Berte Levi (ERD); Chillambo Quiñones María Rocío (CNA)</t>
        </is>
      </c>
      <c r="N506">
        <f>C506&amp;"|"&amp;D506</f>
        <v/>
      </c>
      <c r="O506">
        <f>COUNTIF($N$2:N506,N506)</f>
        <v/>
      </c>
      <c r="P506">
        <f>N506&amp;"|"&amp;O506</f>
        <v/>
      </c>
      <c r="Q506">
        <f>C506&amp;"|"&amp;D506&amp;"|"&amp;A506</f>
        <v/>
      </c>
    </row>
    <row r="507">
      <c r="A507" t="n">
        <v>51</v>
      </c>
      <c r="B507" t="inlineStr">
        <is>
          <t>Valverde Montaño María Teresa</t>
        </is>
      </c>
      <c r="C507" t="inlineStr">
        <is>
          <t>MIERCOLES</t>
        </is>
      </c>
      <c r="D507" t="n">
        <v>4</v>
      </c>
      <c r="E507" t="n">
        <v>2</v>
      </c>
      <c r="F507" t="inlineStr">
        <is>
          <t>ENFASIS</t>
        </is>
      </c>
      <c r="G507" t="inlineStr"/>
      <c r="H507" t="inlineStr">
        <is>
          <t>CAS</t>
        </is>
      </c>
      <c r="I507" t="inlineStr">
        <is>
          <t>0801</t>
        </is>
      </c>
      <c r="J507" t="inlineStr">
        <is>
          <t>EQUIPO DE 4: cada docente atiende un grupo de estudiantes en su área</t>
        </is>
      </c>
      <c r="K507" t="inlineStr">
        <is>
          <t>Samaniego Angulo Flor Mireya (ART); Cuero Bamba Berte Levi (ERD); Chillambo Quiñones María Rocío (CNA)</t>
        </is>
      </c>
      <c r="L507" t="inlineStr">
        <is>
          <t>ÉNFASIS 8°-1</t>
        </is>
      </c>
      <c r="M507" t="inlineStr">
        <is>
          <t>EQUIPO DE 4: cada docente atiende un grupo de estudiantes en su área · Con: Samaniego Angulo Flor Mireya (ART); Cuero Bamba Berte Levi (ERD); Chillambo Quiñones María Rocío (CNA)</t>
        </is>
      </c>
      <c r="N507">
        <f>C507&amp;"|"&amp;D507</f>
        <v/>
      </c>
      <c r="O507">
        <f>COUNTIF($N$2:N507,N507)</f>
        <v/>
      </c>
      <c r="P507">
        <f>N507&amp;"|"&amp;O507</f>
        <v/>
      </c>
      <c r="Q507">
        <f>C507&amp;"|"&amp;D507&amp;"|"&amp;A507</f>
        <v/>
      </c>
    </row>
    <row r="508">
      <c r="A508" t="n">
        <v>2</v>
      </c>
      <c r="B508" t="inlineStr">
        <is>
          <t>Angulo Lucero Andrés Mauricio</t>
        </is>
      </c>
      <c r="C508" t="inlineStr">
        <is>
          <t>MIERCOLES</t>
        </is>
      </c>
      <c r="D508" t="n">
        <v>4</v>
      </c>
      <c r="E508" t="n">
        <v>2</v>
      </c>
      <c r="F508" t="inlineStr">
        <is>
          <t>ENFASIS</t>
        </is>
      </c>
      <c r="G508" t="inlineStr"/>
      <c r="H508" t="inlineStr">
        <is>
          <t>TEI</t>
        </is>
      </c>
      <c r="I508" t="inlineStr">
        <is>
          <t>1102</t>
        </is>
      </c>
      <c r="J508" t="inlineStr">
        <is>
          <t>EQUIPO DE 4: cada docente atiende un grupo de estudiantes en su área</t>
        </is>
      </c>
      <c r="K508" t="inlineStr">
        <is>
          <t>Pulgarín Ortiz César Marino (CSI); Montaño Arizala Leidis Claudina (ETR); Villota Rubio Janeth del Carmen (MAT)</t>
        </is>
      </c>
      <c r="L508" t="inlineStr">
        <is>
          <t>ÉNFASIS 11°-2</t>
        </is>
      </c>
      <c r="M508" t="inlineStr">
        <is>
          <t>EQUIPO DE 4: cada docente atiende un grupo de estudiantes en su área · Con: Pulgarín Ortiz César Marino (CSI); Montaño Arizala Leidis Claudina (ETR); Villota Rubio Janeth del Carmen (MAT)</t>
        </is>
      </c>
      <c r="N508">
        <f>C508&amp;"|"&amp;D508</f>
        <v/>
      </c>
      <c r="O508">
        <f>COUNTIF($N$2:N508,N508)</f>
        <v/>
      </c>
      <c r="P508">
        <f>N508&amp;"|"&amp;O508</f>
        <v/>
      </c>
      <c r="Q508">
        <f>C508&amp;"|"&amp;D508&amp;"|"&amp;A508</f>
        <v/>
      </c>
    </row>
    <row r="509">
      <c r="A509" t="n">
        <v>31</v>
      </c>
      <c r="B509" t="inlineStr">
        <is>
          <t>Montaño Arizala Leidis Claudina</t>
        </is>
      </c>
      <c r="C509" t="inlineStr">
        <is>
          <t>MIERCOLES</t>
        </is>
      </c>
      <c r="D509" t="n">
        <v>4</v>
      </c>
      <c r="E509" t="n">
        <v>2</v>
      </c>
      <c r="F509" t="inlineStr">
        <is>
          <t>ENFASIS</t>
        </is>
      </c>
      <c r="G509" t="inlineStr"/>
      <c r="H509" t="inlineStr">
        <is>
          <t>ETR</t>
        </is>
      </c>
      <c r="I509" t="inlineStr">
        <is>
          <t>1102</t>
        </is>
      </c>
      <c r="J509" t="inlineStr">
        <is>
          <t>EQUIPO DE 4: cada docente atiende un grupo de estudiantes en su área</t>
        </is>
      </c>
      <c r="K509" t="inlineStr">
        <is>
          <t>Pulgarín Ortiz César Marino (CSI); Villota Rubio Janeth del Carmen (MAT); Angulo Lucero Andrés Mauricio (TEI)</t>
        </is>
      </c>
      <c r="L509" t="inlineStr">
        <is>
          <t>ÉNFASIS 11°-2</t>
        </is>
      </c>
      <c r="M509" t="inlineStr">
        <is>
          <t>EQUIPO DE 4: cada docente atiende un grupo de estudiantes en su área · Con: Pulgarín Ortiz César Marino (CSI); Villota Rubio Janeth del Carmen (MAT); Angulo Lucero Andrés Mauricio (TEI)</t>
        </is>
      </c>
      <c r="N509">
        <f>C509&amp;"|"&amp;D509</f>
        <v/>
      </c>
      <c r="O509">
        <f>COUNTIF($N$2:N509,N509)</f>
        <v/>
      </c>
      <c r="P509">
        <f>N509&amp;"|"&amp;O509</f>
        <v/>
      </c>
      <c r="Q509">
        <f>C509&amp;"|"&amp;D509&amp;"|"&amp;A509</f>
        <v/>
      </c>
    </row>
    <row r="510">
      <c r="A510" t="n">
        <v>40</v>
      </c>
      <c r="B510" t="inlineStr">
        <is>
          <t>Pulgarín Ortiz César Marino</t>
        </is>
      </c>
      <c r="C510" t="inlineStr">
        <is>
          <t>MIERCOLES</t>
        </is>
      </c>
      <c r="D510" t="n">
        <v>4</v>
      </c>
      <c r="E510" t="n">
        <v>2</v>
      </c>
      <c r="F510" t="inlineStr">
        <is>
          <t>ENFASIS</t>
        </is>
      </c>
      <c r="G510" t="inlineStr"/>
      <c r="H510" t="inlineStr">
        <is>
          <t>CSI</t>
        </is>
      </c>
      <c r="I510" t="inlineStr">
        <is>
          <t>1102</t>
        </is>
      </c>
      <c r="J510" t="inlineStr">
        <is>
          <t>EQUIPO DE 4: cada docente atiende un grupo de estudiantes en su área</t>
        </is>
      </c>
      <c r="K510" t="inlineStr">
        <is>
          <t>Montaño Arizala Leidis Claudina (ETR); Villota Rubio Janeth del Carmen (MAT); Angulo Lucero Andrés Mauricio (TEI)</t>
        </is>
      </c>
      <c r="L510" t="inlineStr">
        <is>
          <t>ÉNFASIS 11°-2</t>
        </is>
      </c>
      <c r="M510" t="inlineStr">
        <is>
          <t>EQUIPO DE 4: cada docente atiende un grupo de estudiantes en su área · Con: Montaño Arizala Leidis Claudina (ETR); Villota Rubio Janeth del Carmen (MAT); Angulo Lucero Andrés Mauricio (TEI)</t>
        </is>
      </c>
      <c r="N510">
        <f>C510&amp;"|"&amp;D510</f>
        <v/>
      </c>
      <c r="O510">
        <f>COUNTIF($N$2:N510,N510)</f>
        <v/>
      </c>
      <c r="P510">
        <f>N510&amp;"|"&amp;O510</f>
        <v/>
      </c>
      <c r="Q510">
        <f>C510&amp;"|"&amp;D510&amp;"|"&amp;A510</f>
        <v/>
      </c>
    </row>
    <row r="511">
      <c r="A511" t="n">
        <v>54</v>
      </c>
      <c r="B511" t="inlineStr">
        <is>
          <t>Villota Rubio Janeth del Carmen</t>
        </is>
      </c>
      <c r="C511" t="inlineStr">
        <is>
          <t>MIERCOLES</t>
        </is>
      </c>
      <c r="D511" t="n">
        <v>4</v>
      </c>
      <c r="E511" t="n">
        <v>2</v>
      </c>
      <c r="F511" t="inlineStr">
        <is>
          <t>ENFASIS</t>
        </is>
      </c>
      <c r="G511" t="inlineStr"/>
      <c r="H511" t="inlineStr">
        <is>
          <t>MAT</t>
        </is>
      </c>
      <c r="I511" t="inlineStr">
        <is>
          <t>1102</t>
        </is>
      </c>
      <c r="J511" t="inlineStr">
        <is>
          <t>EQUIPO DE 4: cada docente atiende un grupo de estudiantes en su área</t>
        </is>
      </c>
      <c r="K511" t="inlineStr">
        <is>
          <t>Pulgarín Ortiz César Marino (CSI); Montaño Arizala Leidis Claudina (ETR); Angulo Lucero Andrés Mauricio (TEI)</t>
        </is>
      </c>
      <c r="L511" t="inlineStr">
        <is>
          <t>ÉNFASIS 11°-2</t>
        </is>
      </c>
      <c r="M511" t="inlineStr">
        <is>
          <t>EQUIPO DE 4: cada docente atiende un grupo de estudiantes en su área · Con: Pulgarín Ortiz César Marino (CSI); Montaño Arizala Leidis Claudina (ETR); Angulo Lucero Andrés Mauricio (TEI)</t>
        </is>
      </c>
      <c r="N511">
        <f>C511&amp;"|"&amp;D511</f>
        <v/>
      </c>
      <c r="O511">
        <f>COUNTIF($N$2:N511,N511)</f>
        <v/>
      </c>
      <c r="P511">
        <f>N511&amp;"|"&amp;O511</f>
        <v/>
      </c>
      <c r="Q511">
        <f>C511&amp;"|"&amp;D511&amp;"|"&amp;A511</f>
        <v/>
      </c>
    </row>
    <row r="512">
      <c r="A512" t="n">
        <v>5</v>
      </c>
      <c r="B512" t="inlineStr">
        <is>
          <t>Bastidas Valencia Zeneida Judith</t>
        </is>
      </c>
      <c r="C512" t="inlineStr">
        <is>
          <t>MIERCOLES</t>
        </is>
      </c>
      <c r="D512" t="n">
        <v>4</v>
      </c>
      <c r="E512" t="n">
        <v>2</v>
      </c>
      <c r="F512" t="inlineStr">
        <is>
          <t>ENFASIS</t>
        </is>
      </c>
      <c r="G512" t="inlineStr"/>
      <c r="H512" t="inlineStr">
        <is>
          <t>MAT</t>
        </is>
      </c>
      <c r="I512" t="inlineStr">
        <is>
          <t>CS202</t>
        </is>
      </c>
      <c r="J512" t="inlineStr">
        <is>
          <t>EQUIPO DE 4: cada docente atiende un grupo de estudiantes en su área</t>
        </is>
      </c>
      <c r="K512" t="inlineStr">
        <is>
          <t>Betancourth Ocampo Yohana Patricia (CSI); Estacio Estupiñán Rosario (ETR); Mindineros Satizábal John Jáver (TEI)</t>
        </is>
      </c>
      <c r="L512" t="inlineStr">
        <is>
          <t>ÉNFASIS CS 2-2</t>
        </is>
      </c>
      <c r="M512" t="inlineStr">
        <is>
          <t>EQUIPO DE 4: cada docente atiende un grupo de estudiantes en su área · Con: Betancourth Ocampo Yohana Patricia (CSI); Estacio Estupiñán Rosario (ETR); Mindineros Satizábal John Jáver (TEI)</t>
        </is>
      </c>
      <c r="N512">
        <f>C512&amp;"|"&amp;D512</f>
        <v/>
      </c>
      <c r="O512">
        <f>COUNTIF($N$2:N512,N512)</f>
        <v/>
      </c>
      <c r="P512">
        <f>N512&amp;"|"&amp;O512</f>
        <v/>
      </c>
      <c r="Q512">
        <f>C512&amp;"|"&amp;D512&amp;"|"&amp;A512</f>
        <v/>
      </c>
    </row>
    <row r="513">
      <c r="A513" t="n">
        <v>6</v>
      </c>
      <c r="B513" t="inlineStr">
        <is>
          <t>Betancourth Ocampo Yohana Patricia</t>
        </is>
      </c>
      <c r="C513" t="inlineStr">
        <is>
          <t>MIERCOLES</t>
        </is>
      </c>
      <c r="D513" t="n">
        <v>4</v>
      </c>
      <c r="E513" t="n">
        <v>2</v>
      </c>
      <c r="F513" t="inlineStr">
        <is>
          <t>ENFASIS</t>
        </is>
      </c>
      <c r="G513" t="inlineStr"/>
      <c r="H513" t="inlineStr">
        <is>
          <t>CSI</t>
        </is>
      </c>
      <c r="I513" t="inlineStr">
        <is>
          <t>CS202</t>
        </is>
      </c>
      <c r="J513" t="inlineStr">
        <is>
          <t>EQUIPO DE 4: cada docente atiende un grupo de estudiantes en su área</t>
        </is>
      </c>
      <c r="K513" t="inlineStr">
        <is>
          <t>Estacio Estupiñán Rosario (ETR); Bastidas Valencia Zeneida Judith (MAT); Mindineros Satizábal John Jáver (TEI)</t>
        </is>
      </c>
      <c r="L513" t="inlineStr">
        <is>
          <t>ÉNFASIS CS 2-2</t>
        </is>
      </c>
      <c r="M513" t="inlineStr">
        <is>
          <t>EQUIPO DE 4: cada docente atiende un grupo de estudiantes en su área · Con: Estacio Estupiñán Rosario (ETR); Bastidas Valencia Zeneida Judith (MAT); Mindineros Satizábal John Jáver (TEI)</t>
        </is>
      </c>
      <c r="N513">
        <f>C513&amp;"|"&amp;D513</f>
        <v/>
      </c>
      <c r="O513">
        <f>COUNTIF($N$2:N513,N513)</f>
        <v/>
      </c>
      <c r="P513">
        <f>N513&amp;"|"&amp;O513</f>
        <v/>
      </c>
      <c r="Q513">
        <f>C513&amp;"|"&amp;D513&amp;"|"&amp;A513</f>
        <v/>
      </c>
    </row>
    <row r="514">
      <c r="A514" t="n">
        <v>18</v>
      </c>
      <c r="B514" t="inlineStr">
        <is>
          <t>Estacio Estupiñán Rosario</t>
        </is>
      </c>
      <c r="C514" t="inlineStr">
        <is>
          <t>MIERCOLES</t>
        </is>
      </c>
      <c r="D514" t="n">
        <v>4</v>
      </c>
      <c r="E514" t="n">
        <v>2</v>
      </c>
      <c r="F514" t="inlineStr">
        <is>
          <t>ENFASIS</t>
        </is>
      </c>
      <c r="G514" t="inlineStr"/>
      <c r="H514" t="inlineStr">
        <is>
          <t>ETR</t>
        </is>
      </c>
      <c r="I514" t="inlineStr">
        <is>
          <t>CS202</t>
        </is>
      </c>
      <c r="J514" t="inlineStr">
        <is>
          <t>EQUIPO DE 4: cada docente atiende un grupo de estudiantes en su área</t>
        </is>
      </c>
      <c r="K514" t="inlineStr">
        <is>
          <t>Betancourth Ocampo Yohana Patricia (CSI); Bastidas Valencia Zeneida Judith (MAT); Mindineros Satizábal John Jáver (TEI)</t>
        </is>
      </c>
      <c r="L514" t="inlineStr">
        <is>
          <t>ÉNFASIS CS 2-2</t>
        </is>
      </c>
      <c r="M514" t="inlineStr">
        <is>
          <t>EQUIPO DE 4: cada docente atiende un grupo de estudiantes en su área · Con: Betancourth Ocampo Yohana Patricia (CSI); Bastidas Valencia Zeneida Judith (MAT); Mindineros Satizábal John Jáver (TEI)</t>
        </is>
      </c>
      <c r="N514">
        <f>C514&amp;"|"&amp;D514</f>
        <v/>
      </c>
      <c r="O514">
        <f>COUNTIF($N$2:N514,N514)</f>
        <v/>
      </c>
      <c r="P514">
        <f>N514&amp;"|"&amp;O514</f>
        <v/>
      </c>
      <c r="Q514">
        <f>C514&amp;"|"&amp;D514&amp;"|"&amp;A514</f>
        <v/>
      </c>
    </row>
    <row r="515">
      <c r="A515" t="n">
        <v>29</v>
      </c>
      <c r="B515" t="inlineStr">
        <is>
          <t>Mindineros Satizábal John Jáver</t>
        </is>
      </c>
      <c r="C515" t="inlineStr">
        <is>
          <t>MIERCOLES</t>
        </is>
      </c>
      <c r="D515" t="n">
        <v>4</v>
      </c>
      <c r="E515" t="n">
        <v>2</v>
      </c>
      <c r="F515" t="inlineStr">
        <is>
          <t>ENFASIS</t>
        </is>
      </c>
      <c r="G515" t="inlineStr"/>
      <c r="H515" t="inlineStr">
        <is>
          <t>TEI</t>
        </is>
      </c>
      <c r="I515" t="inlineStr">
        <is>
          <t>CS202</t>
        </is>
      </c>
      <c r="J515" t="inlineStr">
        <is>
          <t>EQUIPO DE 4: cada docente atiende un grupo de estudiantes en su área</t>
        </is>
      </c>
      <c r="K515" t="inlineStr">
        <is>
          <t>Betancourth Ocampo Yohana Patricia (CSI); Estacio Estupiñán Rosario (ETR); Bastidas Valencia Zeneida Judith (MAT)</t>
        </is>
      </c>
      <c r="L515" t="inlineStr">
        <is>
          <t>ÉNFASIS CS 2-2</t>
        </is>
      </c>
      <c r="M515" t="inlineStr">
        <is>
          <t>EQUIPO DE 4: cada docente atiende un grupo de estudiantes en su área · Con: Betancourth Ocampo Yohana Patricia (CSI); Estacio Estupiñán Rosario (ETR); Bastidas Valencia Zeneida Judith (MAT)</t>
        </is>
      </c>
      <c r="N515">
        <f>C515&amp;"|"&amp;D515</f>
        <v/>
      </c>
      <c r="O515">
        <f>COUNTIF($N$2:N515,N515)</f>
        <v/>
      </c>
      <c r="P515">
        <f>N515&amp;"|"&amp;O515</f>
        <v/>
      </c>
      <c r="Q515">
        <f>C515&amp;"|"&amp;D515&amp;"|"&amp;A515</f>
        <v/>
      </c>
    </row>
    <row r="516">
      <c r="A516" t="n">
        <v>26</v>
      </c>
      <c r="B516" t="inlineStr">
        <is>
          <t>Lozano Torres Amanda Inés</t>
        </is>
      </c>
      <c r="C516" t="inlineStr">
        <is>
          <t>MIERCOLES</t>
        </is>
      </c>
      <c r="D516" t="n">
        <v>5</v>
      </c>
      <c r="E516" t="n">
        <v>3</v>
      </c>
      <c r="F516" t="inlineStr">
        <is>
          <t>CLASE</t>
        </is>
      </c>
      <c r="G516" t="inlineStr">
        <is>
          <t>0601</t>
        </is>
      </c>
      <c r="H516" t="inlineStr">
        <is>
          <t>ETR</t>
        </is>
      </c>
      <c r="I516" t="inlineStr"/>
      <c r="J516" t="inlineStr">
        <is>
          <t>Ética / Religión (alternan cada semana)</t>
        </is>
      </c>
      <c r="K516" t="inlineStr"/>
      <c r="L516" t="inlineStr">
        <is>
          <t>6°-1</t>
        </is>
      </c>
      <c r="M516" t="inlineStr">
        <is>
          <t>Ética / Religión (alternan cada semana)</t>
        </is>
      </c>
      <c r="N516">
        <f>C516&amp;"|"&amp;D516</f>
        <v/>
      </c>
      <c r="O516">
        <f>COUNTIF($N$2:N516,N516)</f>
        <v/>
      </c>
      <c r="P516">
        <f>N516&amp;"|"&amp;O516</f>
        <v/>
      </c>
      <c r="Q516">
        <f>C516&amp;"|"&amp;D516&amp;"|"&amp;A516</f>
        <v/>
      </c>
    </row>
    <row r="517">
      <c r="A517" t="n">
        <v>20</v>
      </c>
      <c r="B517" t="inlineStr">
        <is>
          <t>García Gobea Saydi Magali</t>
        </is>
      </c>
      <c r="C517" t="inlineStr">
        <is>
          <t>MIERCOLES</t>
        </is>
      </c>
      <c r="D517" t="n">
        <v>5</v>
      </c>
      <c r="E517" t="n">
        <v>3</v>
      </c>
      <c r="F517" t="inlineStr">
        <is>
          <t>CLASE</t>
        </is>
      </c>
      <c r="G517" t="inlineStr">
        <is>
          <t>0602</t>
        </is>
      </c>
      <c r="H517" t="inlineStr">
        <is>
          <t>CSI</t>
        </is>
      </c>
      <c r="I517" t="inlineStr"/>
      <c r="J517" t="inlineStr">
        <is>
          <t>Sociales / Inglés (alternan cada semana)</t>
        </is>
      </c>
      <c r="K517" t="inlineStr"/>
      <c r="L517" t="inlineStr">
        <is>
          <t>6°-2</t>
        </is>
      </c>
      <c r="M517" t="inlineStr">
        <is>
          <t>Sociales / Inglés (alternan cada semana)</t>
        </is>
      </c>
      <c r="N517">
        <f>C517&amp;"|"&amp;D517</f>
        <v/>
      </c>
      <c r="O517">
        <f>COUNTIF($N$2:N517,N517)</f>
        <v/>
      </c>
      <c r="P517">
        <f>N517&amp;"|"&amp;O517</f>
        <v/>
      </c>
      <c r="Q517">
        <f>C517&amp;"|"&amp;D517&amp;"|"&amp;A517</f>
        <v/>
      </c>
    </row>
    <row r="518">
      <c r="A518" t="n">
        <v>8</v>
      </c>
      <c r="B518" t="inlineStr">
        <is>
          <t>Casanova Quiñones Yoli del Carmen</t>
        </is>
      </c>
      <c r="C518" t="inlineStr">
        <is>
          <t>MIERCOLES</t>
        </is>
      </c>
      <c r="D518" t="n">
        <v>5</v>
      </c>
      <c r="E518" t="n">
        <v>3</v>
      </c>
      <c r="F518" t="inlineStr">
        <is>
          <t>CLASE</t>
        </is>
      </c>
      <c r="G518" t="inlineStr">
        <is>
          <t>0701</t>
        </is>
      </c>
      <c r="H518" t="inlineStr">
        <is>
          <t>ETR</t>
        </is>
      </c>
      <c r="I518" t="inlineStr"/>
      <c r="J518" t="inlineStr">
        <is>
          <t>Ética / Religión (alternan cada semana)</t>
        </is>
      </c>
      <c r="K518" t="inlineStr"/>
      <c r="L518" t="inlineStr">
        <is>
          <t>7°-1</t>
        </is>
      </c>
      <c r="M518" t="inlineStr">
        <is>
          <t>Ética / Religión (alternan cada semana)</t>
        </is>
      </c>
      <c r="N518">
        <f>C518&amp;"|"&amp;D518</f>
        <v/>
      </c>
      <c r="O518">
        <f>COUNTIF($N$2:N518,N518)</f>
        <v/>
      </c>
      <c r="P518">
        <f>N518&amp;"|"&amp;O518</f>
        <v/>
      </c>
      <c r="Q518">
        <f>C518&amp;"|"&amp;D518&amp;"|"&amp;A518</f>
        <v/>
      </c>
    </row>
    <row r="519">
      <c r="A519" t="n">
        <v>10</v>
      </c>
      <c r="B519" t="inlineStr">
        <is>
          <t>Castillo Cuero Daira Eneida</t>
        </is>
      </c>
      <c r="C519" t="inlineStr">
        <is>
          <t>MIERCOLES</t>
        </is>
      </c>
      <c r="D519" t="n">
        <v>5</v>
      </c>
      <c r="E519" t="n">
        <v>3</v>
      </c>
      <c r="F519" t="inlineStr">
        <is>
          <t>CLASE</t>
        </is>
      </c>
      <c r="G519" t="inlineStr">
        <is>
          <t>0702</t>
        </is>
      </c>
      <c r="H519" t="inlineStr">
        <is>
          <t>CAS</t>
        </is>
      </c>
      <c r="I519" t="inlineStr"/>
      <c r="J519" t="inlineStr"/>
      <c r="K519" t="inlineStr"/>
      <c r="L519" t="inlineStr">
        <is>
          <t>7°-2</t>
        </is>
      </c>
      <c r="M519" t="inlineStr"/>
      <c r="N519">
        <f>C519&amp;"|"&amp;D519</f>
        <v/>
      </c>
      <c r="O519">
        <f>COUNTIF($N$2:N519,N519)</f>
        <v/>
      </c>
      <c r="P519">
        <f>N519&amp;"|"&amp;O519</f>
        <v/>
      </c>
      <c r="Q519">
        <f>C519&amp;"|"&amp;D519&amp;"|"&amp;A519</f>
        <v/>
      </c>
    </row>
    <row r="520">
      <c r="A520" t="n">
        <v>4</v>
      </c>
      <c r="B520" t="inlineStr">
        <is>
          <t>Arizala Castro Roberto Carlos</t>
        </is>
      </c>
      <c r="C520" t="inlineStr">
        <is>
          <t>MIERCOLES</t>
        </is>
      </c>
      <c r="D520" t="n">
        <v>5</v>
      </c>
      <c r="E520" t="n">
        <v>3</v>
      </c>
      <c r="F520" t="inlineStr">
        <is>
          <t>CLASE</t>
        </is>
      </c>
      <c r="G520" t="inlineStr">
        <is>
          <t>0703</t>
        </is>
      </c>
      <c r="H520" t="inlineStr">
        <is>
          <t>ERD</t>
        </is>
      </c>
      <c r="I520" t="inlineStr"/>
      <c r="J520" t="inlineStr"/>
      <c r="K520" t="inlineStr"/>
      <c r="L520" t="inlineStr">
        <is>
          <t>7°-3</t>
        </is>
      </c>
      <c r="M520" t="inlineStr"/>
      <c r="N520">
        <f>C520&amp;"|"&amp;D520</f>
        <v/>
      </c>
      <c r="O520">
        <f>COUNTIF($N$2:N520,N520)</f>
        <v/>
      </c>
      <c r="P520">
        <f>N520&amp;"|"&amp;O520</f>
        <v/>
      </c>
      <c r="Q520">
        <f>C520&amp;"|"&amp;D520&amp;"|"&amp;A520</f>
        <v/>
      </c>
    </row>
    <row r="521">
      <c r="A521" t="n">
        <v>44</v>
      </c>
      <c r="B521" t="inlineStr">
        <is>
          <t>Samaniego Angulo Flor Mireya</t>
        </is>
      </c>
      <c r="C521" t="inlineStr">
        <is>
          <t>MIERCOLES</t>
        </is>
      </c>
      <c r="D521" t="n">
        <v>5</v>
      </c>
      <c r="E521" t="n">
        <v>3</v>
      </c>
      <c r="F521" t="inlineStr">
        <is>
          <t>CLASE</t>
        </is>
      </c>
      <c r="G521" t="inlineStr">
        <is>
          <t>0801</t>
        </is>
      </c>
      <c r="H521" t="inlineStr">
        <is>
          <t>ART</t>
        </is>
      </c>
      <c r="I521" t="inlineStr"/>
      <c r="J521" t="inlineStr"/>
      <c r="K521" t="inlineStr"/>
      <c r="L521" t="inlineStr">
        <is>
          <t>8°-1</t>
        </is>
      </c>
      <c r="M521" t="inlineStr"/>
      <c r="N521">
        <f>C521&amp;"|"&amp;D521</f>
        <v/>
      </c>
      <c r="O521">
        <f>COUNTIF($N$2:N521,N521)</f>
        <v/>
      </c>
      <c r="P521">
        <f>N521&amp;"|"&amp;O521</f>
        <v/>
      </c>
      <c r="Q521">
        <f>C521&amp;"|"&amp;D521&amp;"|"&amp;A521</f>
        <v/>
      </c>
    </row>
    <row r="522">
      <c r="A522" t="n">
        <v>25</v>
      </c>
      <c r="B522" t="inlineStr">
        <is>
          <t>Lemos Guancha Miriam</t>
        </is>
      </c>
      <c r="C522" t="inlineStr">
        <is>
          <t>MIERCOLES</t>
        </is>
      </c>
      <c r="D522" t="n">
        <v>5</v>
      </c>
      <c r="E522" t="n">
        <v>3</v>
      </c>
      <c r="F522" t="inlineStr">
        <is>
          <t>CLASE</t>
        </is>
      </c>
      <c r="G522" t="inlineStr">
        <is>
          <t>0901</t>
        </is>
      </c>
      <c r="H522" t="inlineStr">
        <is>
          <t>CNA</t>
        </is>
      </c>
      <c r="I522" t="inlineStr"/>
      <c r="J522" t="inlineStr"/>
      <c r="K522" t="inlineStr"/>
      <c r="L522" t="inlineStr">
        <is>
          <t>9°-1</t>
        </is>
      </c>
      <c r="M522" t="inlineStr"/>
      <c r="N522">
        <f>C522&amp;"|"&amp;D522</f>
        <v/>
      </c>
      <c r="O522">
        <f>COUNTIF($N$2:N522,N522)</f>
        <v/>
      </c>
      <c r="P522">
        <f>N522&amp;"|"&amp;O522</f>
        <v/>
      </c>
      <c r="Q522">
        <f>C522&amp;"|"&amp;D522&amp;"|"&amp;A522</f>
        <v/>
      </c>
    </row>
    <row r="523">
      <c r="A523" t="n">
        <v>49</v>
      </c>
      <c r="B523" t="inlineStr">
        <is>
          <t>Valencia Marínez Saidy Eufemia</t>
        </is>
      </c>
      <c r="C523" t="inlineStr">
        <is>
          <t>MIERCOLES</t>
        </is>
      </c>
      <c r="D523" t="n">
        <v>5</v>
      </c>
      <c r="E523" t="n">
        <v>3</v>
      </c>
      <c r="F523" t="inlineStr">
        <is>
          <t>CLASE</t>
        </is>
      </c>
      <c r="G523" t="inlineStr">
        <is>
          <t>0902</t>
        </is>
      </c>
      <c r="H523" t="inlineStr">
        <is>
          <t>ART</t>
        </is>
      </c>
      <c r="I523" t="inlineStr"/>
      <c r="J523" t="inlineStr"/>
      <c r="K523" t="inlineStr"/>
      <c r="L523" t="inlineStr">
        <is>
          <t>9°-2</t>
        </is>
      </c>
      <c r="M523" t="inlineStr"/>
      <c r="N523">
        <f>C523&amp;"|"&amp;D523</f>
        <v/>
      </c>
      <c r="O523">
        <f>COUNTIF($N$2:N523,N523)</f>
        <v/>
      </c>
      <c r="P523">
        <f>N523&amp;"|"&amp;O523</f>
        <v/>
      </c>
      <c r="Q523">
        <f>C523&amp;"|"&amp;D523&amp;"|"&amp;A523</f>
        <v/>
      </c>
    </row>
    <row r="524">
      <c r="A524" t="n">
        <v>5</v>
      </c>
      <c r="B524" t="inlineStr">
        <is>
          <t>Bastidas Valencia Zeneida Judith</t>
        </is>
      </c>
      <c r="C524" t="inlineStr">
        <is>
          <t>MIERCOLES</t>
        </is>
      </c>
      <c r="D524" t="n">
        <v>5</v>
      </c>
      <c r="E524" t="n">
        <v>3</v>
      </c>
      <c r="F524" t="inlineStr">
        <is>
          <t>CLASE</t>
        </is>
      </c>
      <c r="G524" t="inlineStr">
        <is>
          <t>1001</t>
        </is>
      </c>
      <c r="H524" t="inlineStr">
        <is>
          <t>MAT</t>
        </is>
      </c>
      <c r="I524" t="inlineStr"/>
      <c r="J524" t="inlineStr"/>
      <c r="K524" t="inlineStr"/>
      <c r="L524" t="inlineStr">
        <is>
          <t>10°-1</t>
        </is>
      </c>
      <c r="M524" t="inlineStr"/>
      <c r="N524">
        <f>C524&amp;"|"&amp;D524</f>
        <v/>
      </c>
      <c r="O524">
        <f>COUNTIF($N$2:N524,N524)</f>
        <v/>
      </c>
      <c r="P524">
        <f>N524&amp;"|"&amp;O524</f>
        <v/>
      </c>
      <c r="Q524">
        <f>C524&amp;"|"&amp;D524&amp;"|"&amp;A524</f>
        <v/>
      </c>
    </row>
    <row r="525">
      <c r="A525" t="n">
        <v>54</v>
      </c>
      <c r="B525" t="inlineStr">
        <is>
          <t>Villota Rubio Janeth del Carmen</t>
        </is>
      </c>
      <c r="C525" t="inlineStr">
        <is>
          <t>MIERCOLES</t>
        </is>
      </c>
      <c r="D525" t="n">
        <v>5</v>
      </c>
      <c r="E525" t="n">
        <v>3</v>
      </c>
      <c r="F525" t="inlineStr">
        <is>
          <t>CLASE</t>
        </is>
      </c>
      <c r="G525" t="inlineStr">
        <is>
          <t>1002</t>
        </is>
      </c>
      <c r="H525" t="inlineStr">
        <is>
          <t>MAT</t>
        </is>
      </c>
      <c r="I525" t="inlineStr"/>
      <c r="J525" t="inlineStr"/>
      <c r="K525" t="inlineStr"/>
      <c r="L525" t="inlineStr">
        <is>
          <t>10°-2</t>
        </is>
      </c>
      <c r="M525" t="inlineStr"/>
      <c r="N525">
        <f>C525&amp;"|"&amp;D525</f>
        <v/>
      </c>
      <c r="O525">
        <f>COUNTIF($N$2:N525,N525)</f>
        <v/>
      </c>
      <c r="P525">
        <f>N525&amp;"|"&amp;O525</f>
        <v/>
      </c>
      <c r="Q525">
        <f>C525&amp;"|"&amp;D525&amp;"|"&amp;A525</f>
        <v/>
      </c>
    </row>
    <row r="526">
      <c r="A526" t="n">
        <v>2</v>
      </c>
      <c r="B526" t="inlineStr">
        <is>
          <t>Angulo Lucero Andrés Mauricio</t>
        </is>
      </c>
      <c r="C526" t="inlineStr">
        <is>
          <t>MIERCOLES</t>
        </is>
      </c>
      <c r="D526" t="n">
        <v>5</v>
      </c>
      <c r="E526" t="n">
        <v>3</v>
      </c>
      <c r="F526" t="inlineStr">
        <is>
          <t>CLASE</t>
        </is>
      </c>
      <c r="G526" t="inlineStr">
        <is>
          <t>1102</t>
        </is>
      </c>
      <c r="H526" t="inlineStr">
        <is>
          <t>TEI</t>
        </is>
      </c>
      <c r="I526" t="inlineStr"/>
      <c r="J526" t="inlineStr"/>
      <c r="K526" t="inlineStr"/>
      <c r="L526" t="inlineStr">
        <is>
          <t>11°-2</t>
        </is>
      </c>
      <c r="M526" t="inlineStr"/>
      <c r="N526">
        <f>C526&amp;"|"&amp;D526</f>
        <v/>
      </c>
      <c r="O526">
        <f>COUNTIF($N$2:N526,N526)</f>
        <v/>
      </c>
      <c r="P526">
        <f>N526&amp;"|"&amp;O526</f>
        <v/>
      </c>
      <c r="Q526">
        <f>C526&amp;"|"&amp;D526&amp;"|"&amp;A526</f>
        <v/>
      </c>
    </row>
    <row r="527">
      <c r="A527" t="n">
        <v>57</v>
      </c>
      <c r="B527" t="inlineStr">
        <is>
          <t>Armero Dájome Jesús</t>
        </is>
      </c>
      <c r="C527" t="inlineStr">
        <is>
          <t>MIERCOLES</t>
        </is>
      </c>
      <c r="D527" t="n">
        <v>5</v>
      </c>
      <c r="E527" t="n">
        <v>3</v>
      </c>
      <c r="F527" t="inlineStr">
        <is>
          <t>CLASE</t>
        </is>
      </c>
      <c r="G527" t="inlineStr">
        <is>
          <t>CS101</t>
        </is>
      </c>
      <c r="H527" t="inlineStr">
        <is>
          <t>ERD</t>
        </is>
      </c>
      <c r="I527" t="inlineStr"/>
      <c r="J527" t="inlineStr"/>
      <c r="K527" t="inlineStr"/>
      <c r="L527" t="inlineStr">
        <is>
          <t>CS 1-1</t>
        </is>
      </c>
      <c r="M527" t="inlineStr"/>
      <c r="N527">
        <f>C527&amp;"|"&amp;D527</f>
        <v/>
      </c>
      <c r="O527">
        <f>COUNTIF($N$2:N527,N527)</f>
        <v/>
      </c>
      <c r="P527">
        <f>N527&amp;"|"&amp;O527</f>
        <v/>
      </c>
      <c r="Q527">
        <f>C527&amp;"|"&amp;D527&amp;"|"&amp;A527</f>
        <v/>
      </c>
    </row>
    <row r="528">
      <c r="A528" t="n">
        <v>37</v>
      </c>
      <c r="B528" t="inlineStr">
        <is>
          <t>Prado Quiñones Genís Maribel</t>
        </is>
      </c>
      <c r="C528" t="inlineStr">
        <is>
          <t>MIERCOLES</t>
        </is>
      </c>
      <c r="D528" t="n">
        <v>5</v>
      </c>
      <c r="E528" t="n">
        <v>3</v>
      </c>
      <c r="F528" t="inlineStr">
        <is>
          <t>CLASE</t>
        </is>
      </c>
      <c r="G528" t="inlineStr">
        <is>
          <t>CS102</t>
        </is>
      </c>
      <c r="H528" t="inlineStr">
        <is>
          <t>ART</t>
        </is>
      </c>
      <c r="I528" t="inlineStr"/>
      <c r="J528" t="inlineStr"/>
      <c r="K528" t="inlineStr"/>
      <c r="L528" t="inlineStr">
        <is>
          <t>CS 1-2</t>
        </is>
      </c>
      <c r="M528" t="inlineStr"/>
      <c r="N528">
        <f>C528&amp;"|"&amp;D528</f>
        <v/>
      </c>
      <c r="O528">
        <f>COUNTIF($N$2:N528,N528)</f>
        <v/>
      </c>
      <c r="P528">
        <f>N528&amp;"|"&amp;O528</f>
        <v/>
      </c>
      <c r="Q528">
        <f>C528&amp;"|"&amp;D528&amp;"|"&amp;A528</f>
        <v/>
      </c>
    </row>
    <row r="529">
      <c r="A529" t="n">
        <v>51</v>
      </c>
      <c r="B529" t="inlineStr">
        <is>
          <t>Valverde Montaño María Teresa</t>
        </is>
      </c>
      <c r="C529" t="inlineStr">
        <is>
          <t>MIERCOLES</t>
        </is>
      </c>
      <c r="D529" t="n">
        <v>5</v>
      </c>
      <c r="E529" t="n">
        <v>3</v>
      </c>
      <c r="F529" t="inlineStr">
        <is>
          <t>CLASE</t>
        </is>
      </c>
      <c r="G529" t="inlineStr">
        <is>
          <t>CS201</t>
        </is>
      </c>
      <c r="H529" t="inlineStr">
        <is>
          <t>CAS</t>
        </is>
      </c>
      <c r="I529" t="inlineStr"/>
      <c r="J529" t="inlineStr"/>
      <c r="K529" t="inlineStr"/>
      <c r="L529" t="inlineStr">
        <is>
          <t>CS 2-1</t>
        </is>
      </c>
      <c r="M529" t="inlineStr"/>
      <c r="N529">
        <f>C529&amp;"|"&amp;D529</f>
        <v/>
      </c>
      <c r="O529">
        <f>COUNTIF($N$2:N529,N529)</f>
        <v/>
      </c>
      <c r="P529">
        <f>N529&amp;"|"&amp;O529</f>
        <v/>
      </c>
      <c r="Q529">
        <f>C529&amp;"|"&amp;D529&amp;"|"&amp;A529</f>
        <v/>
      </c>
    </row>
    <row r="530">
      <c r="A530" t="n">
        <v>12</v>
      </c>
      <c r="B530" t="inlineStr">
        <is>
          <t>Chillambo Quiñones María Rocío</t>
        </is>
      </c>
      <c r="C530" t="inlineStr">
        <is>
          <t>MIERCOLES</t>
        </is>
      </c>
      <c r="D530" t="n">
        <v>5</v>
      </c>
      <c r="E530" t="n">
        <v>3</v>
      </c>
      <c r="F530" t="inlineStr">
        <is>
          <t>CLASE</t>
        </is>
      </c>
      <c r="G530" t="inlineStr">
        <is>
          <t>CS202</t>
        </is>
      </c>
      <c r="H530" t="inlineStr">
        <is>
          <t>CNA</t>
        </is>
      </c>
      <c r="I530" t="inlineStr"/>
      <c r="J530" t="inlineStr"/>
      <c r="K530" t="inlineStr"/>
      <c r="L530" t="inlineStr">
        <is>
          <t>CS 2-2</t>
        </is>
      </c>
      <c r="M530" t="inlineStr"/>
      <c r="N530">
        <f>C530&amp;"|"&amp;D530</f>
        <v/>
      </c>
      <c r="O530">
        <f>COUNTIF($N$2:N530,N530)</f>
        <v/>
      </c>
      <c r="P530">
        <f>N530&amp;"|"&amp;O530</f>
        <v/>
      </c>
      <c r="Q530">
        <f>C530&amp;"|"&amp;D530&amp;"|"&amp;A530</f>
        <v/>
      </c>
    </row>
    <row r="531">
      <c r="A531" t="n">
        <v>1</v>
      </c>
      <c r="B531" t="inlineStr">
        <is>
          <t>Aguirre Riascos Jorge Andrés</t>
        </is>
      </c>
      <c r="C531" t="inlineStr">
        <is>
          <t>MIERCOLES</t>
        </is>
      </c>
      <c r="D531" t="n">
        <v>5</v>
      </c>
      <c r="E531" t="n">
        <v>3</v>
      </c>
      <c r="F531" t="inlineStr">
        <is>
          <t>ENFASIS</t>
        </is>
      </c>
      <c r="G531" t="inlineStr"/>
      <c r="H531" t="inlineStr">
        <is>
          <t>TEI</t>
        </is>
      </c>
      <c r="I531" t="inlineStr">
        <is>
          <t>0704</t>
        </is>
      </c>
      <c r="J531" t="inlineStr">
        <is>
          <t>PAREJA: comparten el énfasis y alternan por semana</t>
        </is>
      </c>
      <c r="K531" t="inlineStr">
        <is>
          <t>Vásquez Valencia Segundo Leoncio (MAT)</t>
        </is>
      </c>
      <c r="L531" t="inlineStr">
        <is>
          <t>ÉNFASIS 7°-4</t>
        </is>
      </c>
      <c r="M531" t="inlineStr">
        <is>
          <t>PAREJA: comparten el énfasis y alternan por semana · Con: Vásquez Valencia Segundo Leoncio (MAT)</t>
        </is>
      </c>
      <c r="N531">
        <f>C531&amp;"|"&amp;D531</f>
        <v/>
      </c>
      <c r="O531">
        <f>COUNTIF($N$2:N531,N531)</f>
        <v/>
      </c>
      <c r="P531">
        <f>N531&amp;"|"&amp;O531</f>
        <v/>
      </c>
      <c r="Q531">
        <f>C531&amp;"|"&amp;D531&amp;"|"&amp;A531</f>
        <v/>
      </c>
    </row>
    <row r="532">
      <c r="A532" t="n">
        <v>52</v>
      </c>
      <c r="B532" t="inlineStr">
        <is>
          <t>Vásquez Valencia Segundo Leoncio</t>
        </is>
      </c>
      <c r="C532" t="inlineStr">
        <is>
          <t>MIERCOLES</t>
        </is>
      </c>
      <c r="D532" t="n">
        <v>5</v>
      </c>
      <c r="E532" t="n">
        <v>3</v>
      </c>
      <c r="F532" t="inlineStr">
        <is>
          <t>ENFASIS</t>
        </is>
      </c>
      <c r="G532" t="inlineStr"/>
      <c r="H532" t="inlineStr">
        <is>
          <t>MAT</t>
        </is>
      </c>
      <c r="I532" t="inlineStr">
        <is>
          <t>0704</t>
        </is>
      </c>
      <c r="J532" t="inlineStr">
        <is>
          <t>PAREJA: comparten el énfasis y alternan por semana</t>
        </is>
      </c>
      <c r="K532" t="inlineStr">
        <is>
          <t>Aguirre Riascos Jorge Andrés (TEI)</t>
        </is>
      </c>
      <c r="L532" t="inlineStr">
        <is>
          <t>ÉNFASIS 7°-4</t>
        </is>
      </c>
      <c r="M532" t="inlineStr">
        <is>
          <t>PAREJA: comparten el énfasis y alternan por semana · Con: Aguirre Riascos Jorge Andrés (TEI)</t>
        </is>
      </c>
      <c r="N532">
        <f>C532&amp;"|"&amp;D532</f>
        <v/>
      </c>
      <c r="O532">
        <f>COUNTIF($N$2:N532,N532)</f>
        <v/>
      </c>
      <c r="P532">
        <f>N532&amp;"|"&amp;O532</f>
        <v/>
      </c>
      <c r="Q532">
        <f>C532&amp;"|"&amp;D532&amp;"|"&amp;A532</f>
        <v/>
      </c>
    </row>
    <row r="533">
      <c r="A533" t="n">
        <v>9</v>
      </c>
      <c r="B533" t="inlineStr">
        <is>
          <t>Castillo Angulo Martha Cecilia</t>
        </is>
      </c>
      <c r="C533" t="inlineStr">
        <is>
          <t>MIERCOLES</t>
        </is>
      </c>
      <c r="D533" t="n">
        <v>5</v>
      </c>
      <c r="E533" t="n">
        <v>3</v>
      </c>
      <c r="F533" t="inlineStr">
        <is>
          <t>ENFASIS</t>
        </is>
      </c>
      <c r="G533" t="inlineStr"/>
      <c r="H533" t="inlineStr">
        <is>
          <t>ETR</t>
        </is>
      </c>
      <c r="I533" t="inlineStr">
        <is>
          <t>0802</t>
        </is>
      </c>
      <c r="J533" t="inlineStr">
        <is>
          <t>PAREJA: comparten el énfasis y alternan por semana</t>
        </is>
      </c>
      <c r="K533" t="inlineStr">
        <is>
          <t>Ortiz Araujo Adiela Carlota (CSI)</t>
        </is>
      </c>
      <c r="L533" t="inlineStr">
        <is>
          <t>ÉNFASIS 8°-2</t>
        </is>
      </c>
      <c r="M533" t="inlineStr">
        <is>
          <t>PAREJA: comparten el énfasis y alternan por semana · Con: Ortiz Araujo Adiela Carlota (CSI)</t>
        </is>
      </c>
      <c r="N533">
        <f>C533&amp;"|"&amp;D533</f>
        <v/>
      </c>
      <c r="O533">
        <f>COUNTIF($N$2:N533,N533)</f>
        <v/>
      </c>
      <c r="P533">
        <f>N533&amp;"|"&amp;O533</f>
        <v/>
      </c>
      <c r="Q533">
        <f>C533&amp;"|"&amp;D533&amp;"|"&amp;A533</f>
        <v/>
      </c>
    </row>
    <row r="534">
      <c r="A534" t="n">
        <v>19</v>
      </c>
      <c r="B534" t="inlineStr">
        <is>
          <t>Fernández Vélez Alfredo Enrique</t>
        </is>
      </c>
      <c r="C534" t="inlineStr">
        <is>
          <t>MIERCOLES</t>
        </is>
      </c>
      <c r="D534" t="n">
        <v>5</v>
      </c>
      <c r="E534" t="n">
        <v>3</v>
      </c>
      <c r="F534" t="inlineStr">
        <is>
          <t>ENFASIS</t>
        </is>
      </c>
      <c r="G534" t="inlineStr"/>
      <c r="H534" t="inlineStr">
        <is>
          <t>TEI</t>
        </is>
      </c>
      <c r="I534" t="inlineStr">
        <is>
          <t>0802</t>
        </is>
      </c>
      <c r="J534" t="inlineStr">
        <is>
          <t>PAREJA: comparten el énfasis y alternan por semana</t>
        </is>
      </c>
      <c r="K534" t="inlineStr">
        <is>
          <t>Preciado Torres Oleisa (MAT)</t>
        </is>
      </c>
      <c r="L534" t="inlineStr">
        <is>
          <t>ÉNFASIS 8°-2</t>
        </is>
      </c>
      <c r="M534" t="inlineStr">
        <is>
          <t>PAREJA: comparten el énfasis y alternan por semana · Con: Preciado Torres Oleisa (MAT)</t>
        </is>
      </c>
      <c r="N534">
        <f>C534&amp;"|"&amp;D534</f>
        <v/>
      </c>
      <c r="O534">
        <f>COUNTIF($N$2:N534,N534)</f>
        <v/>
      </c>
      <c r="P534">
        <f>N534&amp;"|"&amp;O534</f>
        <v/>
      </c>
      <c r="Q534">
        <f>C534&amp;"|"&amp;D534&amp;"|"&amp;A534</f>
        <v/>
      </c>
    </row>
    <row r="535">
      <c r="A535" t="n">
        <v>35</v>
      </c>
      <c r="B535" t="inlineStr">
        <is>
          <t>Ortiz Araujo Adiela Carlota</t>
        </is>
      </c>
      <c r="C535" t="inlineStr">
        <is>
          <t>MIERCOLES</t>
        </is>
      </c>
      <c r="D535" t="n">
        <v>5</v>
      </c>
      <c r="E535" t="n">
        <v>3</v>
      </c>
      <c r="F535" t="inlineStr">
        <is>
          <t>ENFASIS</t>
        </is>
      </c>
      <c r="G535" t="inlineStr"/>
      <c r="H535" t="inlineStr">
        <is>
          <t>CSI</t>
        </is>
      </c>
      <c r="I535" t="inlineStr">
        <is>
          <t>0802</t>
        </is>
      </c>
      <c r="J535" t="inlineStr">
        <is>
          <t>PAREJA: comparten el énfasis y alternan por semana</t>
        </is>
      </c>
      <c r="K535" t="inlineStr">
        <is>
          <t>Castillo Angulo Martha Cecilia (ETR)</t>
        </is>
      </c>
      <c r="L535" t="inlineStr">
        <is>
          <t>ÉNFASIS 8°-2</t>
        </is>
      </c>
      <c r="M535" t="inlineStr">
        <is>
          <t>PAREJA: comparten el énfasis y alternan por semana · Con: Castillo Angulo Martha Cecilia (ETR)</t>
        </is>
      </c>
      <c r="N535">
        <f>C535&amp;"|"&amp;D535</f>
        <v/>
      </c>
      <c r="O535">
        <f>COUNTIF($N$2:N535,N535)</f>
        <v/>
      </c>
      <c r="P535">
        <f>N535&amp;"|"&amp;O535</f>
        <v/>
      </c>
      <c r="Q535">
        <f>C535&amp;"|"&amp;D535&amp;"|"&amp;A535</f>
        <v/>
      </c>
    </row>
    <row r="536">
      <c r="A536" t="n">
        <v>38</v>
      </c>
      <c r="B536" t="inlineStr">
        <is>
          <t>Preciado Torres Oleisa</t>
        </is>
      </c>
      <c r="C536" t="inlineStr">
        <is>
          <t>MIERCOLES</t>
        </is>
      </c>
      <c r="D536" t="n">
        <v>5</v>
      </c>
      <c r="E536" t="n">
        <v>3</v>
      </c>
      <c r="F536" t="inlineStr">
        <is>
          <t>ENFASIS</t>
        </is>
      </c>
      <c r="G536" t="inlineStr"/>
      <c r="H536" t="inlineStr">
        <is>
          <t>MAT</t>
        </is>
      </c>
      <c r="I536" t="inlineStr">
        <is>
          <t>0802</t>
        </is>
      </c>
      <c r="J536" t="inlineStr">
        <is>
          <t>PAREJA: comparten el énfasis y alternan por semana</t>
        </is>
      </c>
      <c r="K536" t="inlineStr">
        <is>
          <t>Fernández Vélez Alfredo Enrique (TEI)</t>
        </is>
      </c>
      <c r="L536" t="inlineStr">
        <is>
          <t>ÉNFASIS 8°-2</t>
        </is>
      </c>
      <c r="M536" t="inlineStr">
        <is>
          <t>PAREJA: comparten el énfasis y alternan por semana · Con: Fernández Vélez Alfredo Enrique (TEI)</t>
        </is>
      </c>
      <c r="N536">
        <f>C536&amp;"|"&amp;D536</f>
        <v/>
      </c>
      <c r="O536">
        <f>COUNTIF($N$2:N536,N536)</f>
        <v/>
      </c>
      <c r="P536">
        <f>N536&amp;"|"&amp;O536</f>
        <v/>
      </c>
      <c r="Q536">
        <f>C536&amp;"|"&amp;D536&amp;"|"&amp;A536</f>
        <v/>
      </c>
    </row>
    <row r="537">
      <c r="A537" t="n">
        <v>3</v>
      </c>
      <c r="B537" t="inlineStr">
        <is>
          <t>Arboleda Ortiz Luz América</t>
        </is>
      </c>
      <c r="C537" t="inlineStr">
        <is>
          <t>MIERCOLES</t>
        </is>
      </c>
      <c r="D537" t="n">
        <v>5</v>
      </c>
      <c r="E537" t="n">
        <v>3</v>
      </c>
      <c r="F537" t="inlineStr">
        <is>
          <t>ENFASIS</t>
        </is>
      </c>
      <c r="G537" t="inlineStr"/>
      <c r="H537" t="inlineStr">
        <is>
          <t>ART</t>
        </is>
      </c>
      <c r="I537" t="inlineStr">
        <is>
          <t>1101</t>
        </is>
      </c>
      <c r="J537" t="inlineStr">
        <is>
          <t>EQUIPO DE 4: cada docente atiende un grupo de estudiantes en su área</t>
        </is>
      </c>
      <c r="K537" t="inlineStr">
        <is>
          <t>Montaño Anchico Favio Héctor (CAS); Ramírez Guerra Jimmy Eduardo (ERD); Villota Rubio Héctor Hugo (CNA)</t>
        </is>
      </c>
      <c r="L537" t="inlineStr">
        <is>
          <t>ÉNFASIS 11°-1</t>
        </is>
      </c>
      <c r="M537" t="inlineStr">
        <is>
          <t>EQUIPO DE 4: cada docente atiende un grupo de estudiantes en su área · Con: Montaño Anchico Favio Héctor (CAS); Ramírez Guerra Jimmy Eduardo (ERD); Villota Rubio Héctor Hugo (CNA)</t>
        </is>
      </c>
      <c r="N537">
        <f>C537&amp;"|"&amp;D537</f>
        <v/>
      </c>
      <c r="O537">
        <f>COUNTIF($N$2:N537,N537)</f>
        <v/>
      </c>
      <c r="P537">
        <f>N537&amp;"|"&amp;O537</f>
        <v/>
      </c>
      <c r="Q537">
        <f>C537&amp;"|"&amp;D537&amp;"|"&amp;A537</f>
        <v/>
      </c>
    </row>
    <row r="538">
      <c r="A538" t="n">
        <v>30</v>
      </c>
      <c r="B538" t="inlineStr">
        <is>
          <t>Montaño Anchico Favio Héctor</t>
        </is>
      </c>
      <c r="C538" t="inlineStr">
        <is>
          <t>MIERCOLES</t>
        </is>
      </c>
      <c r="D538" t="n">
        <v>5</v>
      </c>
      <c r="E538" t="n">
        <v>3</v>
      </c>
      <c r="F538" t="inlineStr">
        <is>
          <t>ENFASIS</t>
        </is>
      </c>
      <c r="G538" t="inlineStr"/>
      <c r="H538" t="inlineStr">
        <is>
          <t>CAS</t>
        </is>
      </c>
      <c r="I538" t="inlineStr">
        <is>
          <t>1101</t>
        </is>
      </c>
      <c r="J538" t="inlineStr">
        <is>
          <t>EQUIPO DE 4: cada docente atiende un grupo de estudiantes en su área</t>
        </is>
      </c>
      <c r="K538" t="inlineStr">
        <is>
          <t>Arboleda Ortiz Luz América (ART); Ramírez Guerra Jimmy Eduardo (ERD); Villota Rubio Héctor Hugo (CNA)</t>
        </is>
      </c>
      <c r="L538" t="inlineStr">
        <is>
          <t>ÉNFASIS 11°-1</t>
        </is>
      </c>
      <c r="M538" t="inlineStr">
        <is>
          <t>EQUIPO DE 4: cada docente atiende un grupo de estudiantes en su área · Con: Arboleda Ortiz Luz América (ART); Ramírez Guerra Jimmy Eduardo (ERD); Villota Rubio Héctor Hugo (CNA)</t>
        </is>
      </c>
      <c r="N538">
        <f>C538&amp;"|"&amp;D538</f>
        <v/>
      </c>
      <c r="O538">
        <f>COUNTIF($N$2:N538,N538)</f>
        <v/>
      </c>
      <c r="P538">
        <f>N538&amp;"|"&amp;O538</f>
        <v/>
      </c>
      <c r="Q538">
        <f>C538&amp;"|"&amp;D538&amp;"|"&amp;A538</f>
        <v/>
      </c>
    </row>
    <row r="539">
      <c r="A539" t="n">
        <v>43</v>
      </c>
      <c r="B539" t="inlineStr">
        <is>
          <t>Ramírez Guerra Jimmy Eduardo</t>
        </is>
      </c>
      <c r="C539" t="inlineStr">
        <is>
          <t>MIERCOLES</t>
        </is>
      </c>
      <c r="D539" t="n">
        <v>5</v>
      </c>
      <c r="E539" t="n">
        <v>3</v>
      </c>
      <c r="F539" t="inlineStr">
        <is>
          <t>ENFASIS</t>
        </is>
      </c>
      <c r="G539" t="inlineStr"/>
      <c r="H539" t="inlineStr">
        <is>
          <t>ERD</t>
        </is>
      </c>
      <c r="I539" t="inlineStr">
        <is>
          <t>1101</t>
        </is>
      </c>
      <c r="J539" t="inlineStr">
        <is>
          <t>EQUIPO DE 4: cada docente atiende un grupo de estudiantes en su área</t>
        </is>
      </c>
      <c r="K539" t="inlineStr">
        <is>
          <t>Arboleda Ortiz Luz América (ART); Montaño Anchico Favio Héctor (CAS); Villota Rubio Héctor Hugo (CNA)</t>
        </is>
      </c>
      <c r="L539" t="inlineStr">
        <is>
          <t>ÉNFASIS 11°-1</t>
        </is>
      </c>
      <c r="M539" t="inlineStr">
        <is>
          <t>EQUIPO DE 4: cada docente atiende un grupo de estudiantes en su área · Con: Arboleda Ortiz Luz América (ART); Montaño Anchico Favio Héctor (CAS); Villota Rubio Héctor Hugo (CNA)</t>
        </is>
      </c>
      <c r="N539">
        <f>C539&amp;"|"&amp;D539</f>
        <v/>
      </c>
      <c r="O539">
        <f>COUNTIF($N$2:N539,N539)</f>
        <v/>
      </c>
      <c r="P539">
        <f>N539&amp;"|"&amp;O539</f>
        <v/>
      </c>
      <c r="Q539">
        <f>C539&amp;"|"&amp;D539&amp;"|"&amp;A539</f>
        <v/>
      </c>
    </row>
    <row r="540">
      <c r="A540" t="n">
        <v>53</v>
      </c>
      <c r="B540" t="inlineStr">
        <is>
          <t>Villota Rubio Héctor Hugo</t>
        </is>
      </c>
      <c r="C540" t="inlineStr">
        <is>
          <t>MIERCOLES</t>
        </is>
      </c>
      <c r="D540" t="n">
        <v>5</v>
      </c>
      <c r="E540" t="n">
        <v>3</v>
      </c>
      <c r="F540" t="inlineStr">
        <is>
          <t>ENFASIS</t>
        </is>
      </c>
      <c r="G540" t="inlineStr"/>
      <c r="H540" t="inlineStr">
        <is>
          <t>CNA</t>
        </is>
      </c>
      <c r="I540" t="inlineStr">
        <is>
          <t>1101</t>
        </is>
      </c>
      <c r="J540" t="inlineStr">
        <is>
          <t>EQUIPO DE 4: cada docente atiende un grupo de estudiantes en su área</t>
        </is>
      </c>
      <c r="K540" t="inlineStr">
        <is>
          <t>Arboleda Ortiz Luz América (ART); Montaño Anchico Favio Héctor (CAS); Ramírez Guerra Jimmy Eduardo (ERD)</t>
        </is>
      </c>
      <c r="L540" t="inlineStr">
        <is>
          <t>ÉNFASIS 11°-1</t>
        </is>
      </c>
      <c r="M540" t="inlineStr">
        <is>
          <t>EQUIPO DE 4: cada docente atiende un grupo de estudiantes en su área · Con: Arboleda Ortiz Luz América (ART); Montaño Anchico Favio Héctor (CAS); Ramírez Guerra Jimmy Eduardo (ERD)</t>
        </is>
      </c>
      <c r="N540">
        <f>C540&amp;"|"&amp;D540</f>
        <v/>
      </c>
      <c r="O540">
        <f>COUNTIF($N$2:N540,N540)</f>
        <v/>
      </c>
      <c r="P540">
        <f>N540&amp;"|"&amp;O540</f>
        <v/>
      </c>
      <c r="Q540">
        <f>C540&amp;"|"&amp;D540&amp;"|"&amp;A540</f>
        <v/>
      </c>
    </row>
    <row r="541">
      <c r="A541" t="n">
        <v>26</v>
      </c>
      <c r="B541" t="inlineStr">
        <is>
          <t>Lozano Torres Amanda Inés</t>
        </is>
      </c>
      <c r="C541" t="inlineStr">
        <is>
          <t>MIERCOLES</t>
        </is>
      </c>
      <c r="D541" t="n">
        <v>6</v>
      </c>
      <c r="E541" t="n">
        <v>3</v>
      </c>
      <c r="F541" t="inlineStr">
        <is>
          <t>CLASE</t>
        </is>
      </c>
      <c r="G541" t="inlineStr">
        <is>
          <t>0601</t>
        </is>
      </c>
      <c r="H541" t="inlineStr">
        <is>
          <t>ETR</t>
        </is>
      </c>
      <c r="I541" t="inlineStr"/>
      <c r="J541" t="inlineStr">
        <is>
          <t>Ética / Religión (alternan cada semana)</t>
        </is>
      </c>
      <c r="K541" t="inlineStr"/>
      <c r="L541" t="inlineStr">
        <is>
          <t>6°-1</t>
        </is>
      </c>
      <c r="M541" t="inlineStr">
        <is>
          <t>Ética / Religión (alternan cada semana)</t>
        </is>
      </c>
      <c r="N541">
        <f>C541&amp;"|"&amp;D541</f>
        <v/>
      </c>
      <c r="O541">
        <f>COUNTIF($N$2:N541,N541)</f>
        <v/>
      </c>
      <c r="P541">
        <f>N541&amp;"|"&amp;O541</f>
        <v/>
      </c>
      <c r="Q541">
        <f>C541&amp;"|"&amp;D541&amp;"|"&amp;A541</f>
        <v/>
      </c>
    </row>
    <row r="542">
      <c r="A542" t="n">
        <v>20</v>
      </c>
      <c r="B542" t="inlineStr">
        <is>
          <t>García Gobea Saydi Magali</t>
        </is>
      </c>
      <c r="C542" t="inlineStr">
        <is>
          <t>MIERCOLES</t>
        </is>
      </c>
      <c r="D542" t="n">
        <v>6</v>
      </c>
      <c r="E542" t="n">
        <v>3</v>
      </c>
      <c r="F542" t="inlineStr">
        <is>
          <t>CLASE</t>
        </is>
      </c>
      <c r="G542" t="inlineStr">
        <is>
          <t>0602</t>
        </is>
      </c>
      <c r="H542" t="inlineStr">
        <is>
          <t>CSI</t>
        </is>
      </c>
      <c r="I542" t="inlineStr"/>
      <c r="J542" t="inlineStr">
        <is>
          <t>Sociales / Inglés (alternan cada semana)</t>
        </is>
      </c>
      <c r="K542" t="inlineStr"/>
      <c r="L542" t="inlineStr">
        <is>
          <t>6°-2</t>
        </is>
      </c>
      <c r="M542" t="inlineStr">
        <is>
          <t>Sociales / Inglés (alternan cada semana)</t>
        </is>
      </c>
      <c r="N542">
        <f>C542&amp;"|"&amp;D542</f>
        <v/>
      </c>
      <c r="O542">
        <f>COUNTIF($N$2:N542,N542)</f>
        <v/>
      </c>
      <c r="P542">
        <f>N542&amp;"|"&amp;O542</f>
        <v/>
      </c>
      <c r="Q542">
        <f>C542&amp;"|"&amp;D542&amp;"|"&amp;A542</f>
        <v/>
      </c>
    </row>
    <row r="543">
      <c r="A543" t="n">
        <v>8</v>
      </c>
      <c r="B543" t="inlineStr">
        <is>
          <t>Casanova Quiñones Yoli del Carmen</t>
        </is>
      </c>
      <c r="C543" t="inlineStr">
        <is>
          <t>MIERCOLES</t>
        </is>
      </c>
      <c r="D543" t="n">
        <v>6</v>
      </c>
      <c r="E543" t="n">
        <v>3</v>
      </c>
      <c r="F543" t="inlineStr">
        <is>
          <t>CLASE</t>
        </is>
      </c>
      <c r="G543" t="inlineStr">
        <is>
          <t>0701</t>
        </is>
      </c>
      <c r="H543" t="inlineStr">
        <is>
          <t>ETR</t>
        </is>
      </c>
      <c r="I543" t="inlineStr"/>
      <c r="J543" t="inlineStr">
        <is>
          <t>Ética / Religión (alternan cada semana)</t>
        </is>
      </c>
      <c r="K543" t="inlineStr"/>
      <c r="L543" t="inlineStr">
        <is>
          <t>7°-1</t>
        </is>
      </c>
      <c r="M543" t="inlineStr">
        <is>
          <t>Ética / Religión (alternan cada semana)</t>
        </is>
      </c>
      <c r="N543">
        <f>C543&amp;"|"&amp;D543</f>
        <v/>
      </c>
      <c r="O543">
        <f>COUNTIF($N$2:N543,N543)</f>
        <v/>
      </c>
      <c r="P543">
        <f>N543&amp;"|"&amp;O543</f>
        <v/>
      </c>
      <c r="Q543">
        <f>C543&amp;"|"&amp;D543&amp;"|"&amp;A543</f>
        <v/>
      </c>
    </row>
    <row r="544">
      <c r="A544" t="n">
        <v>10</v>
      </c>
      <c r="B544" t="inlineStr">
        <is>
          <t>Castillo Cuero Daira Eneida</t>
        </is>
      </c>
      <c r="C544" t="inlineStr">
        <is>
          <t>MIERCOLES</t>
        </is>
      </c>
      <c r="D544" t="n">
        <v>6</v>
      </c>
      <c r="E544" t="n">
        <v>3</v>
      </c>
      <c r="F544" t="inlineStr">
        <is>
          <t>CLASE</t>
        </is>
      </c>
      <c r="G544" t="inlineStr">
        <is>
          <t>0702</t>
        </is>
      </c>
      <c r="H544" t="inlineStr">
        <is>
          <t>CAS</t>
        </is>
      </c>
      <c r="I544" t="inlineStr"/>
      <c r="J544" t="inlineStr"/>
      <c r="K544" t="inlineStr"/>
      <c r="L544" t="inlineStr">
        <is>
          <t>7°-2</t>
        </is>
      </c>
      <c r="M544" t="inlineStr"/>
      <c r="N544">
        <f>C544&amp;"|"&amp;D544</f>
        <v/>
      </c>
      <c r="O544">
        <f>COUNTIF($N$2:N544,N544)</f>
        <v/>
      </c>
      <c r="P544">
        <f>N544&amp;"|"&amp;O544</f>
        <v/>
      </c>
      <c r="Q544">
        <f>C544&amp;"|"&amp;D544&amp;"|"&amp;A544</f>
        <v/>
      </c>
    </row>
    <row r="545">
      <c r="A545" t="n">
        <v>4</v>
      </c>
      <c r="B545" t="inlineStr">
        <is>
          <t>Arizala Castro Roberto Carlos</t>
        </is>
      </c>
      <c r="C545" t="inlineStr">
        <is>
          <t>MIERCOLES</t>
        </is>
      </c>
      <c r="D545" t="n">
        <v>6</v>
      </c>
      <c r="E545" t="n">
        <v>3</v>
      </c>
      <c r="F545" t="inlineStr">
        <is>
          <t>CLASE</t>
        </is>
      </c>
      <c r="G545" t="inlineStr">
        <is>
          <t>0703</t>
        </is>
      </c>
      <c r="H545" t="inlineStr">
        <is>
          <t>ERD</t>
        </is>
      </c>
      <c r="I545" t="inlineStr"/>
      <c r="J545" t="inlineStr"/>
      <c r="K545" t="inlineStr"/>
      <c r="L545" t="inlineStr">
        <is>
          <t>7°-3</t>
        </is>
      </c>
      <c r="M545" t="inlineStr"/>
      <c r="N545">
        <f>C545&amp;"|"&amp;D545</f>
        <v/>
      </c>
      <c r="O545">
        <f>COUNTIF($N$2:N545,N545)</f>
        <v/>
      </c>
      <c r="P545">
        <f>N545&amp;"|"&amp;O545</f>
        <v/>
      </c>
      <c r="Q545">
        <f>C545&amp;"|"&amp;D545&amp;"|"&amp;A545</f>
        <v/>
      </c>
    </row>
    <row r="546">
      <c r="A546" t="n">
        <v>44</v>
      </c>
      <c r="B546" t="inlineStr">
        <is>
          <t>Samaniego Angulo Flor Mireya</t>
        </is>
      </c>
      <c r="C546" t="inlineStr">
        <is>
          <t>MIERCOLES</t>
        </is>
      </c>
      <c r="D546" t="n">
        <v>6</v>
      </c>
      <c r="E546" t="n">
        <v>3</v>
      </c>
      <c r="F546" t="inlineStr">
        <is>
          <t>CLASE</t>
        </is>
      </c>
      <c r="G546" t="inlineStr">
        <is>
          <t>0801</t>
        </is>
      </c>
      <c r="H546" t="inlineStr">
        <is>
          <t>ART</t>
        </is>
      </c>
      <c r="I546" t="inlineStr"/>
      <c r="J546" t="inlineStr"/>
      <c r="K546" t="inlineStr"/>
      <c r="L546" t="inlineStr">
        <is>
          <t>8°-1</t>
        </is>
      </c>
      <c r="M546" t="inlineStr"/>
      <c r="N546">
        <f>C546&amp;"|"&amp;D546</f>
        <v/>
      </c>
      <c r="O546">
        <f>COUNTIF($N$2:N546,N546)</f>
        <v/>
      </c>
      <c r="P546">
        <f>N546&amp;"|"&amp;O546</f>
        <v/>
      </c>
      <c r="Q546">
        <f>C546&amp;"|"&amp;D546&amp;"|"&amp;A546</f>
        <v/>
      </c>
    </row>
    <row r="547">
      <c r="A547" t="n">
        <v>25</v>
      </c>
      <c r="B547" t="inlineStr">
        <is>
          <t>Lemos Guancha Miriam</t>
        </is>
      </c>
      <c r="C547" t="inlineStr">
        <is>
          <t>MIERCOLES</t>
        </is>
      </c>
      <c r="D547" t="n">
        <v>6</v>
      </c>
      <c r="E547" t="n">
        <v>3</v>
      </c>
      <c r="F547" t="inlineStr">
        <is>
          <t>CLASE</t>
        </is>
      </c>
      <c r="G547" t="inlineStr">
        <is>
          <t>0901</t>
        </is>
      </c>
      <c r="H547" t="inlineStr">
        <is>
          <t>CNA</t>
        </is>
      </c>
      <c r="I547" t="inlineStr"/>
      <c r="J547" t="inlineStr"/>
      <c r="K547" t="inlineStr"/>
      <c r="L547" t="inlineStr">
        <is>
          <t>9°-1</t>
        </is>
      </c>
      <c r="M547" t="inlineStr"/>
      <c r="N547">
        <f>C547&amp;"|"&amp;D547</f>
        <v/>
      </c>
      <c r="O547">
        <f>COUNTIF($N$2:N547,N547)</f>
        <v/>
      </c>
      <c r="P547">
        <f>N547&amp;"|"&amp;O547</f>
        <v/>
      </c>
      <c r="Q547">
        <f>C547&amp;"|"&amp;D547&amp;"|"&amp;A547</f>
        <v/>
      </c>
    </row>
    <row r="548">
      <c r="A548" t="n">
        <v>49</v>
      </c>
      <c r="B548" t="inlineStr">
        <is>
          <t>Valencia Marínez Saidy Eufemia</t>
        </is>
      </c>
      <c r="C548" t="inlineStr">
        <is>
          <t>MIERCOLES</t>
        </is>
      </c>
      <c r="D548" t="n">
        <v>6</v>
      </c>
      <c r="E548" t="n">
        <v>3</v>
      </c>
      <c r="F548" t="inlineStr">
        <is>
          <t>CLASE</t>
        </is>
      </c>
      <c r="G548" t="inlineStr">
        <is>
          <t>0902</t>
        </is>
      </c>
      <c r="H548" t="inlineStr">
        <is>
          <t>ART</t>
        </is>
      </c>
      <c r="I548" t="inlineStr"/>
      <c r="J548" t="inlineStr"/>
      <c r="K548" t="inlineStr"/>
      <c r="L548" t="inlineStr">
        <is>
          <t>9°-2</t>
        </is>
      </c>
      <c r="M548" t="inlineStr"/>
      <c r="N548">
        <f>C548&amp;"|"&amp;D548</f>
        <v/>
      </c>
      <c r="O548">
        <f>COUNTIF($N$2:N548,N548)</f>
        <v/>
      </c>
      <c r="P548">
        <f>N548&amp;"|"&amp;O548</f>
        <v/>
      </c>
      <c r="Q548">
        <f>C548&amp;"|"&amp;D548&amp;"|"&amp;A548</f>
        <v/>
      </c>
    </row>
    <row r="549">
      <c r="A549" t="n">
        <v>5</v>
      </c>
      <c r="B549" t="inlineStr">
        <is>
          <t>Bastidas Valencia Zeneida Judith</t>
        </is>
      </c>
      <c r="C549" t="inlineStr">
        <is>
          <t>MIERCOLES</t>
        </is>
      </c>
      <c r="D549" t="n">
        <v>6</v>
      </c>
      <c r="E549" t="n">
        <v>3</v>
      </c>
      <c r="F549" t="inlineStr">
        <is>
          <t>CLASE</t>
        </is>
      </c>
      <c r="G549" t="inlineStr">
        <is>
          <t>1001</t>
        </is>
      </c>
      <c r="H549" t="inlineStr">
        <is>
          <t>MAT</t>
        </is>
      </c>
      <c r="I549" t="inlineStr"/>
      <c r="J549" t="inlineStr"/>
      <c r="K549" t="inlineStr"/>
      <c r="L549" t="inlineStr">
        <is>
          <t>10°-1</t>
        </is>
      </c>
      <c r="M549" t="inlineStr"/>
      <c r="N549">
        <f>C549&amp;"|"&amp;D549</f>
        <v/>
      </c>
      <c r="O549">
        <f>COUNTIF($N$2:N549,N549)</f>
        <v/>
      </c>
      <c r="P549">
        <f>N549&amp;"|"&amp;O549</f>
        <v/>
      </c>
      <c r="Q549">
        <f>C549&amp;"|"&amp;D549&amp;"|"&amp;A549</f>
        <v/>
      </c>
    </row>
    <row r="550">
      <c r="A550" t="n">
        <v>54</v>
      </c>
      <c r="B550" t="inlineStr">
        <is>
          <t>Villota Rubio Janeth del Carmen</t>
        </is>
      </c>
      <c r="C550" t="inlineStr">
        <is>
          <t>MIERCOLES</t>
        </is>
      </c>
      <c r="D550" t="n">
        <v>6</v>
      </c>
      <c r="E550" t="n">
        <v>3</v>
      </c>
      <c r="F550" t="inlineStr">
        <is>
          <t>CLASE</t>
        </is>
      </c>
      <c r="G550" t="inlineStr">
        <is>
          <t>1002</t>
        </is>
      </c>
      <c r="H550" t="inlineStr">
        <is>
          <t>MAT</t>
        </is>
      </c>
      <c r="I550" t="inlineStr"/>
      <c r="J550" t="inlineStr"/>
      <c r="K550" t="inlineStr"/>
      <c r="L550" t="inlineStr">
        <is>
          <t>10°-2</t>
        </is>
      </c>
      <c r="M550" t="inlineStr"/>
      <c r="N550">
        <f>C550&amp;"|"&amp;D550</f>
        <v/>
      </c>
      <c r="O550">
        <f>COUNTIF($N$2:N550,N550)</f>
        <v/>
      </c>
      <c r="P550">
        <f>N550&amp;"|"&amp;O550</f>
        <v/>
      </c>
      <c r="Q550">
        <f>C550&amp;"|"&amp;D550&amp;"|"&amp;A550</f>
        <v/>
      </c>
    </row>
    <row r="551">
      <c r="A551" t="n">
        <v>2</v>
      </c>
      <c r="B551" t="inlineStr">
        <is>
          <t>Angulo Lucero Andrés Mauricio</t>
        </is>
      </c>
      <c r="C551" t="inlineStr">
        <is>
          <t>MIERCOLES</t>
        </is>
      </c>
      <c r="D551" t="n">
        <v>6</v>
      </c>
      <c r="E551" t="n">
        <v>3</v>
      </c>
      <c r="F551" t="inlineStr">
        <is>
          <t>CLASE</t>
        </is>
      </c>
      <c r="G551" t="inlineStr">
        <is>
          <t>1102</t>
        </is>
      </c>
      <c r="H551" t="inlineStr">
        <is>
          <t>TEI</t>
        </is>
      </c>
      <c r="I551" t="inlineStr"/>
      <c r="J551" t="inlineStr"/>
      <c r="K551" t="inlineStr"/>
      <c r="L551" t="inlineStr">
        <is>
          <t>11°-2</t>
        </is>
      </c>
      <c r="M551" t="inlineStr"/>
      <c r="N551">
        <f>C551&amp;"|"&amp;D551</f>
        <v/>
      </c>
      <c r="O551">
        <f>COUNTIF($N$2:N551,N551)</f>
        <v/>
      </c>
      <c r="P551">
        <f>N551&amp;"|"&amp;O551</f>
        <v/>
      </c>
      <c r="Q551">
        <f>C551&amp;"|"&amp;D551&amp;"|"&amp;A551</f>
        <v/>
      </c>
    </row>
    <row r="552">
      <c r="A552" t="n">
        <v>57</v>
      </c>
      <c r="B552" t="inlineStr">
        <is>
          <t>Armero Dájome Jesús</t>
        </is>
      </c>
      <c r="C552" t="inlineStr">
        <is>
          <t>MIERCOLES</t>
        </is>
      </c>
      <c r="D552" t="n">
        <v>6</v>
      </c>
      <c r="E552" t="n">
        <v>3</v>
      </c>
      <c r="F552" t="inlineStr">
        <is>
          <t>CLASE</t>
        </is>
      </c>
      <c r="G552" t="inlineStr">
        <is>
          <t>CS101</t>
        </is>
      </c>
      <c r="H552" t="inlineStr">
        <is>
          <t>ERD</t>
        </is>
      </c>
      <c r="I552" t="inlineStr"/>
      <c r="J552" t="inlineStr"/>
      <c r="K552" t="inlineStr"/>
      <c r="L552" t="inlineStr">
        <is>
          <t>CS 1-1</t>
        </is>
      </c>
      <c r="M552" t="inlineStr"/>
      <c r="N552">
        <f>C552&amp;"|"&amp;D552</f>
        <v/>
      </c>
      <c r="O552">
        <f>COUNTIF($N$2:N552,N552)</f>
        <v/>
      </c>
      <c r="P552">
        <f>N552&amp;"|"&amp;O552</f>
        <v/>
      </c>
      <c r="Q552">
        <f>C552&amp;"|"&amp;D552&amp;"|"&amp;A552</f>
        <v/>
      </c>
    </row>
    <row r="553">
      <c r="A553" t="n">
        <v>37</v>
      </c>
      <c r="B553" t="inlineStr">
        <is>
          <t>Prado Quiñones Genís Maribel</t>
        </is>
      </c>
      <c r="C553" t="inlineStr">
        <is>
          <t>MIERCOLES</t>
        </is>
      </c>
      <c r="D553" t="n">
        <v>6</v>
      </c>
      <c r="E553" t="n">
        <v>3</v>
      </c>
      <c r="F553" t="inlineStr">
        <is>
          <t>CLASE</t>
        </is>
      </c>
      <c r="G553" t="inlineStr">
        <is>
          <t>CS102</t>
        </is>
      </c>
      <c r="H553" t="inlineStr">
        <is>
          <t>ART</t>
        </is>
      </c>
      <c r="I553" t="inlineStr"/>
      <c r="J553" t="inlineStr"/>
      <c r="K553" t="inlineStr"/>
      <c r="L553" t="inlineStr">
        <is>
          <t>CS 1-2</t>
        </is>
      </c>
      <c r="M553" t="inlineStr"/>
      <c r="N553">
        <f>C553&amp;"|"&amp;D553</f>
        <v/>
      </c>
      <c r="O553">
        <f>COUNTIF($N$2:N553,N553)</f>
        <v/>
      </c>
      <c r="P553">
        <f>N553&amp;"|"&amp;O553</f>
        <v/>
      </c>
      <c r="Q553">
        <f>C553&amp;"|"&amp;D553&amp;"|"&amp;A553</f>
        <v/>
      </c>
    </row>
    <row r="554">
      <c r="A554" t="n">
        <v>51</v>
      </c>
      <c r="B554" t="inlineStr">
        <is>
          <t>Valverde Montaño María Teresa</t>
        </is>
      </c>
      <c r="C554" t="inlineStr">
        <is>
          <t>MIERCOLES</t>
        </is>
      </c>
      <c r="D554" t="n">
        <v>6</v>
      </c>
      <c r="E554" t="n">
        <v>3</v>
      </c>
      <c r="F554" t="inlineStr">
        <is>
          <t>CLASE</t>
        </is>
      </c>
      <c r="G554" t="inlineStr">
        <is>
          <t>CS201</t>
        </is>
      </c>
      <c r="H554" t="inlineStr">
        <is>
          <t>CAS</t>
        </is>
      </c>
      <c r="I554" t="inlineStr"/>
      <c r="J554" t="inlineStr"/>
      <c r="K554" t="inlineStr"/>
      <c r="L554" t="inlineStr">
        <is>
          <t>CS 2-1</t>
        </is>
      </c>
      <c r="M554" t="inlineStr"/>
      <c r="N554">
        <f>C554&amp;"|"&amp;D554</f>
        <v/>
      </c>
      <c r="O554">
        <f>COUNTIF($N$2:N554,N554)</f>
        <v/>
      </c>
      <c r="P554">
        <f>N554&amp;"|"&amp;O554</f>
        <v/>
      </c>
      <c r="Q554">
        <f>C554&amp;"|"&amp;D554&amp;"|"&amp;A554</f>
        <v/>
      </c>
    </row>
    <row r="555">
      <c r="A555" t="n">
        <v>12</v>
      </c>
      <c r="B555" t="inlineStr">
        <is>
          <t>Chillambo Quiñones María Rocío</t>
        </is>
      </c>
      <c r="C555" t="inlineStr">
        <is>
          <t>MIERCOLES</t>
        </is>
      </c>
      <c r="D555" t="n">
        <v>6</v>
      </c>
      <c r="E555" t="n">
        <v>3</v>
      </c>
      <c r="F555" t="inlineStr">
        <is>
          <t>CLASE</t>
        </is>
      </c>
      <c r="G555" t="inlineStr">
        <is>
          <t>CS202</t>
        </is>
      </c>
      <c r="H555" t="inlineStr">
        <is>
          <t>CNA</t>
        </is>
      </c>
      <c r="I555" t="inlineStr"/>
      <c r="J555" t="inlineStr"/>
      <c r="K555" t="inlineStr"/>
      <c r="L555" t="inlineStr">
        <is>
          <t>CS 2-2</t>
        </is>
      </c>
      <c r="M555" t="inlineStr"/>
      <c r="N555">
        <f>C555&amp;"|"&amp;D555</f>
        <v/>
      </c>
      <c r="O555">
        <f>COUNTIF($N$2:N555,N555)</f>
        <v/>
      </c>
      <c r="P555">
        <f>N555&amp;"|"&amp;O555</f>
        <v/>
      </c>
      <c r="Q555">
        <f>C555&amp;"|"&amp;D555&amp;"|"&amp;A555</f>
        <v/>
      </c>
    </row>
    <row r="556">
      <c r="A556" t="n">
        <v>1</v>
      </c>
      <c r="B556" t="inlineStr">
        <is>
          <t>Aguirre Riascos Jorge Andrés</t>
        </is>
      </c>
      <c r="C556" t="inlineStr">
        <is>
          <t>MIERCOLES</t>
        </is>
      </c>
      <c r="D556" t="n">
        <v>6</v>
      </c>
      <c r="E556" t="n">
        <v>3</v>
      </c>
      <c r="F556" t="inlineStr">
        <is>
          <t>ENFASIS</t>
        </is>
      </c>
      <c r="G556" t="inlineStr"/>
      <c r="H556" t="inlineStr">
        <is>
          <t>TEI</t>
        </is>
      </c>
      <c r="I556" t="inlineStr">
        <is>
          <t>0704</t>
        </is>
      </c>
      <c r="J556" t="inlineStr">
        <is>
          <t>PAREJA: comparten el énfasis y alternan por semana</t>
        </is>
      </c>
      <c r="K556" t="inlineStr">
        <is>
          <t>Vásquez Valencia Segundo Leoncio (MAT)</t>
        </is>
      </c>
      <c r="L556" t="inlineStr">
        <is>
          <t>ÉNFASIS 7°-4</t>
        </is>
      </c>
      <c r="M556" t="inlineStr">
        <is>
          <t>PAREJA: comparten el énfasis y alternan por semana · Con: Vásquez Valencia Segundo Leoncio (MAT)</t>
        </is>
      </c>
      <c r="N556">
        <f>C556&amp;"|"&amp;D556</f>
        <v/>
      </c>
      <c r="O556">
        <f>COUNTIF($N$2:N556,N556)</f>
        <v/>
      </c>
      <c r="P556">
        <f>N556&amp;"|"&amp;O556</f>
        <v/>
      </c>
      <c r="Q556">
        <f>C556&amp;"|"&amp;D556&amp;"|"&amp;A556</f>
        <v/>
      </c>
    </row>
    <row r="557">
      <c r="A557" t="n">
        <v>52</v>
      </c>
      <c r="B557" t="inlineStr">
        <is>
          <t>Vásquez Valencia Segundo Leoncio</t>
        </is>
      </c>
      <c r="C557" t="inlineStr">
        <is>
          <t>MIERCOLES</t>
        </is>
      </c>
      <c r="D557" t="n">
        <v>6</v>
      </c>
      <c r="E557" t="n">
        <v>3</v>
      </c>
      <c r="F557" t="inlineStr">
        <is>
          <t>ENFASIS</t>
        </is>
      </c>
      <c r="G557" t="inlineStr"/>
      <c r="H557" t="inlineStr">
        <is>
          <t>MAT</t>
        </is>
      </c>
      <c r="I557" t="inlineStr">
        <is>
          <t>0704</t>
        </is>
      </c>
      <c r="J557" t="inlineStr">
        <is>
          <t>PAREJA: comparten el énfasis y alternan por semana</t>
        </is>
      </c>
      <c r="K557" t="inlineStr">
        <is>
          <t>Aguirre Riascos Jorge Andrés (TEI)</t>
        </is>
      </c>
      <c r="L557" t="inlineStr">
        <is>
          <t>ÉNFASIS 7°-4</t>
        </is>
      </c>
      <c r="M557" t="inlineStr">
        <is>
          <t>PAREJA: comparten el énfasis y alternan por semana · Con: Aguirre Riascos Jorge Andrés (TEI)</t>
        </is>
      </c>
      <c r="N557">
        <f>C557&amp;"|"&amp;D557</f>
        <v/>
      </c>
      <c r="O557">
        <f>COUNTIF($N$2:N557,N557)</f>
        <v/>
      </c>
      <c r="P557">
        <f>N557&amp;"|"&amp;O557</f>
        <v/>
      </c>
      <c r="Q557">
        <f>C557&amp;"|"&amp;D557&amp;"|"&amp;A557</f>
        <v/>
      </c>
    </row>
    <row r="558">
      <c r="A558" t="n">
        <v>9</v>
      </c>
      <c r="B558" t="inlineStr">
        <is>
          <t>Castillo Angulo Martha Cecilia</t>
        </is>
      </c>
      <c r="C558" t="inlineStr">
        <is>
          <t>MIERCOLES</t>
        </is>
      </c>
      <c r="D558" t="n">
        <v>6</v>
      </c>
      <c r="E558" t="n">
        <v>3</v>
      </c>
      <c r="F558" t="inlineStr">
        <is>
          <t>ENFASIS</t>
        </is>
      </c>
      <c r="G558" t="inlineStr"/>
      <c r="H558" t="inlineStr">
        <is>
          <t>ETR</t>
        </is>
      </c>
      <c r="I558" t="inlineStr">
        <is>
          <t>0802</t>
        </is>
      </c>
      <c r="J558" t="inlineStr">
        <is>
          <t>PAREJA: comparten el énfasis y alternan por semana</t>
        </is>
      </c>
      <c r="K558" t="inlineStr">
        <is>
          <t>Ortiz Araujo Adiela Carlota (CSI)</t>
        </is>
      </c>
      <c r="L558" t="inlineStr">
        <is>
          <t>ÉNFASIS 8°-2</t>
        </is>
      </c>
      <c r="M558" t="inlineStr">
        <is>
          <t>PAREJA: comparten el énfasis y alternan por semana · Con: Ortiz Araujo Adiela Carlota (CSI)</t>
        </is>
      </c>
      <c r="N558">
        <f>C558&amp;"|"&amp;D558</f>
        <v/>
      </c>
      <c r="O558">
        <f>COUNTIF($N$2:N558,N558)</f>
        <v/>
      </c>
      <c r="P558">
        <f>N558&amp;"|"&amp;O558</f>
        <v/>
      </c>
      <c r="Q558">
        <f>C558&amp;"|"&amp;D558&amp;"|"&amp;A558</f>
        <v/>
      </c>
    </row>
    <row r="559">
      <c r="A559" t="n">
        <v>19</v>
      </c>
      <c r="B559" t="inlineStr">
        <is>
          <t>Fernández Vélez Alfredo Enrique</t>
        </is>
      </c>
      <c r="C559" t="inlineStr">
        <is>
          <t>MIERCOLES</t>
        </is>
      </c>
      <c r="D559" t="n">
        <v>6</v>
      </c>
      <c r="E559" t="n">
        <v>3</v>
      </c>
      <c r="F559" t="inlineStr">
        <is>
          <t>ENFASIS</t>
        </is>
      </c>
      <c r="G559" t="inlineStr"/>
      <c r="H559" t="inlineStr">
        <is>
          <t>TEI</t>
        </is>
      </c>
      <c r="I559" t="inlineStr">
        <is>
          <t>0802</t>
        </is>
      </c>
      <c r="J559" t="inlineStr">
        <is>
          <t>PAREJA: comparten el énfasis y alternan por semana</t>
        </is>
      </c>
      <c r="K559" t="inlineStr">
        <is>
          <t>Preciado Torres Oleisa (MAT)</t>
        </is>
      </c>
      <c r="L559" t="inlineStr">
        <is>
          <t>ÉNFASIS 8°-2</t>
        </is>
      </c>
      <c r="M559" t="inlineStr">
        <is>
          <t>PAREJA: comparten el énfasis y alternan por semana · Con: Preciado Torres Oleisa (MAT)</t>
        </is>
      </c>
      <c r="N559">
        <f>C559&amp;"|"&amp;D559</f>
        <v/>
      </c>
      <c r="O559">
        <f>COUNTIF($N$2:N559,N559)</f>
        <v/>
      </c>
      <c r="P559">
        <f>N559&amp;"|"&amp;O559</f>
        <v/>
      </c>
      <c r="Q559">
        <f>C559&amp;"|"&amp;D559&amp;"|"&amp;A559</f>
        <v/>
      </c>
    </row>
    <row r="560">
      <c r="A560" t="n">
        <v>35</v>
      </c>
      <c r="B560" t="inlineStr">
        <is>
          <t>Ortiz Araujo Adiela Carlota</t>
        </is>
      </c>
      <c r="C560" t="inlineStr">
        <is>
          <t>MIERCOLES</t>
        </is>
      </c>
      <c r="D560" t="n">
        <v>6</v>
      </c>
      <c r="E560" t="n">
        <v>3</v>
      </c>
      <c r="F560" t="inlineStr">
        <is>
          <t>ENFASIS</t>
        </is>
      </c>
      <c r="G560" t="inlineStr"/>
      <c r="H560" t="inlineStr">
        <is>
          <t>CSI</t>
        </is>
      </c>
      <c r="I560" t="inlineStr">
        <is>
          <t>0802</t>
        </is>
      </c>
      <c r="J560" t="inlineStr">
        <is>
          <t>PAREJA: comparten el énfasis y alternan por semana</t>
        </is>
      </c>
      <c r="K560" t="inlineStr">
        <is>
          <t>Castillo Angulo Martha Cecilia (ETR)</t>
        </is>
      </c>
      <c r="L560" t="inlineStr">
        <is>
          <t>ÉNFASIS 8°-2</t>
        </is>
      </c>
      <c r="M560" t="inlineStr">
        <is>
          <t>PAREJA: comparten el énfasis y alternan por semana · Con: Castillo Angulo Martha Cecilia (ETR)</t>
        </is>
      </c>
      <c r="N560">
        <f>C560&amp;"|"&amp;D560</f>
        <v/>
      </c>
      <c r="O560">
        <f>COUNTIF($N$2:N560,N560)</f>
        <v/>
      </c>
      <c r="P560">
        <f>N560&amp;"|"&amp;O560</f>
        <v/>
      </c>
      <c r="Q560">
        <f>C560&amp;"|"&amp;D560&amp;"|"&amp;A560</f>
        <v/>
      </c>
    </row>
    <row r="561">
      <c r="A561" t="n">
        <v>38</v>
      </c>
      <c r="B561" t="inlineStr">
        <is>
          <t>Preciado Torres Oleisa</t>
        </is>
      </c>
      <c r="C561" t="inlineStr">
        <is>
          <t>MIERCOLES</t>
        </is>
      </c>
      <c r="D561" t="n">
        <v>6</v>
      </c>
      <c r="E561" t="n">
        <v>3</v>
      </c>
      <c r="F561" t="inlineStr">
        <is>
          <t>ENFASIS</t>
        </is>
      </c>
      <c r="G561" t="inlineStr"/>
      <c r="H561" t="inlineStr">
        <is>
          <t>MAT</t>
        </is>
      </c>
      <c r="I561" t="inlineStr">
        <is>
          <t>0802</t>
        </is>
      </c>
      <c r="J561" t="inlineStr">
        <is>
          <t>PAREJA: comparten el énfasis y alternan por semana</t>
        </is>
      </c>
      <c r="K561" t="inlineStr">
        <is>
          <t>Fernández Vélez Alfredo Enrique (TEI)</t>
        </is>
      </c>
      <c r="L561" t="inlineStr">
        <is>
          <t>ÉNFASIS 8°-2</t>
        </is>
      </c>
      <c r="M561" t="inlineStr">
        <is>
          <t>PAREJA: comparten el énfasis y alternan por semana · Con: Fernández Vélez Alfredo Enrique (TEI)</t>
        </is>
      </c>
      <c r="N561">
        <f>C561&amp;"|"&amp;D561</f>
        <v/>
      </c>
      <c r="O561">
        <f>COUNTIF($N$2:N561,N561)</f>
        <v/>
      </c>
      <c r="P561">
        <f>N561&amp;"|"&amp;O561</f>
        <v/>
      </c>
      <c r="Q561">
        <f>C561&amp;"|"&amp;D561&amp;"|"&amp;A561</f>
        <v/>
      </c>
    </row>
    <row r="562">
      <c r="A562" t="n">
        <v>3</v>
      </c>
      <c r="B562" t="inlineStr">
        <is>
          <t>Arboleda Ortiz Luz América</t>
        </is>
      </c>
      <c r="C562" t="inlineStr">
        <is>
          <t>MIERCOLES</t>
        </is>
      </c>
      <c r="D562" t="n">
        <v>6</v>
      </c>
      <c r="E562" t="n">
        <v>3</v>
      </c>
      <c r="F562" t="inlineStr">
        <is>
          <t>ENFASIS</t>
        </is>
      </c>
      <c r="G562" t="inlineStr"/>
      <c r="H562" t="inlineStr">
        <is>
          <t>ART</t>
        </is>
      </c>
      <c r="I562" t="inlineStr">
        <is>
          <t>1101</t>
        </is>
      </c>
      <c r="J562" t="inlineStr">
        <is>
          <t>EQUIPO DE 4: cada docente atiende un grupo de estudiantes en su área</t>
        </is>
      </c>
      <c r="K562" t="inlineStr">
        <is>
          <t>Montaño Anchico Favio Héctor (CAS); Ramírez Guerra Jimmy Eduardo (ERD); Villota Rubio Héctor Hugo (CNA)</t>
        </is>
      </c>
      <c r="L562" t="inlineStr">
        <is>
          <t>ÉNFASIS 11°-1</t>
        </is>
      </c>
      <c r="M562" t="inlineStr">
        <is>
          <t>EQUIPO DE 4: cada docente atiende un grupo de estudiantes en su área · Con: Montaño Anchico Favio Héctor (CAS); Ramírez Guerra Jimmy Eduardo (ERD); Villota Rubio Héctor Hugo (CNA)</t>
        </is>
      </c>
      <c r="N562">
        <f>C562&amp;"|"&amp;D562</f>
        <v/>
      </c>
      <c r="O562">
        <f>COUNTIF($N$2:N562,N562)</f>
        <v/>
      </c>
      <c r="P562">
        <f>N562&amp;"|"&amp;O562</f>
        <v/>
      </c>
      <c r="Q562">
        <f>C562&amp;"|"&amp;D562&amp;"|"&amp;A562</f>
        <v/>
      </c>
    </row>
    <row r="563">
      <c r="A563" t="n">
        <v>30</v>
      </c>
      <c r="B563" t="inlineStr">
        <is>
          <t>Montaño Anchico Favio Héctor</t>
        </is>
      </c>
      <c r="C563" t="inlineStr">
        <is>
          <t>MIERCOLES</t>
        </is>
      </c>
      <c r="D563" t="n">
        <v>6</v>
      </c>
      <c r="E563" t="n">
        <v>3</v>
      </c>
      <c r="F563" t="inlineStr">
        <is>
          <t>ENFASIS</t>
        </is>
      </c>
      <c r="G563" t="inlineStr"/>
      <c r="H563" t="inlineStr">
        <is>
          <t>CAS</t>
        </is>
      </c>
      <c r="I563" t="inlineStr">
        <is>
          <t>1101</t>
        </is>
      </c>
      <c r="J563" t="inlineStr">
        <is>
          <t>EQUIPO DE 4: cada docente atiende un grupo de estudiantes en su área</t>
        </is>
      </c>
      <c r="K563" t="inlineStr">
        <is>
          <t>Arboleda Ortiz Luz América (ART); Ramírez Guerra Jimmy Eduardo (ERD); Villota Rubio Héctor Hugo (CNA)</t>
        </is>
      </c>
      <c r="L563" t="inlineStr">
        <is>
          <t>ÉNFASIS 11°-1</t>
        </is>
      </c>
      <c r="M563" t="inlineStr">
        <is>
          <t>EQUIPO DE 4: cada docente atiende un grupo de estudiantes en su área · Con: Arboleda Ortiz Luz América (ART); Ramírez Guerra Jimmy Eduardo (ERD); Villota Rubio Héctor Hugo (CNA)</t>
        </is>
      </c>
      <c r="N563">
        <f>C563&amp;"|"&amp;D563</f>
        <v/>
      </c>
      <c r="O563">
        <f>COUNTIF($N$2:N563,N563)</f>
        <v/>
      </c>
      <c r="P563">
        <f>N563&amp;"|"&amp;O563</f>
        <v/>
      </c>
      <c r="Q563">
        <f>C563&amp;"|"&amp;D563&amp;"|"&amp;A563</f>
        <v/>
      </c>
    </row>
    <row r="564">
      <c r="A564" t="n">
        <v>43</v>
      </c>
      <c r="B564" t="inlineStr">
        <is>
          <t>Ramírez Guerra Jimmy Eduardo</t>
        </is>
      </c>
      <c r="C564" t="inlineStr">
        <is>
          <t>MIERCOLES</t>
        </is>
      </c>
      <c r="D564" t="n">
        <v>6</v>
      </c>
      <c r="E564" t="n">
        <v>3</v>
      </c>
      <c r="F564" t="inlineStr">
        <is>
          <t>ENFASIS</t>
        </is>
      </c>
      <c r="G564" t="inlineStr"/>
      <c r="H564" t="inlineStr">
        <is>
          <t>ERD</t>
        </is>
      </c>
      <c r="I564" t="inlineStr">
        <is>
          <t>1101</t>
        </is>
      </c>
      <c r="J564" t="inlineStr">
        <is>
          <t>EQUIPO DE 4: cada docente atiende un grupo de estudiantes en su área</t>
        </is>
      </c>
      <c r="K564" t="inlineStr">
        <is>
          <t>Arboleda Ortiz Luz América (ART); Montaño Anchico Favio Héctor (CAS); Villota Rubio Héctor Hugo (CNA)</t>
        </is>
      </c>
      <c r="L564" t="inlineStr">
        <is>
          <t>ÉNFASIS 11°-1</t>
        </is>
      </c>
      <c r="M564" t="inlineStr">
        <is>
          <t>EQUIPO DE 4: cada docente atiende un grupo de estudiantes en su área · Con: Arboleda Ortiz Luz América (ART); Montaño Anchico Favio Héctor (CAS); Villota Rubio Héctor Hugo (CNA)</t>
        </is>
      </c>
      <c r="N564">
        <f>C564&amp;"|"&amp;D564</f>
        <v/>
      </c>
      <c r="O564">
        <f>COUNTIF($N$2:N564,N564)</f>
        <v/>
      </c>
      <c r="P564">
        <f>N564&amp;"|"&amp;O564</f>
        <v/>
      </c>
      <c r="Q564">
        <f>C564&amp;"|"&amp;D564&amp;"|"&amp;A564</f>
        <v/>
      </c>
    </row>
    <row r="565">
      <c r="A565" t="n">
        <v>53</v>
      </c>
      <c r="B565" t="inlineStr">
        <is>
          <t>Villota Rubio Héctor Hugo</t>
        </is>
      </c>
      <c r="C565" t="inlineStr">
        <is>
          <t>MIERCOLES</t>
        </is>
      </c>
      <c r="D565" t="n">
        <v>6</v>
      </c>
      <c r="E565" t="n">
        <v>3</v>
      </c>
      <c r="F565" t="inlineStr">
        <is>
          <t>ENFASIS</t>
        </is>
      </c>
      <c r="G565" t="inlineStr"/>
      <c r="H565" t="inlineStr">
        <is>
          <t>CNA</t>
        </is>
      </c>
      <c r="I565" t="inlineStr">
        <is>
          <t>1101</t>
        </is>
      </c>
      <c r="J565" t="inlineStr">
        <is>
          <t>EQUIPO DE 4: cada docente atiende un grupo de estudiantes en su área</t>
        </is>
      </c>
      <c r="K565" t="inlineStr">
        <is>
          <t>Arboleda Ortiz Luz América (ART); Montaño Anchico Favio Héctor (CAS); Ramírez Guerra Jimmy Eduardo (ERD)</t>
        </is>
      </c>
      <c r="L565" t="inlineStr">
        <is>
          <t>ÉNFASIS 11°-1</t>
        </is>
      </c>
      <c r="M565" t="inlineStr">
        <is>
          <t>EQUIPO DE 4: cada docente atiende un grupo de estudiantes en su área · Con: Arboleda Ortiz Luz América (ART); Montaño Anchico Favio Héctor (CAS); Ramírez Guerra Jimmy Eduardo (ERD)</t>
        </is>
      </c>
      <c r="N565">
        <f>C565&amp;"|"&amp;D565</f>
        <v/>
      </c>
      <c r="O565">
        <f>COUNTIF($N$2:N565,N565)</f>
        <v/>
      </c>
      <c r="P565">
        <f>N565&amp;"|"&amp;O565</f>
        <v/>
      </c>
      <c r="Q565">
        <f>C565&amp;"|"&amp;D565&amp;"|"&amp;A565</f>
        <v/>
      </c>
    </row>
    <row r="566">
      <c r="A566" t="n">
        <v>41</v>
      </c>
      <c r="B566" t="inlineStr">
        <is>
          <t>Quintero Ramírez María del Carmen</t>
        </is>
      </c>
      <c r="C566" t="inlineStr">
        <is>
          <t>MIERCOLES</t>
        </is>
      </c>
      <c r="D566" t="n">
        <v>7</v>
      </c>
      <c r="E566" t="n">
        <v>4</v>
      </c>
      <c r="F566" t="inlineStr">
        <is>
          <t>CLASE</t>
        </is>
      </c>
      <c r="G566" t="inlineStr">
        <is>
          <t>0701</t>
        </is>
      </c>
      <c r="H566" t="inlineStr">
        <is>
          <t>CSI</t>
        </is>
      </c>
      <c r="I566" t="inlineStr"/>
      <c r="J566" t="inlineStr">
        <is>
          <t>Sociales / Inglés (alternan cada semana)</t>
        </is>
      </c>
      <c r="K566" t="inlineStr"/>
      <c r="L566" t="inlineStr">
        <is>
          <t>7°-1</t>
        </is>
      </c>
      <c r="M566" t="inlineStr">
        <is>
          <t>Sociales / Inglés (alternan cada semana)</t>
        </is>
      </c>
      <c r="N566">
        <f>C566&amp;"|"&amp;D566</f>
        <v/>
      </c>
      <c r="O566">
        <f>COUNTIF($N$2:N566,N566)</f>
        <v/>
      </c>
      <c r="P566">
        <f>N566&amp;"|"&amp;O566</f>
        <v/>
      </c>
      <c r="Q566">
        <f>C566&amp;"|"&amp;D566&amp;"|"&amp;A566</f>
        <v/>
      </c>
    </row>
    <row r="567">
      <c r="A567" t="n">
        <v>8</v>
      </c>
      <c r="B567" t="inlineStr">
        <is>
          <t>Casanova Quiñones Yoli del Carmen</t>
        </is>
      </c>
      <c r="C567" t="inlineStr">
        <is>
          <t>MIERCOLES</t>
        </is>
      </c>
      <c r="D567" t="n">
        <v>7</v>
      </c>
      <c r="E567" t="n">
        <v>4</v>
      </c>
      <c r="F567" t="inlineStr">
        <is>
          <t>CLASE</t>
        </is>
      </c>
      <c r="G567" t="inlineStr">
        <is>
          <t>0702</t>
        </is>
      </c>
      <c r="H567" t="inlineStr">
        <is>
          <t>ETR</t>
        </is>
      </c>
      <c r="I567" t="inlineStr"/>
      <c r="J567" t="inlineStr">
        <is>
          <t>Ética / Religión (alternan cada semana)</t>
        </is>
      </c>
      <c r="K567" t="inlineStr"/>
      <c r="L567" t="inlineStr">
        <is>
          <t>7°-2</t>
        </is>
      </c>
      <c r="M567" t="inlineStr">
        <is>
          <t>Ética / Religión (alternan cada semana)</t>
        </is>
      </c>
      <c r="N567">
        <f>C567&amp;"|"&amp;D567</f>
        <v/>
      </c>
      <c r="O567">
        <f>COUNTIF($N$2:N567,N567)</f>
        <v/>
      </c>
      <c r="P567">
        <f>N567&amp;"|"&amp;O567</f>
        <v/>
      </c>
      <c r="Q567">
        <f>C567&amp;"|"&amp;D567&amp;"|"&amp;A567</f>
        <v/>
      </c>
    </row>
    <row r="568">
      <c r="A568" t="n">
        <v>52</v>
      </c>
      <c r="B568" t="inlineStr">
        <is>
          <t>Vásquez Valencia Segundo Leoncio</t>
        </is>
      </c>
      <c r="C568" t="inlineStr">
        <is>
          <t>MIERCOLES</t>
        </is>
      </c>
      <c r="D568" t="n">
        <v>7</v>
      </c>
      <c r="E568" t="n">
        <v>4</v>
      </c>
      <c r="F568" t="inlineStr">
        <is>
          <t>CLASE</t>
        </is>
      </c>
      <c r="G568" t="inlineStr">
        <is>
          <t>0703</t>
        </is>
      </c>
      <c r="H568" t="inlineStr">
        <is>
          <t>MAT</t>
        </is>
      </c>
      <c r="I568" t="inlineStr"/>
      <c r="J568" t="inlineStr"/>
      <c r="K568" t="inlineStr"/>
      <c r="L568" t="inlineStr">
        <is>
          <t>7°-3</t>
        </is>
      </c>
      <c r="M568" t="inlineStr"/>
      <c r="N568">
        <f>C568&amp;"|"&amp;D568</f>
        <v/>
      </c>
      <c r="O568">
        <f>COUNTIF($N$2:N568,N568)</f>
        <v/>
      </c>
      <c r="P568">
        <f>N568&amp;"|"&amp;O568</f>
        <v/>
      </c>
      <c r="Q568">
        <f>C568&amp;"|"&amp;D568&amp;"|"&amp;A568</f>
        <v/>
      </c>
    </row>
    <row r="569">
      <c r="A569" t="n">
        <v>1</v>
      </c>
      <c r="B569" t="inlineStr">
        <is>
          <t>Aguirre Riascos Jorge Andrés</t>
        </is>
      </c>
      <c r="C569" t="inlineStr">
        <is>
          <t>MIERCOLES</t>
        </is>
      </c>
      <c r="D569" t="n">
        <v>7</v>
      </c>
      <c r="E569" t="n">
        <v>4</v>
      </c>
      <c r="F569" t="inlineStr">
        <is>
          <t>CLASE</t>
        </is>
      </c>
      <c r="G569" t="inlineStr">
        <is>
          <t>0704</t>
        </is>
      </c>
      <c r="H569" t="inlineStr">
        <is>
          <t>TEI</t>
        </is>
      </c>
      <c r="I569" t="inlineStr"/>
      <c r="J569" t="inlineStr"/>
      <c r="K569" t="inlineStr"/>
      <c r="L569" t="inlineStr">
        <is>
          <t>7°-4</t>
        </is>
      </c>
      <c r="M569" t="inlineStr"/>
      <c r="N569">
        <f>C569&amp;"|"&amp;D569</f>
        <v/>
      </c>
      <c r="O569">
        <f>COUNTIF($N$2:N569,N569)</f>
        <v/>
      </c>
      <c r="P569">
        <f>N569&amp;"|"&amp;O569</f>
        <v/>
      </c>
      <c r="Q569">
        <f>C569&amp;"|"&amp;D569&amp;"|"&amp;A569</f>
        <v/>
      </c>
    </row>
    <row r="570">
      <c r="A570" t="n">
        <v>9</v>
      </c>
      <c r="B570" t="inlineStr">
        <is>
          <t>Castillo Angulo Martha Cecilia</t>
        </is>
      </c>
      <c r="C570" t="inlineStr">
        <is>
          <t>MIERCOLES</t>
        </is>
      </c>
      <c r="D570" t="n">
        <v>7</v>
      </c>
      <c r="E570" t="n">
        <v>4</v>
      </c>
      <c r="F570" t="inlineStr">
        <is>
          <t>CLASE</t>
        </is>
      </c>
      <c r="G570" t="inlineStr">
        <is>
          <t>0801</t>
        </is>
      </c>
      <c r="H570" t="inlineStr">
        <is>
          <t>ETR</t>
        </is>
      </c>
      <c r="I570" t="inlineStr"/>
      <c r="J570" t="inlineStr">
        <is>
          <t>Ética / Religión (alternan cada semana)</t>
        </is>
      </c>
      <c r="K570" t="inlineStr"/>
      <c r="L570" t="inlineStr">
        <is>
          <t>8°-1</t>
        </is>
      </c>
      <c r="M570" t="inlineStr">
        <is>
          <t>Ética / Religión (alternan cada semana)</t>
        </is>
      </c>
      <c r="N570">
        <f>C570&amp;"|"&amp;D570</f>
        <v/>
      </c>
      <c r="O570">
        <f>COUNTIF($N$2:N570,N570)</f>
        <v/>
      </c>
      <c r="P570">
        <f>N570&amp;"|"&amp;O570</f>
        <v/>
      </c>
      <c r="Q570">
        <f>C570&amp;"|"&amp;D570&amp;"|"&amp;A570</f>
        <v/>
      </c>
    </row>
    <row r="571">
      <c r="A571" t="n">
        <v>44</v>
      </c>
      <c r="B571" t="inlineStr">
        <is>
          <t>Samaniego Angulo Flor Mireya</t>
        </is>
      </c>
      <c r="C571" t="inlineStr">
        <is>
          <t>MIERCOLES</t>
        </is>
      </c>
      <c r="D571" t="n">
        <v>7</v>
      </c>
      <c r="E571" t="n">
        <v>4</v>
      </c>
      <c r="F571" t="inlineStr">
        <is>
          <t>CLASE</t>
        </is>
      </c>
      <c r="G571" t="inlineStr">
        <is>
          <t>0802</t>
        </is>
      </c>
      <c r="H571" t="inlineStr">
        <is>
          <t>ART</t>
        </is>
      </c>
      <c r="I571" t="inlineStr"/>
      <c r="J571" t="inlineStr"/>
      <c r="K571" t="inlineStr"/>
      <c r="L571" t="inlineStr">
        <is>
          <t>8°-2</t>
        </is>
      </c>
      <c r="M571" t="inlineStr"/>
      <c r="N571">
        <f>C571&amp;"|"&amp;D571</f>
        <v/>
      </c>
      <c r="O571">
        <f>COUNTIF($N$2:N571,N571)</f>
        <v/>
      </c>
      <c r="P571">
        <f>N571&amp;"|"&amp;O571</f>
        <v/>
      </c>
      <c r="Q571">
        <f>C571&amp;"|"&amp;D571&amp;"|"&amp;A571</f>
        <v/>
      </c>
    </row>
    <row r="572">
      <c r="A572" t="n">
        <v>31</v>
      </c>
      <c r="B572" t="inlineStr">
        <is>
          <t>Montaño Arizala Leidis Claudina</t>
        </is>
      </c>
      <c r="C572" t="inlineStr">
        <is>
          <t>MIERCOLES</t>
        </is>
      </c>
      <c r="D572" t="n">
        <v>7</v>
      </c>
      <c r="E572" t="n">
        <v>4</v>
      </c>
      <c r="F572" t="inlineStr">
        <is>
          <t>CLASE</t>
        </is>
      </c>
      <c r="G572" t="inlineStr">
        <is>
          <t>1002</t>
        </is>
      </c>
      <c r="H572" t="inlineStr">
        <is>
          <t>ETR</t>
        </is>
      </c>
      <c r="I572" t="inlineStr"/>
      <c r="J572" t="inlineStr">
        <is>
          <t>Ética / Religión (alternan cada semana)</t>
        </is>
      </c>
      <c r="K572" t="inlineStr"/>
      <c r="L572" t="inlineStr">
        <is>
          <t>10°-2</t>
        </is>
      </c>
      <c r="M572" t="inlineStr">
        <is>
          <t>Ética / Religión (alternan cada semana)</t>
        </is>
      </c>
      <c r="N572">
        <f>C572&amp;"|"&amp;D572</f>
        <v/>
      </c>
      <c r="O572">
        <f>COUNTIF($N$2:N572,N572)</f>
        <v/>
      </c>
      <c r="P572">
        <f>N572&amp;"|"&amp;O572</f>
        <v/>
      </c>
      <c r="Q572">
        <f>C572&amp;"|"&amp;D572&amp;"|"&amp;A572</f>
        <v/>
      </c>
    </row>
    <row r="573">
      <c r="A573" t="n">
        <v>40</v>
      </c>
      <c r="B573" t="inlineStr">
        <is>
          <t>Pulgarín Ortiz César Marino</t>
        </is>
      </c>
      <c r="C573" t="inlineStr">
        <is>
          <t>MIERCOLES</t>
        </is>
      </c>
      <c r="D573" t="n">
        <v>7</v>
      </c>
      <c r="E573" t="n">
        <v>4</v>
      </c>
      <c r="F573" t="inlineStr">
        <is>
          <t>CLASE</t>
        </is>
      </c>
      <c r="G573" t="inlineStr">
        <is>
          <t>1101</t>
        </is>
      </c>
      <c r="H573" t="inlineStr">
        <is>
          <t>CSI</t>
        </is>
      </c>
      <c r="I573" t="inlineStr"/>
      <c r="J573" t="inlineStr">
        <is>
          <t>Sociales / Inglés (alternan cada semana)</t>
        </is>
      </c>
      <c r="K573" t="inlineStr"/>
      <c r="L573" t="inlineStr">
        <is>
          <t>11°-1</t>
        </is>
      </c>
      <c r="M573" t="inlineStr">
        <is>
          <t>Sociales / Inglés (alternan cada semana)</t>
        </is>
      </c>
      <c r="N573">
        <f>C573&amp;"|"&amp;D573</f>
        <v/>
      </c>
      <c r="O573">
        <f>COUNTIF($N$2:N573,N573)</f>
        <v/>
      </c>
      <c r="P573">
        <f>N573&amp;"|"&amp;O573</f>
        <v/>
      </c>
      <c r="Q573">
        <f>C573&amp;"|"&amp;D573&amp;"|"&amp;A573</f>
        <v/>
      </c>
    </row>
    <row r="574">
      <c r="A574" t="n">
        <v>54</v>
      </c>
      <c r="B574" t="inlineStr">
        <is>
          <t>Villota Rubio Janeth del Carmen</t>
        </is>
      </c>
      <c r="C574" t="inlineStr">
        <is>
          <t>MIERCOLES</t>
        </is>
      </c>
      <c r="D574" t="n">
        <v>7</v>
      </c>
      <c r="E574" t="n">
        <v>4</v>
      </c>
      <c r="F574" t="inlineStr">
        <is>
          <t>CLASE</t>
        </is>
      </c>
      <c r="G574" t="inlineStr">
        <is>
          <t>1102</t>
        </is>
      </c>
      <c r="H574" t="inlineStr">
        <is>
          <t>MAT</t>
        </is>
      </c>
      <c r="I574" t="inlineStr"/>
      <c r="J574" t="inlineStr"/>
      <c r="K574" t="inlineStr"/>
      <c r="L574" t="inlineStr">
        <is>
          <t>11°-2</t>
        </is>
      </c>
      <c r="M574" t="inlineStr"/>
      <c r="N574">
        <f>C574&amp;"|"&amp;D574</f>
        <v/>
      </c>
      <c r="O574">
        <f>COUNTIF($N$2:N574,N574)</f>
        <v/>
      </c>
      <c r="P574">
        <f>N574&amp;"|"&amp;O574</f>
        <v/>
      </c>
      <c r="Q574">
        <f>C574&amp;"|"&amp;D574&amp;"|"&amp;A574</f>
        <v/>
      </c>
    </row>
    <row r="575">
      <c r="A575" t="n">
        <v>42</v>
      </c>
      <c r="B575" t="inlineStr">
        <is>
          <t>Quiñones Cabezas Marcos Vidal</t>
        </is>
      </c>
      <c r="C575" t="inlineStr">
        <is>
          <t>MIERCOLES</t>
        </is>
      </c>
      <c r="D575" t="n">
        <v>7</v>
      </c>
      <c r="E575" t="n">
        <v>4</v>
      </c>
      <c r="F575" t="inlineStr">
        <is>
          <t>CLASE</t>
        </is>
      </c>
      <c r="G575" t="inlineStr">
        <is>
          <t>CS101</t>
        </is>
      </c>
      <c r="H575" t="inlineStr">
        <is>
          <t>TEI</t>
        </is>
      </c>
      <c r="I575" t="inlineStr"/>
      <c r="J575" t="inlineStr"/>
      <c r="K575" t="inlineStr"/>
      <c r="L575" t="inlineStr">
        <is>
          <t>CS 1-1</t>
        </is>
      </c>
      <c r="M575" t="inlineStr"/>
      <c r="N575">
        <f>C575&amp;"|"&amp;D575</f>
        <v/>
      </c>
      <c r="O575">
        <f>COUNTIF($N$2:N575,N575)</f>
        <v/>
      </c>
      <c r="P575">
        <f>N575&amp;"|"&amp;O575</f>
        <v/>
      </c>
      <c r="Q575">
        <f>C575&amp;"|"&amp;D575&amp;"|"&amp;A575</f>
        <v/>
      </c>
    </row>
    <row r="576">
      <c r="A576" t="n">
        <v>26</v>
      </c>
      <c r="B576" t="inlineStr">
        <is>
          <t>Lozano Torres Amanda Inés</t>
        </is>
      </c>
      <c r="C576" t="inlineStr">
        <is>
          <t>MIERCOLES</t>
        </is>
      </c>
      <c r="D576" t="n">
        <v>7</v>
      </c>
      <c r="E576" t="n">
        <v>4</v>
      </c>
      <c r="F576" t="inlineStr">
        <is>
          <t>CLASE</t>
        </is>
      </c>
      <c r="G576" t="inlineStr">
        <is>
          <t>CS102</t>
        </is>
      </c>
      <c r="H576" t="inlineStr">
        <is>
          <t>ETR</t>
        </is>
      </c>
      <c r="I576" t="inlineStr"/>
      <c r="J576" t="inlineStr">
        <is>
          <t>Ética / Religión (alternan cada semana)</t>
        </is>
      </c>
      <c r="K576" t="inlineStr"/>
      <c r="L576" t="inlineStr">
        <is>
          <t>CS 1-2</t>
        </is>
      </c>
      <c r="M576" t="inlineStr">
        <is>
          <t>Ética / Religión (alternan cada semana)</t>
        </is>
      </c>
      <c r="N576">
        <f>C576&amp;"|"&amp;D576</f>
        <v/>
      </c>
      <c r="O576">
        <f>COUNTIF($N$2:N576,N576)</f>
        <v/>
      </c>
      <c r="P576">
        <f>N576&amp;"|"&amp;O576</f>
        <v/>
      </c>
      <c r="Q576">
        <f>C576&amp;"|"&amp;D576&amp;"|"&amp;A576</f>
        <v/>
      </c>
    </row>
    <row r="577">
      <c r="A577" t="n">
        <v>15</v>
      </c>
      <c r="B577" t="inlineStr">
        <is>
          <t>Cuero Bamba Berte Levi</t>
        </is>
      </c>
      <c r="C577" t="inlineStr">
        <is>
          <t>MIERCOLES</t>
        </is>
      </c>
      <c r="D577" t="n">
        <v>7</v>
      </c>
      <c r="E577" t="n">
        <v>4</v>
      </c>
      <c r="F577" t="inlineStr">
        <is>
          <t>CLASE</t>
        </is>
      </c>
      <c r="G577" t="inlineStr">
        <is>
          <t>CS201</t>
        </is>
      </c>
      <c r="H577" t="inlineStr">
        <is>
          <t>ERD</t>
        </is>
      </c>
      <c r="I577" t="inlineStr"/>
      <c r="J577" t="inlineStr"/>
      <c r="K577" t="inlineStr"/>
      <c r="L577" t="inlineStr">
        <is>
          <t>CS 2-1</t>
        </is>
      </c>
      <c r="M577" t="inlineStr"/>
      <c r="N577">
        <f>C577&amp;"|"&amp;D577</f>
        <v/>
      </c>
      <c r="O577">
        <f>COUNTIF($N$2:N577,N577)</f>
        <v/>
      </c>
      <c r="P577">
        <f>N577&amp;"|"&amp;O577</f>
        <v/>
      </c>
      <c r="Q577">
        <f>C577&amp;"|"&amp;D577&amp;"|"&amp;A577</f>
        <v/>
      </c>
    </row>
    <row r="578">
      <c r="A578" t="n">
        <v>38</v>
      </c>
      <c r="B578" t="inlineStr">
        <is>
          <t>Preciado Torres Oleisa</t>
        </is>
      </c>
      <c r="C578" t="inlineStr">
        <is>
          <t>MIERCOLES</t>
        </is>
      </c>
      <c r="D578" t="n">
        <v>7</v>
      </c>
      <c r="E578" t="n">
        <v>4</v>
      </c>
      <c r="F578" t="inlineStr">
        <is>
          <t>CLASE</t>
        </is>
      </c>
      <c r="G578" t="inlineStr">
        <is>
          <t>CS202</t>
        </is>
      </c>
      <c r="H578" t="inlineStr">
        <is>
          <t>MAT</t>
        </is>
      </c>
      <c r="I578" t="inlineStr"/>
      <c r="J578" t="inlineStr"/>
      <c r="K578" t="inlineStr"/>
      <c r="L578" t="inlineStr">
        <is>
          <t>CS 2-2</t>
        </is>
      </c>
      <c r="M578" t="inlineStr"/>
      <c r="N578">
        <f>C578&amp;"|"&amp;D578</f>
        <v/>
      </c>
      <c r="O578">
        <f>COUNTIF($N$2:N578,N578)</f>
        <v/>
      </c>
      <c r="P578">
        <f>N578&amp;"|"&amp;O578</f>
        <v/>
      </c>
      <c r="Q578">
        <f>C578&amp;"|"&amp;D578&amp;"|"&amp;A578</f>
        <v/>
      </c>
    </row>
    <row r="579">
      <c r="A579" t="n">
        <v>10</v>
      </c>
      <c r="B579" t="inlineStr">
        <is>
          <t>Castillo Cuero Daira Eneida</t>
        </is>
      </c>
      <c r="C579" t="inlineStr">
        <is>
          <t>MIERCOLES</t>
        </is>
      </c>
      <c r="D579" t="n">
        <v>7</v>
      </c>
      <c r="E579" t="n">
        <v>4</v>
      </c>
      <c r="F579" t="inlineStr">
        <is>
          <t>ENFASIS</t>
        </is>
      </c>
      <c r="G579" t="inlineStr"/>
      <c r="H579" t="inlineStr">
        <is>
          <t>CAS</t>
        </is>
      </c>
      <c r="I579" t="inlineStr">
        <is>
          <t>0601</t>
        </is>
      </c>
      <c r="J579" t="inlineStr">
        <is>
          <t>PAREJA: comparten el énfasis y alternan por semana</t>
        </is>
      </c>
      <c r="K579" t="inlineStr">
        <is>
          <t>Puches Ana Milena (ART)</t>
        </is>
      </c>
      <c r="L579" t="inlineStr">
        <is>
          <t>ÉNFASIS 6°-1</t>
        </is>
      </c>
      <c r="M579" t="inlineStr">
        <is>
          <t>PAREJA: comparten el énfasis y alternan por semana · Con: Puches Ana Milena (ART)</t>
        </is>
      </c>
      <c r="N579">
        <f>C579&amp;"|"&amp;D579</f>
        <v/>
      </c>
      <c r="O579">
        <f>COUNTIF($N$2:N579,N579)</f>
        <v/>
      </c>
      <c r="P579">
        <f>N579&amp;"|"&amp;O579</f>
        <v/>
      </c>
      <c r="Q579">
        <f>C579&amp;"|"&amp;D579&amp;"|"&amp;A579</f>
        <v/>
      </c>
    </row>
    <row r="580">
      <c r="A580" t="n">
        <v>39</v>
      </c>
      <c r="B580" t="inlineStr">
        <is>
          <t>Puches Ana Milena</t>
        </is>
      </c>
      <c r="C580" t="inlineStr">
        <is>
          <t>MIERCOLES</t>
        </is>
      </c>
      <c r="D580" t="n">
        <v>7</v>
      </c>
      <c r="E580" t="n">
        <v>4</v>
      </c>
      <c r="F580" t="inlineStr">
        <is>
          <t>ENFASIS</t>
        </is>
      </c>
      <c r="G580" t="inlineStr"/>
      <c r="H580" t="inlineStr">
        <is>
          <t>ART</t>
        </is>
      </c>
      <c r="I580" t="inlineStr">
        <is>
          <t>0601</t>
        </is>
      </c>
      <c r="J580" t="inlineStr">
        <is>
          <t>PAREJA: comparten el énfasis y alternan por semana</t>
        </is>
      </c>
      <c r="K580" t="inlineStr">
        <is>
          <t>Castillo Cuero Daira Eneida (CAS)</t>
        </is>
      </c>
      <c r="L580" t="inlineStr">
        <is>
          <t>ÉNFASIS 6°-1</t>
        </is>
      </c>
      <c r="M580" t="inlineStr">
        <is>
          <t>PAREJA: comparten el énfasis y alternan por semana · Con: Castillo Cuero Daira Eneida (CAS)</t>
        </is>
      </c>
      <c r="N580">
        <f>C580&amp;"|"&amp;D580</f>
        <v/>
      </c>
      <c r="O580">
        <f>COUNTIF($N$2:N580,N580)</f>
        <v/>
      </c>
      <c r="P580">
        <f>N580&amp;"|"&amp;O580</f>
        <v/>
      </c>
      <c r="Q580">
        <f>C580&amp;"|"&amp;D580&amp;"|"&amp;A580</f>
        <v/>
      </c>
    </row>
    <row r="581">
      <c r="A581" t="n">
        <v>34</v>
      </c>
      <c r="B581" t="inlineStr">
        <is>
          <t>Ordóñez Tenorio Jaime Marcial</t>
        </is>
      </c>
      <c r="C581" t="inlineStr">
        <is>
          <t>MIERCOLES</t>
        </is>
      </c>
      <c r="D581" t="n">
        <v>7</v>
      </c>
      <c r="E581" t="n">
        <v>4</v>
      </c>
      <c r="F581" t="inlineStr">
        <is>
          <t>ENFASIS</t>
        </is>
      </c>
      <c r="G581" t="inlineStr"/>
      <c r="H581" t="inlineStr">
        <is>
          <t>CNA</t>
        </is>
      </c>
      <c r="I581" t="inlineStr">
        <is>
          <t>0602</t>
        </is>
      </c>
      <c r="J581" t="inlineStr">
        <is>
          <t>PAREJA: comparten el énfasis y alternan por semana</t>
        </is>
      </c>
      <c r="K581" t="inlineStr">
        <is>
          <t>Armero Dájome Jesús (ERD)</t>
        </is>
      </c>
      <c r="L581" t="inlineStr">
        <is>
          <t>ÉNFASIS 6°-2</t>
        </is>
      </c>
      <c r="M581" t="inlineStr">
        <is>
          <t>PAREJA: comparten el énfasis y alternan por semana · Con: Armero Dájome Jesús (ERD)</t>
        </is>
      </c>
      <c r="N581">
        <f>C581&amp;"|"&amp;D581</f>
        <v/>
      </c>
      <c r="O581">
        <f>COUNTIF($N$2:N581,N581)</f>
        <v/>
      </c>
      <c r="P581">
        <f>N581&amp;"|"&amp;O581</f>
        <v/>
      </c>
      <c r="Q581">
        <f>C581&amp;"|"&amp;D581&amp;"|"&amp;A581</f>
        <v/>
      </c>
    </row>
    <row r="582">
      <c r="A582" t="n">
        <v>4</v>
      </c>
      <c r="B582" t="inlineStr">
        <is>
          <t>Arizala Castro Roberto Carlos</t>
        </is>
      </c>
      <c r="C582" t="inlineStr">
        <is>
          <t>MIERCOLES</t>
        </is>
      </c>
      <c r="D582" t="n">
        <v>7</v>
      </c>
      <c r="E582" t="n">
        <v>4</v>
      </c>
      <c r="F582" t="inlineStr">
        <is>
          <t>ENFASIS</t>
        </is>
      </c>
      <c r="G582" t="inlineStr"/>
      <c r="H582" t="inlineStr">
        <is>
          <t>ERD</t>
        </is>
      </c>
      <c r="I582" t="inlineStr">
        <is>
          <t>0602</t>
        </is>
      </c>
      <c r="J582" t="inlineStr">
        <is>
          <t>PAREJA: comparten el énfasis y alternan por semana</t>
        </is>
      </c>
      <c r="K582" t="inlineStr">
        <is>
          <t>Ordóñez Tenorio Jaime Marcial (CNA)</t>
        </is>
      </c>
      <c r="L582" t="inlineStr">
        <is>
          <t>ÉNFASIS 6°-2</t>
        </is>
      </c>
      <c r="M582" t="inlineStr">
        <is>
          <t>PAREJA: comparten el énfasis y alternan por semana · Con: Ordóñez Tenorio Jaime Marcial (CNA)</t>
        </is>
      </c>
      <c r="N582">
        <f>C582&amp;"|"&amp;D582</f>
        <v/>
      </c>
      <c r="O582">
        <f>COUNTIF($N$2:N582,N582)</f>
        <v/>
      </c>
      <c r="P582">
        <f>N582&amp;"|"&amp;O582</f>
        <v/>
      </c>
      <c r="Q582">
        <f>C582&amp;"|"&amp;D582&amp;"|"&amp;A582</f>
        <v/>
      </c>
    </row>
    <row r="583">
      <c r="A583" t="n">
        <v>22</v>
      </c>
      <c r="B583" t="inlineStr">
        <is>
          <t>González Castillo Jólmer Jimy</t>
        </is>
      </c>
      <c r="C583" t="inlineStr">
        <is>
          <t>MIERCOLES</t>
        </is>
      </c>
      <c r="D583" t="n">
        <v>7</v>
      </c>
      <c r="E583" t="n">
        <v>4</v>
      </c>
      <c r="F583" t="inlineStr">
        <is>
          <t>ENFASIS</t>
        </is>
      </c>
      <c r="G583" t="inlineStr"/>
      <c r="H583" t="inlineStr">
        <is>
          <t>ERD</t>
        </is>
      </c>
      <c r="I583" t="inlineStr">
        <is>
          <t>0901</t>
        </is>
      </c>
      <c r="J583" t="inlineStr">
        <is>
          <t>EQUIPO DE 4: cada docente atiende un grupo de estudiantes en su área</t>
        </is>
      </c>
      <c r="K583" t="inlineStr">
        <is>
          <t>Valencia Marínez Saidy Eufemia (ART); Meza Banguera Gladys Alicia (CAS); Lemos Guancha Miriam (CNA)</t>
        </is>
      </c>
      <c r="L583" t="inlineStr">
        <is>
          <t>ÉNFASIS 9°-1</t>
        </is>
      </c>
      <c r="M583" t="inlineStr">
        <is>
          <t>EQUIPO DE 4: cada docente atiende un grupo de estudiantes en su área · Con: Valencia Marínez Saidy Eufemia (ART); Meza Banguera Gladys Alicia (CAS); Lemos Guancha Miriam (CNA)</t>
        </is>
      </c>
      <c r="N583">
        <f>C583&amp;"|"&amp;D583</f>
        <v/>
      </c>
      <c r="O583">
        <f>COUNTIF($N$2:N583,N583)</f>
        <v/>
      </c>
      <c r="P583">
        <f>N583&amp;"|"&amp;O583</f>
        <v/>
      </c>
      <c r="Q583">
        <f>C583&amp;"|"&amp;D583&amp;"|"&amp;A583</f>
        <v/>
      </c>
    </row>
    <row r="584">
      <c r="A584" t="n">
        <v>25</v>
      </c>
      <c r="B584" t="inlineStr">
        <is>
          <t>Lemos Guancha Miriam</t>
        </is>
      </c>
      <c r="C584" t="inlineStr">
        <is>
          <t>MIERCOLES</t>
        </is>
      </c>
      <c r="D584" t="n">
        <v>7</v>
      </c>
      <c r="E584" t="n">
        <v>4</v>
      </c>
      <c r="F584" t="inlineStr">
        <is>
          <t>ENFASIS</t>
        </is>
      </c>
      <c r="G584" t="inlineStr"/>
      <c r="H584" t="inlineStr">
        <is>
          <t>CNA</t>
        </is>
      </c>
      <c r="I584" t="inlineStr">
        <is>
          <t>0901</t>
        </is>
      </c>
      <c r="J584" t="inlineStr">
        <is>
          <t>EQUIPO DE 4: cada docente atiende un grupo de estudiantes en su área</t>
        </is>
      </c>
      <c r="K584" t="inlineStr">
        <is>
          <t>Valencia Marínez Saidy Eufemia (ART); Meza Banguera Gladys Alicia (CAS); González Castillo Jólmer Jimy (ERD)</t>
        </is>
      </c>
      <c r="L584" t="inlineStr">
        <is>
          <t>ÉNFASIS 9°-1</t>
        </is>
      </c>
      <c r="M584" t="inlineStr">
        <is>
          <t>EQUIPO DE 4: cada docente atiende un grupo de estudiantes en su área · Con: Valencia Marínez Saidy Eufemia (ART); Meza Banguera Gladys Alicia (CAS); González Castillo Jólmer Jimy (ERD)</t>
        </is>
      </c>
      <c r="N584">
        <f>C584&amp;"|"&amp;D584</f>
        <v/>
      </c>
      <c r="O584">
        <f>COUNTIF($N$2:N584,N584)</f>
        <v/>
      </c>
      <c r="P584">
        <f>N584&amp;"|"&amp;O584</f>
        <v/>
      </c>
      <c r="Q584">
        <f>C584&amp;"|"&amp;D584&amp;"|"&amp;A584</f>
        <v/>
      </c>
    </row>
    <row r="585">
      <c r="A585" t="n">
        <v>28</v>
      </c>
      <c r="B585" t="inlineStr">
        <is>
          <t>Meza Banguera Gladys Alicia</t>
        </is>
      </c>
      <c r="C585" t="inlineStr">
        <is>
          <t>MIERCOLES</t>
        </is>
      </c>
      <c r="D585" t="n">
        <v>7</v>
      </c>
      <c r="E585" t="n">
        <v>4</v>
      </c>
      <c r="F585" t="inlineStr">
        <is>
          <t>ENFASIS</t>
        </is>
      </c>
      <c r="G585" t="inlineStr"/>
      <c r="H585" t="inlineStr">
        <is>
          <t>CAS</t>
        </is>
      </c>
      <c r="I585" t="inlineStr">
        <is>
          <t>0901</t>
        </is>
      </c>
      <c r="J585" t="inlineStr">
        <is>
          <t>EQUIPO DE 4: cada docente atiende un grupo de estudiantes en su área</t>
        </is>
      </c>
      <c r="K585" t="inlineStr">
        <is>
          <t>Valencia Marínez Saidy Eufemia (ART); González Castillo Jólmer Jimy (ERD); Lemos Guancha Miriam (CNA)</t>
        </is>
      </c>
      <c r="L585" t="inlineStr">
        <is>
          <t>ÉNFASIS 9°-1</t>
        </is>
      </c>
      <c r="M585" t="inlineStr">
        <is>
          <t>EQUIPO DE 4: cada docente atiende un grupo de estudiantes en su área · Con: Valencia Marínez Saidy Eufemia (ART); González Castillo Jólmer Jimy (ERD); Lemos Guancha Miriam (CNA)</t>
        </is>
      </c>
      <c r="N585">
        <f>C585&amp;"|"&amp;D585</f>
        <v/>
      </c>
      <c r="O585">
        <f>COUNTIF($N$2:N585,N585)</f>
        <v/>
      </c>
      <c r="P585">
        <f>N585&amp;"|"&amp;O585</f>
        <v/>
      </c>
      <c r="Q585">
        <f>C585&amp;"|"&amp;D585&amp;"|"&amp;A585</f>
        <v/>
      </c>
    </row>
    <row r="586">
      <c r="A586" t="n">
        <v>49</v>
      </c>
      <c r="B586" t="inlineStr">
        <is>
          <t>Valencia Marínez Saidy Eufemia</t>
        </is>
      </c>
      <c r="C586" t="inlineStr">
        <is>
          <t>MIERCOLES</t>
        </is>
      </c>
      <c r="D586" t="n">
        <v>7</v>
      </c>
      <c r="E586" t="n">
        <v>4</v>
      </c>
      <c r="F586" t="inlineStr">
        <is>
          <t>ENFASIS</t>
        </is>
      </c>
      <c r="G586" t="inlineStr"/>
      <c r="H586" t="inlineStr">
        <is>
          <t>ART</t>
        </is>
      </c>
      <c r="I586" t="inlineStr">
        <is>
          <t>0901</t>
        </is>
      </c>
      <c r="J586" t="inlineStr">
        <is>
          <t>EQUIPO DE 4: cada docente atiende un grupo de estudiantes en su área</t>
        </is>
      </c>
      <c r="K586" t="inlineStr">
        <is>
          <t>Meza Banguera Gladys Alicia (CAS); González Castillo Jólmer Jimy (ERD); Lemos Guancha Miriam (CNA)</t>
        </is>
      </c>
      <c r="L586" t="inlineStr">
        <is>
          <t>ÉNFASIS 9°-1</t>
        </is>
      </c>
      <c r="M586" t="inlineStr">
        <is>
          <t>EQUIPO DE 4: cada docente atiende un grupo de estudiantes en su área · Con: Meza Banguera Gladys Alicia (CAS); González Castillo Jólmer Jimy (ERD); Lemos Guancha Miriam (CNA)</t>
        </is>
      </c>
      <c r="N586">
        <f>C586&amp;"|"&amp;D586</f>
        <v/>
      </c>
      <c r="O586">
        <f>COUNTIF($N$2:N586,N586)</f>
        <v/>
      </c>
      <c r="P586">
        <f>N586&amp;"|"&amp;O586</f>
        <v/>
      </c>
      <c r="Q586">
        <f>C586&amp;"|"&amp;D586&amp;"|"&amp;A586</f>
        <v/>
      </c>
    </row>
    <row r="587">
      <c r="A587" t="n">
        <v>5</v>
      </c>
      <c r="B587" t="inlineStr">
        <is>
          <t>Bastidas Valencia Zeneida Judith</t>
        </is>
      </c>
      <c r="C587" t="inlineStr">
        <is>
          <t>MIERCOLES</t>
        </is>
      </c>
      <c r="D587" t="n">
        <v>7</v>
      </c>
      <c r="E587" t="n">
        <v>4</v>
      </c>
      <c r="F587" t="inlineStr">
        <is>
          <t>ENFASIS</t>
        </is>
      </c>
      <c r="G587" t="inlineStr"/>
      <c r="H587" t="inlineStr">
        <is>
          <t>MAT</t>
        </is>
      </c>
      <c r="I587" t="inlineStr">
        <is>
          <t>0902</t>
        </is>
      </c>
      <c r="J587" t="inlineStr">
        <is>
          <t>EQUIPO DE 4: cada docente atiende un grupo de estudiantes en su área</t>
        </is>
      </c>
      <c r="K587" t="inlineStr">
        <is>
          <t>Betancourth Ocampo Yohana Patricia (CSI); Estacio Estupiñán Rosario (ETR); Mindineros Satizábal John Jáver (TEI)</t>
        </is>
      </c>
      <c r="L587" t="inlineStr">
        <is>
          <t>ÉNFASIS 9°-2</t>
        </is>
      </c>
      <c r="M587" t="inlineStr">
        <is>
          <t>EQUIPO DE 4: cada docente atiende un grupo de estudiantes en su área · Con: Betancourth Ocampo Yohana Patricia (CSI); Estacio Estupiñán Rosario (ETR); Mindineros Satizábal John Jáver (TEI)</t>
        </is>
      </c>
      <c r="N587">
        <f>C587&amp;"|"&amp;D587</f>
        <v/>
      </c>
      <c r="O587">
        <f>COUNTIF($N$2:N587,N587)</f>
        <v/>
      </c>
      <c r="P587">
        <f>N587&amp;"|"&amp;O587</f>
        <v/>
      </c>
      <c r="Q587">
        <f>C587&amp;"|"&amp;D587&amp;"|"&amp;A587</f>
        <v/>
      </c>
    </row>
    <row r="588">
      <c r="A588" t="n">
        <v>6</v>
      </c>
      <c r="B588" t="inlineStr">
        <is>
          <t>Betancourth Ocampo Yohana Patricia</t>
        </is>
      </c>
      <c r="C588" t="inlineStr">
        <is>
          <t>MIERCOLES</t>
        </is>
      </c>
      <c r="D588" t="n">
        <v>7</v>
      </c>
      <c r="E588" t="n">
        <v>4</v>
      </c>
      <c r="F588" t="inlineStr">
        <is>
          <t>ENFASIS</t>
        </is>
      </c>
      <c r="G588" t="inlineStr"/>
      <c r="H588" t="inlineStr">
        <is>
          <t>CSI</t>
        </is>
      </c>
      <c r="I588" t="inlineStr">
        <is>
          <t>0902</t>
        </is>
      </c>
      <c r="J588" t="inlineStr">
        <is>
          <t>EQUIPO DE 4: cada docente atiende un grupo de estudiantes en su área</t>
        </is>
      </c>
      <c r="K588" t="inlineStr">
        <is>
          <t>Estacio Estupiñán Rosario (ETR); Bastidas Valencia Zeneida Judith (MAT); Mindineros Satizábal John Jáver (TEI)</t>
        </is>
      </c>
      <c r="L588" t="inlineStr">
        <is>
          <t>ÉNFASIS 9°-2</t>
        </is>
      </c>
      <c r="M588" t="inlineStr">
        <is>
          <t>EQUIPO DE 4: cada docente atiende un grupo de estudiantes en su área · Con: Estacio Estupiñán Rosario (ETR); Bastidas Valencia Zeneida Judith (MAT); Mindineros Satizábal John Jáver (TEI)</t>
        </is>
      </c>
      <c r="N588">
        <f>C588&amp;"|"&amp;D588</f>
        <v/>
      </c>
      <c r="O588">
        <f>COUNTIF($N$2:N588,N588)</f>
        <v/>
      </c>
      <c r="P588">
        <f>N588&amp;"|"&amp;O588</f>
        <v/>
      </c>
      <c r="Q588">
        <f>C588&amp;"|"&amp;D588&amp;"|"&amp;A588</f>
        <v/>
      </c>
    </row>
    <row r="589">
      <c r="A589" t="n">
        <v>18</v>
      </c>
      <c r="B589" t="inlineStr">
        <is>
          <t>Estacio Estupiñán Rosario</t>
        </is>
      </c>
      <c r="C589" t="inlineStr">
        <is>
          <t>MIERCOLES</t>
        </is>
      </c>
      <c r="D589" t="n">
        <v>7</v>
      </c>
      <c r="E589" t="n">
        <v>4</v>
      </c>
      <c r="F589" t="inlineStr">
        <is>
          <t>ENFASIS</t>
        </is>
      </c>
      <c r="G589" t="inlineStr"/>
      <c r="H589" t="inlineStr">
        <is>
          <t>ETR</t>
        </is>
      </c>
      <c r="I589" t="inlineStr">
        <is>
          <t>0902</t>
        </is>
      </c>
      <c r="J589" t="inlineStr">
        <is>
          <t>EQUIPO DE 4: cada docente atiende un grupo de estudiantes en su área</t>
        </is>
      </c>
      <c r="K589" t="inlineStr">
        <is>
          <t>Betancourth Ocampo Yohana Patricia (CSI); Bastidas Valencia Zeneida Judith (MAT); Mindineros Satizábal John Jáver (TEI)</t>
        </is>
      </c>
      <c r="L589" t="inlineStr">
        <is>
          <t>ÉNFASIS 9°-2</t>
        </is>
      </c>
      <c r="M589" t="inlineStr">
        <is>
          <t>EQUIPO DE 4: cada docente atiende un grupo de estudiantes en su área · Con: Betancourth Ocampo Yohana Patricia (CSI); Bastidas Valencia Zeneida Judith (MAT); Mindineros Satizábal John Jáver (TEI)</t>
        </is>
      </c>
      <c r="N589">
        <f>C589&amp;"|"&amp;D589</f>
        <v/>
      </c>
      <c r="O589">
        <f>COUNTIF($N$2:N589,N589)</f>
        <v/>
      </c>
      <c r="P589">
        <f>N589&amp;"|"&amp;O589</f>
        <v/>
      </c>
      <c r="Q589">
        <f>C589&amp;"|"&amp;D589&amp;"|"&amp;A589</f>
        <v/>
      </c>
    </row>
    <row r="590">
      <c r="A590" t="n">
        <v>29</v>
      </c>
      <c r="B590" t="inlineStr">
        <is>
          <t>Mindineros Satizábal John Jáver</t>
        </is>
      </c>
      <c r="C590" t="inlineStr">
        <is>
          <t>MIERCOLES</t>
        </is>
      </c>
      <c r="D590" t="n">
        <v>7</v>
      </c>
      <c r="E590" t="n">
        <v>4</v>
      </c>
      <c r="F590" t="inlineStr">
        <is>
          <t>ENFASIS</t>
        </is>
      </c>
      <c r="G590" t="inlineStr"/>
      <c r="H590" t="inlineStr">
        <is>
          <t>TEI</t>
        </is>
      </c>
      <c r="I590" t="inlineStr">
        <is>
          <t>0902</t>
        </is>
      </c>
      <c r="J590" t="inlineStr">
        <is>
          <t>EQUIPO DE 4: cada docente atiende un grupo de estudiantes en su área</t>
        </is>
      </c>
      <c r="K590" t="inlineStr">
        <is>
          <t>Betancourth Ocampo Yohana Patricia (CSI); Estacio Estupiñán Rosario (ETR); Bastidas Valencia Zeneida Judith (MAT)</t>
        </is>
      </c>
      <c r="L590" t="inlineStr">
        <is>
          <t>ÉNFASIS 9°-2</t>
        </is>
      </c>
      <c r="M590" t="inlineStr">
        <is>
          <t>EQUIPO DE 4: cada docente atiende un grupo de estudiantes en su área · Con: Betancourth Ocampo Yohana Patricia (CSI); Estacio Estupiñán Rosario (ETR); Bastidas Valencia Zeneida Judith (MAT)</t>
        </is>
      </c>
      <c r="N590">
        <f>C590&amp;"|"&amp;D590</f>
        <v/>
      </c>
      <c r="O590">
        <f>COUNTIF($N$2:N590,N590)</f>
        <v/>
      </c>
      <c r="P590">
        <f>N590&amp;"|"&amp;O590</f>
        <v/>
      </c>
      <c r="Q590">
        <f>C590&amp;"|"&amp;D590&amp;"|"&amp;A590</f>
        <v/>
      </c>
    </row>
    <row r="591">
      <c r="A591" t="n">
        <v>3</v>
      </c>
      <c r="B591" t="inlineStr">
        <is>
          <t>Arboleda Ortiz Luz América</t>
        </is>
      </c>
      <c r="C591" t="inlineStr">
        <is>
          <t>MIERCOLES</t>
        </is>
      </c>
      <c r="D591" t="n">
        <v>7</v>
      </c>
      <c r="E591" t="n">
        <v>4</v>
      </c>
      <c r="F591" t="inlineStr">
        <is>
          <t>ENFASIS</t>
        </is>
      </c>
      <c r="G591" t="inlineStr"/>
      <c r="H591" t="inlineStr">
        <is>
          <t>ART</t>
        </is>
      </c>
      <c r="I591" t="inlineStr">
        <is>
          <t>1001</t>
        </is>
      </c>
      <c r="J591" t="inlineStr">
        <is>
          <t>EQUIPO DE 4: cada docente atiende un grupo de estudiantes en su área</t>
        </is>
      </c>
      <c r="K591" t="inlineStr">
        <is>
          <t>Montaño Anchico Favio Héctor (CAS); Ramírez Guerra Jimmy Eduardo (ERD); Villota Rubio Héctor Hugo (CNA)</t>
        </is>
      </c>
      <c r="L591" t="inlineStr">
        <is>
          <t>ÉNFASIS 10°-1</t>
        </is>
      </c>
      <c r="M591" t="inlineStr">
        <is>
          <t>EQUIPO DE 4: cada docente atiende un grupo de estudiantes en su área · Con: Montaño Anchico Favio Héctor (CAS); Ramírez Guerra Jimmy Eduardo (ERD); Villota Rubio Héctor Hugo (CNA)</t>
        </is>
      </c>
      <c r="N591">
        <f>C591&amp;"|"&amp;D591</f>
        <v/>
      </c>
      <c r="O591">
        <f>COUNTIF($N$2:N591,N591)</f>
        <v/>
      </c>
      <c r="P591">
        <f>N591&amp;"|"&amp;O591</f>
        <v/>
      </c>
      <c r="Q591">
        <f>C591&amp;"|"&amp;D591&amp;"|"&amp;A591</f>
        <v/>
      </c>
    </row>
    <row r="592">
      <c r="A592" t="n">
        <v>30</v>
      </c>
      <c r="B592" t="inlineStr">
        <is>
          <t>Montaño Anchico Favio Héctor</t>
        </is>
      </c>
      <c r="C592" t="inlineStr">
        <is>
          <t>MIERCOLES</t>
        </is>
      </c>
      <c r="D592" t="n">
        <v>7</v>
      </c>
      <c r="E592" t="n">
        <v>4</v>
      </c>
      <c r="F592" t="inlineStr">
        <is>
          <t>ENFASIS</t>
        </is>
      </c>
      <c r="G592" t="inlineStr"/>
      <c r="H592" t="inlineStr">
        <is>
          <t>CAS</t>
        </is>
      </c>
      <c r="I592" t="inlineStr">
        <is>
          <t>1001</t>
        </is>
      </c>
      <c r="J592" t="inlineStr">
        <is>
          <t>EQUIPO DE 4: cada docente atiende un grupo de estudiantes en su área</t>
        </is>
      </c>
      <c r="K592" t="inlineStr">
        <is>
          <t>Arboleda Ortiz Luz América (ART); Ramírez Guerra Jimmy Eduardo (ERD); Villota Rubio Héctor Hugo (CNA)</t>
        </is>
      </c>
      <c r="L592" t="inlineStr">
        <is>
          <t>ÉNFASIS 10°-1</t>
        </is>
      </c>
      <c r="M592" t="inlineStr">
        <is>
          <t>EQUIPO DE 4: cada docente atiende un grupo de estudiantes en su área · Con: Arboleda Ortiz Luz América (ART); Ramírez Guerra Jimmy Eduardo (ERD); Villota Rubio Héctor Hugo (CNA)</t>
        </is>
      </c>
      <c r="N592">
        <f>C592&amp;"|"&amp;D592</f>
        <v/>
      </c>
      <c r="O592">
        <f>COUNTIF($N$2:N592,N592)</f>
        <v/>
      </c>
      <c r="P592">
        <f>N592&amp;"|"&amp;O592</f>
        <v/>
      </c>
      <c r="Q592">
        <f>C592&amp;"|"&amp;D592&amp;"|"&amp;A592</f>
        <v/>
      </c>
    </row>
    <row r="593">
      <c r="A593" t="n">
        <v>43</v>
      </c>
      <c r="B593" t="inlineStr">
        <is>
          <t>Ramírez Guerra Jimmy Eduardo</t>
        </is>
      </c>
      <c r="C593" t="inlineStr">
        <is>
          <t>MIERCOLES</t>
        </is>
      </c>
      <c r="D593" t="n">
        <v>7</v>
      </c>
      <c r="E593" t="n">
        <v>4</v>
      </c>
      <c r="F593" t="inlineStr">
        <is>
          <t>ENFASIS</t>
        </is>
      </c>
      <c r="G593" t="inlineStr"/>
      <c r="H593" t="inlineStr">
        <is>
          <t>ERD</t>
        </is>
      </c>
      <c r="I593" t="inlineStr">
        <is>
          <t>1001</t>
        </is>
      </c>
      <c r="J593" t="inlineStr">
        <is>
          <t>EQUIPO DE 4: cada docente atiende un grupo de estudiantes en su área</t>
        </is>
      </c>
      <c r="K593" t="inlineStr">
        <is>
          <t>Arboleda Ortiz Luz América (ART); Montaño Anchico Favio Héctor (CAS); Villota Rubio Héctor Hugo (CNA)</t>
        </is>
      </c>
      <c r="L593" t="inlineStr">
        <is>
          <t>ÉNFASIS 10°-1</t>
        </is>
      </c>
      <c r="M593" t="inlineStr">
        <is>
          <t>EQUIPO DE 4: cada docente atiende un grupo de estudiantes en su área · Con: Arboleda Ortiz Luz América (ART); Montaño Anchico Favio Héctor (CAS); Villota Rubio Héctor Hugo (CNA)</t>
        </is>
      </c>
      <c r="N593">
        <f>C593&amp;"|"&amp;D593</f>
        <v/>
      </c>
      <c r="O593">
        <f>COUNTIF($N$2:N593,N593)</f>
        <v/>
      </c>
      <c r="P593">
        <f>N593&amp;"|"&amp;O593</f>
        <v/>
      </c>
      <c r="Q593">
        <f>C593&amp;"|"&amp;D593&amp;"|"&amp;A593</f>
        <v/>
      </c>
    </row>
    <row r="594">
      <c r="A594" t="n">
        <v>53</v>
      </c>
      <c r="B594" t="inlineStr">
        <is>
          <t>Villota Rubio Héctor Hugo</t>
        </is>
      </c>
      <c r="C594" t="inlineStr">
        <is>
          <t>MIERCOLES</t>
        </is>
      </c>
      <c r="D594" t="n">
        <v>7</v>
      </c>
      <c r="E594" t="n">
        <v>4</v>
      </c>
      <c r="F594" t="inlineStr">
        <is>
          <t>ENFASIS</t>
        </is>
      </c>
      <c r="G594" t="inlineStr"/>
      <c r="H594" t="inlineStr">
        <is>
          <t>CNA</t>
        </is>
      </c>
      <c r="I594" t="inlineStr">
        <is>
          <t>1001</t>
        </is>
      </c>
      <c r="J594" t="inlineStr">
        <is>
          <t>EQUIPO DE 4: cada docente atiende un grupo de estudiantes en su área</t>
        </is>
      </c>
      <c r="K594" t="inlineStr">
        <is>
          <t>Arboleda Ortiz Luz América (ART); Montaño Anchico Favio Héctor (CAS); Ramírez Guerra Jimmy Eduardo (ERD)</t>
        </is>
      </c>
      <c r="L594" t="inlineStr">
        <is>
          <t>ÉNFASIS 10°-1</t>
        </is>
      </c>
      <c r="M594" t="inlineStr">
        <is>
          <t>EQUIPO DE 4: cada docente atiende un grupo de estudiantes en su área · Con: Arboleda Ortiz Luz América (ART); Montaño Anchico Favio Héctor (CAS); Ramírez Guerra Jimmy Eduardo (ERD)</t>
        </is>
      </c>
      <c r="N594">
        <f>C594&amp;"|"&amp;D594</f>
        <v/>
      </c>
      <c r="O594">
        <f>COUNTIF($N$2:N594,N594)</f>
        <v/>
      </c>
      <c r="P594">
        <f>N594&amp;"|"&amp;O594</f>
        <v/>
      </c>
      <c r="Q594">
        <f>C594&amp;"|"&amp;D594&amp;"|"&amp;A594</f>
        <v/>
      </c>
    </row>
    <row r="595">
      <c r="A595" t="n">
        <v>41</v>
      </c>
      <c r="B595" t="inlineStr">
        <is>
          <t>Quintero Ramírez María del Carmen</t>
        </is>
      </c>
      <c r="C595" t="inlineStr">
        <is>
          <t>MIERCOLES</t>
        </is>
      </c>
      <c r="D595" t="n">
        <v>8</v>
      </c>
      <c r="E595" t="n">
        <v>4</v>
      </c>
      <c r="F595" t="inlineStr">
        <is>
          <t>CLASE</t>
        </is>
      </c>
      <c r="G595" t="inlineStr">
        <is>
          <t>0701</t>
        </is>
      </c>
      <c r="H595" t="inlineStr">
        <is>
          <t>CSI</t>
        </is>
      </c>
      <c r="I595" t="inlineStr"/>
      <c r="J595" t="inlineStr">
        <is>
          <t>Sociales / Inglés (alternan cada semana)</t>
        </is>
      </c>
      <c r="K595" t="inlineStr"/>
      <c r="L595" t="inlineStr">
        <is>
          <t>7°-1</t>
        </is>
      </c>
      <c r="M595" t="inlineStr">
        <is>
          <t>Sociales / Inglés (alternan cada semana)</t>
        </is>
      </c>
      <c r="N595">
        <f>C595&amp;"|"&amp;D595</f>
        <v/>
      </c>
      <c r="O595">
        <f>COUNTIF($N$2:N595,N595)</f>
        <v/>
      </c>
      <c r="P595">
        <f>N595&amp;"|"&amp;O595</f>
        <v/>
      </c>
      <c r="Q595">
        <f>C595&amp;"|"&amp;D595&amp;"|"&amp;A595</f>
        <v/>
      </c>
    </row>
    <row r="596">
      <c r="A596" t="n">
        <v>8</v>
      </c>
      <c r="B596" t="inlineStr">
        <is>
          <t>Casanova Quiñones Yoli del Carmen</t>
        </is>
      </c>
      <c r="C596" t="inlineStr">
        <is>
          <t>MIERCOLES</t>
        </is>
      </c>
      <c r="D596" t="n">
        <v>8</v>
      </c>
      <c r="E596" t="n">
        <v>4</v>
      </c>
      <c r="F596" t="inlineStr">
        <is>
          <t>CLASE</t>
        </is>
      </c>
      <c r="G596" t="inlineStr">
        <is>
          <t>0702</t>
        </is>
      </c>
      <c r="H596" t="inlineStr">
        <is>
          <t>ETR</t>
        </is>
      </c>
      <c r="I596" t="inlineStr"/>
      <c r="J596" t="inlineStr">
        <is>
          <t>Ética / Religión (alternan cada semana)</t>
        </is>
      </c>
      <c r="K596" t="inlineStr"/>
      <c r="L596" t="inlineStr">
        <is>
          <t>7°-2</t>
        </is>
      </c>
      <c r="M596" t="inlineStr">
        <is>
          <t>Ética / Religión (alternan cada semana)</t>
        </is>
      </c>
      <c r="N596">
        <f>C596&amp;"|"&amp;D596</f>
        <v/>
      </c>
      <c r="O596">
        <f>COUNTIF($N$2:N596,N596)</f>
        <v/>
      </c>
      <c r="P596">
        <f>N596&amp;"|"&amp;O596</f>
        <v/>
      </c>
      <c r="Q596">
        <f>C596&amp;"|"&amp;D596&amp;"|"&amp;A596</f>
        <v/>
      </c>
    </row>
    <row r="597">
      <c r="A597" t="n">
        <v>52</v>
      </c>
      <c r="B597" t="inlineStr">
        <is>
          <t>Vásquez Valencia Segundo Leoncio</t>
        </is>
      </c>
      <c r="C597" t="inlineStr">
        <is>
          <t>MIERCOLES</t>
        </is>
      </c>
      <c r="D597" t="n">
        <v>8</v>
      </c>
      <c r="E597" t="n">
        <v>4</v>
      </c>
      <c r="F597" t="inlineStr">
        <is>
          <t>CLASE</t>
        </is>
      </c>
      <c r="G597" t="inlineStr">
        <is>
          <t>0703</t>
        </is>
      </c>
      <c r="H597" t="inlineStr">
        <is>
          <t>MAT</t>
        </is>
      </c>
      <c r="I597" t="inlineStr"/>
      <c r="J597" t="inlineStr"/>
      <c r="K597" t="inlineStr"/>
      <c r="L597" t="inlineStr">
        <is>
          <t>7°-3</t>
        </is>
      </c>
      <c r="M597" t="inlineStr"/>
      <c r="N597">
        <f>C597&amp;"|"&amp;D597</f>
        <v/>
      </c>
      <c r="O597">
        <f>COUNTIF($N$2:N597,N597)</f>
        <v/>
      </c>
      <c r="P597">
        <f>N597&amp;"|"&amp;O597</f>
        <v/>
      </c>
      <c r="Q597">
        <f>C597&amp;"|"&amp;D597&amp;"|"&amp;A597</f>
        <v/>
      </c>
    </row>
    <row r="598">
      <c r="A598" t="n">
        <v>1</v>
      </c>
      <c r="B598" t="inlineStr">
        <is>
          <t>Aguirre Riascos Jorge Andrés</t>
        </is>
      </c>
      <c r="C598" t="inlineStr">
        <is>
          <t>MIERCOLES</t>
        </is>
      </c>
      <c r="D598" t="n">
        <v>8</v>
      </c>
      <c r="E598" t="n">
        <v>4</v>
      </c>
      <c r="F598" t="inlineStr">
        <is>
          <t>CLASE</t>
        </is>
      </c>
      <c r="G598" t="inlineStr">
        <is>
          <t>0704</t>
        </is>
      </c>
      <c r="H598" t="inlineStr">
        <is>
          <t>TEI</t>
        </is>
      </c>
      <c r="I598" t="inlineStr"/>
      <c r="J598" t="inlineStr"/>
      <c r="K598" t="inlineStr"/>
      <c r="L598" t="inlineStr">
        <is>
          <t>7°-4</t>
        </is>
      </c>
      <c r="M598" t="inlineStr"/>
      <c r="N598">
        <f>C598&amp;"|"&amp;D598</f>
        <v/>
      </c>
      <c r="O598">
        <f>COUNTIF($N$2:N598,N598)</f>
        <v/>
      </c>
      <c r="P598">
        <f>N598&amp;"|"&amp;O598</f>
        <v/>
      </c>
      <c r="Q598">
        <f>C598&amp;"|"&amp;D598&amp;"|"&amp;A598</f>
        <v/>
      </c>
    </row>
    <row r="599">
      <c r="A599" t="n">
        <v>9</v>
      </c>
      <c r="B599" t="inlineStr">
        <is>
          <t>Castillo Angulo Martha Cecilia</t>
        </is>
      </c>
      <c r="C599" t="inlineStr">
        <is>
          <t>MIERCOLES</t>
        </is>
      </c>
      <c r="D599" t="n">
        <v>8</v>
      </c>
      <c r="E599" t="n">
        <v>4</v>
      </c>
      <c r="F599" t="inlineStr">
        <is>
          <t>CLASE</t>
        </is>
      </c>
      <c r="G599" t="inlineStr">
        <is>
          <t>0801</t>
        </is>
      </c>
      <c r="H599" t="inlineStr">
        <is>
          <t>ETR</t>
        </is>
      </c>
      <c r="I599" t="inlineStr"/>
      <c r="J599" t="inlineStr">
        <is>
          <t>Ética / Religión (alternan cada semana)</t>
        </is>
      </c>
      <c r="K599" t="inlineStr"/>
      <c r="L599" t="inlineStr">
        <is>
          <t>8°-1</t>
        </is>
      </c>
      <c r="M599" t="inlineStr">
        <is>
          <t>Ética / Religión (alternan cada semana)</t>
        </is>
      </c>
      <c r="N599">
        <f>C599&amp;"|"&amp;D599</f>
        <v/>
      </c>
      <c r="O599">
        <f>COUNTIF($N$2:N599,N599)</f>
        <v/>
      </c>
      <c r="P599">
        <f>N599&amp;"|"&amp;O599</f>
        <v/>
      </c>
      <c r="Q599">
        <f>C599&amp;"|"&amp;D599&amp;"|"&amp;A599</f>
        <v/>
      </c>
    </row>
    <row r="600">
      <c r="A600" t="n">
        <v>44</v>
      </c>
      <c r="B600" t="inlineStr">
        <is>
          <t>Samaniego Angulo Flor Mireya</t>
        </is>
      </c>
      <c r="C600" t="inlineStr">
        <is>
          <t>MIERCOLES</t>
        </is>
      </c>
      <c r="D600" t="n">
        <v>8</v>
      </c>
      <c r="E600" t="n">
        <v>4</v>
      </c>
      <c r="F600" t="inlineStr">
        <is>
          <t>CLASE</t>
        </is>
      </c>
      <c r="G600" t="inlineStr">
        <is>
          <t>0802</t>
        </is>
      </c>
      <c r="H600" t="inlineStr">
        <is>
          <t>ART</t>
        </is>
      </c>
      <c r="I600" t="inlineStr"/>
      <c r="J600" t="inlineStr"/>
      <c r="K600" t="inlineStr"/>
      <c r="L600" t="inlineStr">
        <is>
          <t>8°-2</t>
        </is>
      </c>
      <c r="M600" t="inlineStr"/>
      <c r="N600">
        <f>C600&amp;"|"&amp;D600</f>
        <v/>
      </c>
      <c r="O600">
        <f>COUNTIF($N$2:N600,N600)</f>
        <v/>
      </c>
      <c r="P600">
        <f>N600&amp;"|"&amp;O600</f>
        <v/>
      </c>
      <c r="Q600">
        <f>C600&amp;"|"&amp;D600&amp;"|"&amp;A600</f>
        <v/>
      </c>
    </row>
    <row r="601">
      <c r="A601" t="n">
        <v>31</v>
      </c>
      <c r="B601" t="inlineStr">
        <is>
          <t>Montaño Arizala Leidis Claudina</t>
        </is>
      </c>
      <c r="C601" t="inlineStr">
        <is>
          <t>MIERCOLES</t>
        </is>
      </c>
      <c r="D601" t="n">
        <v>8</v>
      </c>
      <c r="E601" t="n">
        <v>4</v>
      </c>
      <c r="F601" t="inlineStr">
        <is>
          <t>CLASE</t>
        </is>
      </c>
      <c r="G601" t="inlineStr">
        <is>
          <t>1002</t>
        </is>
      </c>
      <c r="H601" t="inlineStr">
        <is>
          <t>ETR</t>
        </is>
      </c>
      <c r="I601" t="inlineStr"/>
      <c r="J601" t="inlineStr">
        <is>
          <t>Ética / Religión (alternan cada semana)</t>
        </is>
      </c>
      <c r="K601" t="inlineStr"/>
      <c r="L601" t="inlineStr">
        <is>
          <t>10°-2</t>
        </is>
      </c>
      <c r="M601" t="inlineStr">
        <is>
          <t>Ética / Religión (alternan cada semana)</t>
        </is>
      </c>
      <c r="N601">
        <f>C601&amp;"|"&amp;D601</f>
        <v/>
      </c>
      <c r="O601">
        <f>COUNTIF($N$2:N601,N601)</f>
        <v/>
      </c>
      <c r="P601">
        <f>N601&amp;"|"&amp;O601</f>
        <v/>
      </c>
      <c r="Q601">
        <f>C601&amp;"|"&amp;D601&amp;"|"&amp;A601</f>
        <v/>
      </c>
    </row>
    <row r="602">
      <c r="A602" t="n">
        <v>40</v>
      </c>
      <c r="B602" t="inlineStr">
        <is>
          <t>Pulgarín Ortiz César Marino</t>
        </is>
      </c>
      <c r="C602" t="inlineStr">
        <is>
          <t>MIERCOLES</t>
        </is>
      </c>
      <c r="D602" t="n">
        <v>8</v>
      </c>
      <c r="E602" t="n">
        <v>4</v>
      </c>
      <c r="F602" t="inlineStr">
        <is>
          <t>CLASE</t>
        </is>
      </c>
      <c r="G602" t="inlineStr">
        <is>
          <t>1101</t>
        </is>
      </c>
      <c r="H602" t="inlineStr">
        <is>
          <t>CSI</t>
        </is>
      </c>
      <c r="I602" t="inlineStr"/>
      <c r="J602" t="inlineStr">
        <is>
          <t>Sociales / Inglés (alternan cada semana)</t>
        </is>
      </c>
      <c r="K602" t="inlineStr"/>
      <c r="L602" t="inlineStr">
        <is>
          <t>11°-1</t>
        </is>
      </c>
      <c r="M602" t="inlineStr">
        <is>
          <t>Sociales / Inglés (alternan cada semana)</t>
        </is>
      </c>
      <c r="N602">
        <f>C602&amp;"|"&amp;D602</f>
        <v/>
      </c>
      <c r="O602">
        <f>COUNTIF($N$2:N602,N602)</f>
        <v/>
      </c>
      <c r="P602">
        <f>N602&amp;"|"&amp;O602</f>
        <v/>
      </c>
      <c r="Q602">
        <f>C602&amp;"|"&amp;D602&amp;"|"&amp;A602</f>
        <v/>
      </c>
    </row>
    <row r="603">
      <c r="A603" t="n">
        <v>54</v>
      </c>
      <c r="B603" t="inlineStr">
        <is>
          <t>Villota Rubio Janeth del Carmen</t>
        </is>
      </c>
      <c r="C603" t="inlineStr">
        <is>
          <t>MIERCOLES</t>
        </is>
      </c>
      <c r="D603" t="n">
        <v>8</v>
      </c>
      <c r="E603" t="n">
        <v>4</v>
      </c>
      <c r="F603" t="inlineStr">
        <is>
          <t>CLASE</t>
        </is>
      </c>
      <c r="G603" t="inlineStr">
        <is>
          <t>1102</t>
        </is>
      </c>
      <c r="H603" t="inlineStr">
        <is>
          <t>MAT</t>
        </is>
      </c>
      <c r="I603" t="inlineStr"/>
      <c r="J603" t="inlineStr"/>
      <c r="K603" t="inlineStr"/>
      <c r="L603" t="inlineStr">
        <is>
          <t>11°-2</t>
        </is>
      </c>
      <c r="M603" t="inlineStr"/>
      <c r="N603">
        <f>C603&amp;"|"&amp;D603</f>
        <v/>
      </c>
      <c r="O603">
        <f>COUNTIF($N$2:N603,N603)</f>
        <v/>
      </c>
      <c r="P603">
        <f>N603&amp;"|"&amp;O603</f>
        <v/>
      </c>
      <c r="Q603">
        <f>C603&amp;"|"&amp;D603&amp;"|"&amp;A603</f>
        <v/>
      </c>
    </row>
    <row r="604">
      <c r="A604" t="n">
        <v>42</v>
      </c>
      <c r="B604" t="inlineStr">
        <is>
          <t>Quiñones Cabezas Marcos Vidal</t>
        </is>
      </c>
      <c r="C604" t="inlineStr">
        <is>
          <t>MIERCOLES</t>
        </is>
      </c>
      <c r="D604" t="n">
        <v>8</v>
      </c>
      <c r="E604" t="n">
        <v>4</v>
      </c>
      <c r="F604" t="inlineStr">
        <is>
          <t>CLASE</t>
        </is>
      </c>
      <c r="G604" t="inlineStr">
        <is>
          <t>CS101</t>
        </is>
      </c>
      <c r="H604" t="inlineStr">
        <is>
          <t>TEI</t>
        </is>
      </c>
      <c r="I604" t="inlineStr"/>
      <c r="J604" t="inlineStr"/>
      <c r="K604" t="inlineStr"/>
      <c r="L604" t="inlineStr">
        <is>
          <t>CS 1-1</t>
        </is>
      </c>
      <c r="M604" t="inlineStr"/>
      <c r="N604">
        <f>C604&amp;"|"&amp;D604</f>
        <v/>
      </c>
      <c r="O604">
        <f>COUNTIF($N$2:N604,N604)</f>
        <v/>
      </c>
      <c r="P604">
        <f>N604&amp;"|"&amp;O604</f>
        <v/>
      </c>
      <c r="Q604">
        <f>C604&amp;"|"&amp;D604&amp;"|"&amp;A604</f>
        <v/>
      </c>
    </row>
    <row r="605">
      <c r="A605" t="n">
        <v>26</v>
      </c>
      <c r="B605" t="inlineStr">
        <is>
          <t>Lozano Torres Amanda Inés</t>
        </is>
      </c>
      <c r="C605" t="inlineStr">
        <is>
          <t>MIERCOLES</t>
        </is>
      </c>
      <c r="D605" t="n">
        <v>8</v>
      </c>
      <c r="E605" t="n">
        <v>4</v>
      </c>
      <c r="F605" t="inlineStr">
        <is>
          <t>CLASE</t>
        </is>
      </c>
      <c r="G605" t="inlineStr">
        <is>
          <t>CS102</t>
        </is>
      </c>
      <c r="H605" t="inlineStr">
        <is>
          <t>ETR</t>
        </is>
      </c>
      <c r="I605" t="inlineStr"/>
      <c r="J605" t="inlineStr">
        <is>
          <t>Ética / Religión (alternan cada semana)</t>
        </is>
      </c>
      <c r="K605" t="inlineStr"/>
      <c r="L605" t="inlineStr">
        <is>
          <t>CS 1-2</t>
        </is>
      </c>
      <c r="M605" t="inlineStr">
        <is>
          <t>Ética / Religión (alternan cada semana)</t>
        </is>
      </c>
      <c r="N605">
        <f>C605&amp;"|"&amp;D605</f>
        <v/>
      </c>
      <c r="O605">
        <f>COUNTIF($N$2:N605,N605)</f>
        <v/>
      </c>
      <c r="P605">
        <f>N605&amp;"|"&amp;O605</f>
        <v/>
      </c>
      <c r="Q605">
        <f>C605&amp;"|"&amp;D605&amp;"|"&amp;A605</f>
        <v/>
      </c>
    </row>
    <row r="606">
      <c r="A606" t="n">
        <v>15</v>
      </c>
      <c r="B606" t="inlineStr">
        <is>
          <t>Cuero Bamba Berte Levi</t>
        </is>
      </c>
      <c r="C606" t="inlineStr">
        <is>
          <t>MIERCOLES</t>
        </is>
      </c>
      <c r="D606" t="n">
        <v>8</v>
      </c>
      <c r="E606" t="n">
        <v>4</v>
      </c>
      <c r="F606" t="inlineStr">
        <is>
          <t>CLASE</t>
        </is>
      </c>
      <c r="G606" t="inlineStr">
        <is>
          <t>CS201</t>
        </is>
      </c>
      <c r="H606" t="inlineStr">
        <is>
          <t>ERD</t>
        </is>
      </c>
      <c r="I606" t="inlineStr"/>
      <c r="J606" t="inlineStr"/>
      <c r="K606" t="inlineStr"/>
      <c r="L606" t="inlineStr">
        <is>
          <t>CS 2-1</t>
        </is>
      </c>
      <c r="M606" t="inlineStr"/>
      <c r="N606">
        <f>C606&amp;"|"&amp;D606</f>
        <v/>
      </c>
      <c r="O606">
        <f>COUNTIF($N$2:N606,N606)</f>
        <v/>
      </c>
      <c r="P606">
        <f>N606&amp;"|"&amp;O606</f>
        <v/>
      </c>
      <c r="Q606">
        <f>C606&amp;"|"&amp;D606&amp;"|"&amp;A606</f>
        <v/>
      </c>
    </row>
    <row r="607">
      <c r="A607" t="n">
        <v>38</v>
      </c>
      <c r="B607" t="inlineStr">
        <is>
          <t>Preciado Torres Oleisa</t>
        </is>
      </c>
      <c r="C607" t="inlineStr">
        <is>
          <t>MIERCOLES</t>
        </is>
      </c>
      <c r="D607" t="n">
        <v>8</v>
      </c>
      <c r="E607" t="n">
        <v>4</v>
      </c>
      <c r="F607" t="inlineStr">
        <is>
          <t>CLASE</t>
        </is>
      </c>
      <c r="G607" t="inlineStr">
        <is>
          <t>CS202</t>
        </is>
      </c>
      <c r="H607" t="inlineStr">
        <is>
          <t>MAT</t>
        </is>
      </c>
      <c r="I607" t="inlineStr"/>
      <c r="J607" t="inlineStr"/>
      <c r="K607" t="inlineStr"/>
      <c r="L607" t="inlineStr">
        <is>
          <t>CS 2-2</t>
        </is>
      </c>
      <c r="M607" t="inlineStr"/>
      <c r="N607">
        <f>C607&amp;"|"&amp;D607</f>
        <v/>
      </c>
      <c r="O607">
        <f>COUNTIF($N$2:N607,N607)</f>
        <v/>
      </c>
      <c r="P607">
        <f>N607&amp;"|"&amp;O607</f>
        <v/>
      </c>
      <c r="Q607">
        <f>C607&amp;"|"&amp;D607&amp;"|"&amp;A607</f>
        <v/>
      </c>
    </row>
    <row r="608">
      <c r="A608" t="n">
        <v>10</v>
      </c>
      <c r="B608" t="inlineStr">
        <is>
          <t>Castillo Cuero Daira Eneida</t>
        </is>
      </c>
      <c r="C608" t="inlineStr">
        <is>
          <t>MIERCOLES</t>
        </is>
      </c>
      <c r="D608" t="n">
        <v>8</v>
      </c>
      <c r="E608" t="n">
        <v>4</v>
      </c>
      <c r="F608" t="inlineStr">
        <is>
          <t>ENFASIS</t>
        </is>
      </c>
      <c r="G608" t="inlineStr"/>
      <c r="H608" t="inlineStr">
        <is>
          <t>CAS</t>
        </is>
      </c>
      <c r="I608" t="inlineStr">
        <is>
          <t>0601</t>
        </is>
      </c>
      <c r="J608" t="inlineStr">
        <is>
          <t>PAREJA: comparten el énfasis y alternan por semana</t>
        </is>
      </c>
      <c r="K608" t="inlineStr">
        <is>
          <t>Puches Ana Milena (ART)</t>
        </is>
      </c>
      <c r="L608" t="inlineStr">
        <is>
          <t>ÉNFASIS 6°-1</t>
        </is>
      </c>
      <c r="M608" t="inlineStr">
        <is>
          <t>PAREJA: comparten el énfasis y alternan por semana · Con: Puches Ana Milena (ART)</t>
        </is>
      </c>
      <c r="N608">
        <f>C608&amp;"|"&amp;D608</f>
        <v/>
      </c>
      <c r="O608">
        <f>COUNTIF($N$2:N608,N608)</f>
        <v/>
      </c>
      <c r="P608">
        <f>N608&amp;"|"&amp;O608</f>
        <v/>
      </c>
      <c r="Q608">
        <f>C608&amp;"|"&amp;D608&amp;"|"&amp;A608</f>
        <v/>
      </c>
    </row>
    <row r="609">
      <c r="A609" t="n">
        <v>39</v>
      </c>
      <c r="B609" t="inlineStr">
        <is>
          <t>Puches Ana Milena</t>
        </is>
      </c>
      <c r="C609" t="inlineStr">
        <is>
          <t>MIERCOLES</t>
        </is>
      </c>
      <c r="D609" t="n">
        <v>8</v>
      </c>
      <c r="E609" t="n">
        <v>4</v>
      </c>
      <c r="F609" t="inlineStr">
        <is>
          <t>ENFASIS</t>
        </is>
      </c>
      <c r="G609" t="inlineStr"/>
      <c r="H609" t="inlineStr">
        <is>
          <t>ART</t>
        </is>
      </c>
      <c r="I609" t="inlineStr">
        <is>
          <t>0601</t>
        </is>
      </c>
      <c r="J609" t="inlineStr">
        <is>
          <t>PAREJA: comparten el énfasis y alternan por semana</t>
        </is>
      </c>
      <c r="K609" t="inlineStr">
        <is>
          <t>Castillo Cuero Daira Eneida (CAS)</t>
        </is>
      </c>
      <c r="L609" t="inlineStr">
        <is>
          <t>ÉNFASIS 6°-1</t>
        </is>
      </c>
      <c r="M609" t="inlineStr">
        <is>
          <t>PAREJA: comparten el énfasis y alternan por semana · Con: Castillo Cuero Daira Eneida (CAS)</t>
        </is>
      </c>
      <c r="N609">
        <f>C609&amp;"|"&amp;D609</f>
        <v/>
      </c>
      <c r="O609">
        <f>COUNTIF($N$2:N609,N609)</f>
        <v/>
      </c>
      <c r="P609">
        <f>N609&amp;"|"&amp;O609</f>
        <v/>
      </c>
      <c r="Q609">
        <f>C609&amp;"|"&amp;D609&amp;"|"&amp;A609</f>
        <v/>
      </c>
    </row>
    <row r="610">
      <c r="A610" t="n">
        <v>34</v>
      </c>
      <c r="B610" t="inlineStr">
        <is>
          <t>Ordóñez Tenorio Jaime Marcial</t>
        </is>
      </c>
      <c r="C610" t="inlineStr">
        <is>
          <t>MIERCOLES</t>
        </is>
      </c>
      <c r="D610" t="n">
        <v>8</v>
      </c>
      <c r="E610" t="n">
        <v>4</v>
      </c>
      <c r="F610" t="inlineStr">
        <is>
          <t>ENFASIS</t>
        </is>
      </c>
      <c r="G610" t="inlineStr"/>
      <c r="H610" t="inlineStr">
        <is>
          <t>CNA</t>
        </is>
      </c>
      <c r="I610" t="inlineStr">
        <is>
          <t>0602</t>
        </is>
      </c>
      <c r="J610" t="inlineStr">
        <is>
          <t>PAREJA: comparten el énfasis y alternan por semana</t>
        </is>
      </c>
      <c r="K610" t="inlineStr">
        <is>
          <t>Armero Dájome Jesús (ERD)</t>
        </is>
      </c>
      <c r="L610" t="inlineStr">
        <is>
          <t>ÉNFASIS 6°-2</t>
        </is>
      </c>
      <c r="M610" t="inlineStr">
        <is>
          <t>PAREJA: comparten el énfasis y alternan por semana · Con: Armero Dájome Jesús (ERD)</t>
        </is>
      </c>
      <c r="N610">
        <f>C610&amp;"|"&amp;D610</f>
        <v/>
      </c>
      <c r="O610">
        <f>COUNTIF($N$2:N610,N610)</f>
        <v/>
      </c>
      <c r="P610">
        <f>N610&amp;"|"&amp;O610</f>
        <v/>
      </c>
      <c r="Q610">
        <f>C610&amp;"|"&amp;D610&amp;"|"&amp;A610</f>
        <v/>
      </c>
    </row>
    <row r="611">
      <c r="A611" t="n">
        <v>4</v>
      </c>
      <c r="B611" t="inlineStr">
        <is>
          <t>Arizala Castro Roberto Carlos</t>
        </is>
      </c>
      <c r="C611" t="inlineStr">
        <is>
          <t>MIERCOLES</t>
        </is>
      </c>
      <c r="D611" t="n">
        <v>8</v>
      </c>
      <c r="E611" t="n">
        <v>4</v>
      </c>
      <c r="F611" t="inlineStr">
        <is>
          <t>ENFASIS</t>
        </is>
      </c>
      <c r="G611" t="inlineStr"/>
      <c r="H611" t="inlineStr">
        <is>
          <t>ERD</t>
        </is>
      </c>
      <c r="I611" t="inlineStr">
        <is>
          <t>0602</t>
        </is>
      </c>
      <c r="J611" t="inlineStr">
        <is>
          <t>PAREJA: comparten el énfasis y alternan por semana</t>
        </is>
      </c>
      <c r="K611" t="inlineStr">
        <is>
          <t>Ordóñez Tenorio Jaime Marcial (CNA)</t>
        </is>
      </c>
      <c r="L611" t="inlineStr">
        <is>
          <t>ÉNFASIS 6°-2</t>
        </is>
      </c>
      <c r="M611" t="inlineStr">
        <is>
          <t>PAREJA: comparten el énfasis y alternan por semana · Con: Ordóñez Tenorio Jaime Marcial (CNA)</t>
        </is>
      </c>
      <c r="N611">
        <f>C611&amp;"|"&amp;D611</f>
        <v/>
      </c>
      <c r="O611">
        <f>COUNTIF($N$2:N611,N611)</f>
        <v/>
      </c>
      <c r="P611">
        <f>N611&amp;"|"&amp;O611</f>
        <v/>
      </c>
      <c r="Q611">
        <f>C611&amp;"|"&amp;D611&amp;"|"&amp;A611</f>
        <v/>
      </c>
    </row>
    <row r="612">
      <c r="A612" t="n">
        <v>22</v>
      </c>
      <c r="B612" t="inlineStr">
        <is>
          <t>González Castillo Jólmer Jimy</t>
        </is>
      </c>
      <c r="C612" t="inlineStr">
        <is>
          <t>MIERCOLES</t>
        </is>
      </c>
      <c r="D612" t="n">
        <v>8</v>
      </c>
      <c r="E612" t="n">
        <v>4</v>
      </c>
      <c r="F612" t="inlineStr">
        <is>
          <t>ENFASIS</t>
        </is>
      </c>
      <c r="G612" t="inlineStr"/>
      <c r="H612" t="inlineStr">
        <is>
          <t>ERD</t>
        </is>
      </c>
      <c r="I612" t="inlineStr">
        <is>
          <t>0901</t>
        </is>
      </c>
      <c r="J612" t="inlineStr">
        <is>
          <t>EQUIPO DE 4: cada docente atiende un grupo de estudiantes en su área</t>
        </is>
      </c>
      <c r="K612" t="inlineStr">
        <is>
          <t>Valencia Marínez Saidy Eufemia (ART); Meza Banguera Gladys Alicia (CAS); Lemos Guancha Miriam (CNA)</t>
        </is>
      </c>
      <c r="L612" t="inlineStr">
        <is>
          <t>ÉNFASIS 9°-1</t>
        </is>
      </c>
      <c r="M612" t="inlineStr">
        <is>
          <t>EQUIPO DE 4: cada docente atiende un grupo de estudiantes en su área · Con: Valencia Marínez Saidy Eufemia (ART); Meza Banguera Gladys Alicia (CAS); Lemos Guancha Miriam (CNA)</t>
        </is>
      </c>
      <c r="N612">
        <f>C612&amp;"|"&amp;D612</f>
        <v/>
      </c>
      <c r="O612">
        <f>COUNTIF($N$2:N612,N612)</f>
        <v/>
      </c>
      <c r="P612">
        <f>N612&amp;"|"&amp;O612</f>
        <v/>
      </c>
      <c r="Q612">
        <f>C612&amp;"|"&amp;D612&amp;"|"&amp;A612</f>
        <v/>
      </c>
    </row>
    <row r="613">
      <c r="A613" t="n">
        <v>25</v>
      </c>
      <c r="B613" t="inlineStr">
        <is>
          <t>Lemos Guancha Miriam</t>
        </is>
      </c>
      <c r="C613" t="inlineStr">
        <is>
          <t>MIERCOLES</t>
        </is>
      </c>
      <c r="D613" t="n">
        <v>8</v>
      </c>
      <c r="E613" t="n">
        <v>4</v>
      </c>
      <c r="F613" t="inlineStr">
        <is>
          <t>ENFASIS</t>
        </is>
      </c>
      <c r="G613" t="inlineStr"/>
      <c r="H613" t="inlineStr">
        <is>
          <t>CNA</t>
        </is>
      </c>
      <c r="I613" t="inlineStr">
        <is>
          <t>0901</t>
        </is>
      </c>
      <c r="J613" t="inlineStr">
        <is>
          <t>EQUIPO DE 4: cada docente atiende un grupo de estudiantes en su área</t>
        </is>
      </c>
      <c r="K613" t="inlineStr">
        <is>
          <t>Valencia Marínez Saidy Eufemia (ART); Meza Banguera Gladys Alicia (CAS); González Castillo Jólmer Jimy (ERD)</t>
        </is>
      </c>
      <c r="L613" t="inlineStr">
        <is>
          <t>ÉNFASIS 9°-1</t>
        </is>
      </c>
      <c r="M613" t="inlineStr">
        <is>
          <t>EQUIPO DE 4: cada docente atiende un grupo de estudiantes en su área · Con: Valencia Marínez Saidy Eufemia (ART); Meza Banguera Gladys Alicia (CAS); González Castillo Jólmer Jimy (ERD)</t>
        </is>
      </c>
      <c r="N613">
        <f>C613&amp;"|"&amp;D613</f>
        <v/>
      </c>
      <c r="O613">
        <f>COUNTIF($N$2:N613,N613)</f>
        <v/>
      </c>
      <c r="P613">
        <f>N613&amp;"|"&amp;O613</f>
        <v/>
      </c>
      <c r="Q613">
        <f>C613&amp;"|"&amp;D613&amp;"|"&amp;A613</f>
        <v/>
      </c>
    </row>
    <row r="614">
      <c r="A614" t="n">
        <v>28</v>
      </c>
      <c r="B614" t="inlineStr">
        <is>
          <t>Meza Banguera Gladys Alicia</t>
        </is>
      </c>
      <c r="C614" t="inlineStr">
        <is>
          <t>MIERCOLES</t>
        </is>
      </c>
      <c r="D614" t="n">
        <v>8</v>
      </c>
      <c r="E614" t="n">
        <v>4</v>
      </c>
      <c r="F614" t="inlineStr">
        <is>
          <t>ENFASIS</t>
        </is>
      </c>
      <c r="G614" t="inlineStr"/>
      <c r="H614" t="inlineStr">
        <is>
          <t>CAS</t>
        </is>
      </c>
      <c r="I614" t="inlineStr">
        <is>
          <t>0901</t>
        </is>
      </c>
      <c r="J614" t="inlineStr">
        <is>
          <t>EQUIPO DE 4: cada docente atiende un grupo de estudiantes en su área</t>
        </is>
      </c>
      <c r="K614" t="inlineStr">
        <is>
          <t>Valencia Marínez Saidy Eufemia (ART); González Castillo Jólmer Jimy (ERD); Lemos Guancha Miriam (CNA)</t>
        </is>
      </c>
      <c r="L614" t="inlineStr">
        <is>
          <t>ÉNFASIS 9°-1</t>
        </is>
      </c>
      <c r="M614" t="inlineStr">
        <is>
          <t>EQUIPO DE 4: cada docente atiende un grupo de estudiantes en su área · Con: Valencia Marínez Saidy Eufemia (ART); González Castillo Jólmer Jimy (ERD); Lemos Guancha Miriam (CNA)</t>
        </is>
      </c>
      <c r="N614">
        <f>C614&amp;"|"&amp;D614</f>
        <v/>
      </c>
      <c r="O614">
        <f>COUNTIF($N$2:N614,N614)</f>
        <v/>
      </c>
      <c r="P614">
        <f>N614&amp;"|"&amp;O614</f>
        <v/>
      </c>
      <c r="Q614">
        <f>C614&amp;"|"&amp;D614&amp;"|"&amp;A614</f>
        <v/>
      </c>
    </row>
    <row r="615">
      <c r="A615" t="n">
        <v>49</v>
      </c>
      <c r="B615" t="inlineStr">
        <is>
          <t>Valencia Marínez Saidy Eufemia</t>
        </is>
      </c>
      <c r="C615" t="inlineStr">
        <is>
          <t>MIERCOLES</t>
        </is>
      </c>
      <c r="D615" t="n">
        <v>8</v>
      </c>
      <c r="E615" t="n">
        <v>4</v>
      </c>
      <c r="F615" t="inlineStr">
        <is>
          <t>ENFASIS</t>
        </is>
      </c>
      <c r="G615" t="inlineStr"/>
      <c r="H615" t="inlineStr">
        <is>
          <t>ART</t>
        </is>
      </c>
      <c r="I615" t="inlineStr">
        <is>
          <t>0901</t>
        </is>
      </c>
      <c r="J615" t="inlineStr">
        <is>
          <t>EQUIPO DE 4: cada docente atiende un grupo de estudiantes en su área</t>
        </is>
      </c>
      <c r="K615" t="inlineStr">
        <is>
          <t>Meza Banguera Gladys Alicia (CAS); González Castillo Jólmer Jimy (ERD); Lemos Guancha Miriam (CNA)</t>
        </is>
      </c>
      <c r="L615" t="inlineStr">
        <is>
          <t>ÉNFASIS 9°-1</t>
        </is>
      </c>
      <c r="M615" t="inlineStr">
        <is>
          <t>EQUIPO DE 4: cada docente atiende un grupo de estudiantes en su área · Con: Meza Banguera Gladys Alicia (CAS); González Castillo Jólmer Jimy (ERD); Lemos Guancha Miriam (CNA)</t>
        </is>
      </c>
      <c r="N615">
        <f>C615&amp;"|"&amp;D615</f>
        <v/>
      </c>
      <c r="O615">
        <f>COUNTIF($N$2:N615,N615)</f>
        <v/>
      </c>
      <c r="P615">
        <f>N615&amp;"|"&amp;O615</f>
        <v/>
      </c>
      <c r="Q615">
        <f>C615&amp;"|"&amp;D615&amp;"|"&amp;A615</f>
        <v/>
      </c>
    </row>
    <row r="616">
      <c r="A616" t="n">
        <v>5</v>
      </c>
      <c r="B616" t="inlineStr">
        <is>
          <t>Bastidas Valencia Zeneida Judith</t>
        </is>
      </c>
      <c r="C616" t="inlineStr">
        <is>
          <t>MIERCOLES</t>
        </is>
      </c>
      <c r="D616" t="n">
        <v>8</v>
      </c>
      <c r="E616" t="n">
        <v>4</v>
      </c>
      <c r="F616" t="inlineStr">
        <is>
          <t>ENFASIS</t>
        </is>
      </c>
      <c r="G616" t="inlineStr"/>
      <c r="H616" t="inlineStr">
        <is>
          <t>MAT</t>
        </is>
      </c>
      <c r="I616" t="inlineStr">
        <is>
          <t>0902</t>
        </is>
      </c>
      <c r="J616" t="inlineStr">
        <is>
          <t>EQUIPO DE 4: cada docente atiende un grupo de estudiantes en su área</t>
        </is>
      </c>
      <c r="K616" t="inlineStr">
        <is>
          <t>Betancourth Ocampo Yohana Patricia (CSI); Estacio Estupiñán Rosario (ETR); Mindineros Satizábal John Jáver (TEI)</t>
        </is>
      </c>
      <c r="L616" t="inlineStr">
        <is>
          <t>ÉNFASIS 9°-2</t>
        </is>
      </c>
      <c r="M616" t="inlineStr">
        <is>
          <t>EQUIPO DE 4: cada docente atiende un grupo de estudiantes en su área · Con: Betancourth Ocampo Yohana Patricia (CSI); Estacio Estupiñán Rosario (ETR); Mindineros Satizábal John Jáver (TEI)</t>
        </is>
      </c>
      <c r="N616">
        <f>C616&amp;"|"&amp;D616</f>
        <v/>
      </c>
      <c r="O616">
        <f>COUNTIF($N$2:N616,N616)</f>
        <v/>
      </c>
      <c r="P616">
        <f>N616&amp;"|"&amp;O616</f>
        <v/>
      </c>
      <c r="Q616">
        <f>C616&amp;"|"&amp;D616&amp;"|"&amp;A616</f>
        <v/>
      </c>
    </row>
    <row r="617">
      <c r="A617" t="n">
        <v>6</v>
      </c>
      <c r="B617" t="inlineStr">
        <is>
          <t>Betancourth Ocampo Yohana Patricia</t>
        </is>
      </c>
      <c r="C617" t="inlineStr">
        <is>
          <t>MIERCOLES</t>
        </is>
      </c>
      <c r="D617" t="n">
        <v>8</v>
      </c>
      <c r="E617" t="n">
        <v>4</v>
      </c>
      <c r="F617" t="inlineStr">
        <is>
          <t>ENFASIS</t>
        </is>
      </c>
      <c r="G617" t="inlineStr"/>
      <c r="H617" t="inlineStr">
        <is>
          <t>CSI</t>
        </is>
      </c>
      <c r="I617" t="inlineStr">
        <is>
          <t>0902</t>
        </is>
      </c>
      <c r="J617" t="inlineStr">
        <is>
          <t>EQUIPO DE 4: cada docente atiende un grupo de estudiantes en su área</t>
        </is>
      </c>
      <c r="K617" t="inlineStr">
        <is>
          <t>Estacio Estupiñán Rosario (ETR); Bastidas Valencia Zeneida Judith (MAT); Mindineros Satizábal John Jáver (TEI)</t>
        </is>
      </c>
      <c r="L617" t="inlineStr">
        <is>
          <t>ÉNFASIS 9°-2</t>
        </is>
      </c>
      <c r="M617" t="inlineStr">
        <is>
          <t>EQUIPO DE 4: cada docente atiende un grupo de estudiantes en su área · Con: Estacio Estupiñán Rosario (ETR); Bastidas Valencia Zeneida Judith (MAT); Mindineros Satizábal John Jáver (TEI)</t>
        </is>
      </c>
      <c r="N617">
        <f>C617&amp;"|"&amp;D617</f>
        <v/>
      </c>
      <c r="O617">
        <f>COUNTIF($N$2:N617,N617)</f>
        <v/>
      </c>
      <c r="P617">
        <f>N617&amp;"|"&amp;O617</f>
        <v/>
      </c>
      <c r="Q617">
        <f>C617&amp;"|"&amp;D617&amp;"|"&amp;A617</f>
        <v/>
      </c>
    </row>
    <row r="618">
      <c r="A618" t="n">
        <v>18</v>
      </c>
      <c r="B618" t="inlineStr">
        <is>
          <t>Estacio Estupiñán Rosario</t>
        </is>
      </c>
      <c r="C618" t="inlineStr">
        <is>
          <t>MIERCOLES</t>
        </is>
      </c>
      <c r="D618" t="n">
        <v>8</v>
      </c>
      <c r="E618" t="n">
        <v>4</v>
      </c>
      <c r="F618" t="inlineStr">
        <is>
          <t>ENFASIS</t>
        </is>
      </c>
      <c r="G618" t="inlineStr"/>
      <c r="H618" t="inlineStr">
        <is>
          <t>ETR</t>
        </is>
      </c>
      <c r="I618" t="inlineStr">
        <is>
          <t>0902</t>
        </is>
      </c>
      <c r="J618" t="inlineStr">
        <is>
          <t>EQUIPO DE 4: cada docente atiende un grupo de estudiantes en su área</t>
        </is>
      </c>
      <c r="K618" t="inlineStr">
        <is>
          <t>Betancourth Ocampo Yohana Patricia (CSI); Bastidas Valencia Zeneida Judith (MAT); Mindineros Satizábal John Jáver (TEI)</t>
        </is>
      </c>
      <c r="L618" t="inlineStr">
        <is>
          <t>ÉNFASIS 9°-2</t>
        </is>
      </c>
      <c r="M618" t="inlineStr">
        <is>
          <t>EQUIPO DE 4: cada docente atiende un grupo de estudiantes en su área · Con: Betancourth Ocampo Yohana Patricia (CSI); Bastidas Valencia Zeneida Judith (MAT); Mindineros Satizábal John Jáver (TEI)</t>
        </is>
      </c>
      <c r="N618">
        <f>C618&amp;"|"&amp;D618</f>
        <v/>
      </c>
      <c r="O618">
        <f>COUNTIF($N$2:N618,N618)</f>
        <v/>
      </c>
      <c r="P618">
        <f>N618&amp;"|"&amp;O618</f>
        <v/>
      </c>
      <c r="Q618">
        <f>C618&amp;"|"&amp;D618&amp;"|"&amp;A618</f>
        <v/>
      </c>
    </row>
    <row r="619">
      <c r="A619" t="n">
        <v>29</v>
      </c>
      <c r="B619" t="inlineStr">
        <is>
          <t>Mindineros Satizábal John Jáver</t>
        </is>
      </c>
      <c r="C619" t="inlineStr">
        <is>
          <t>MIERCOLES</t>
        </is>
      </c>
      <c r="D619" t="n">
        <v>8</v>
      </c>
      <c r="E619" t="n">
        <v>4</v>
      </c>
      <c r="F619" t="inlineStr">
        <is>
          <t>ENFASIS</t>
        </is>
      </c>
      <c r="G619" t="inlineStr"/>
      <c r="H619" t="inlineStr">
        <is>
          <t>TEI</t>
        </is>
      </c>
      <c r="I619" t="inlineStr">
        <is>
          <t>0902</t>
        </is>
      </c>
      <c r="J619" t="inlineStr">
        <is>
          <t>EQUIPO DE 4: cada docente atiende un grupo de estudiantes en su área</t>
        </is>
      </c>
      <c r="K619" t="inlineStr">
        <is>
          <t>Betancourth Ocampo Yohana Patricia (CSI); Estacio Estupiñán Rosario (ETR); Bastidas Valencia Zeneida Judith (MAT)</t>
        </is>
      </c>
      <c r="L619" t="inlineStr">
        <is>
          <t>ÉNFASIS 9°-2</t>
        </is>
      </c>
      <c r="M619" t="inlineStr">
        <is>
          <t>EQUIPO DE 4: cada docente atiende un grupo de estudiantes en su área · Con: Betancourth Ocampo Yohana Patricia (CSI); Estacio Estupiñán Rosario (ETR); Bastidas Valencia Zeneida Judith (MAT)</t>
        </is>
      </c>
      <c r="N619">
        <f>C619&amp;"|"&amp;D619</f>
        <v/>
      </c>
      <c r="O619">
        <f>COUNTIF($N$2:N619,N619)</f>
        <v/>
      </c>
      <c r="P619">
        <f>N619&amp;"|"&amp;O619</f>
        <v/>
      </c>
      <c r="Q619">
        <f>C619&amp;"|"&amp;D619&amp;"|"&amp;A619</f>
        <v/>
      </c>
    </row>
    <row r="620">
      <c r="A620" t="n">
        <v>3</v>
      </c>
      <c r="B620" t="inlineStr">
        <is>
          <t>Arboleda Ortiz Luz América</t>
        </is>
      </c>
      <c r="C620" t="inlineStr">
        <is>
          <t>MIERCOLES</t>
        </is>
      </c>
      <c r="D620" t="n">
        <v>8</v>
      </c>
      <c r="E620" t="n">
        <v>4</v>
      </c>
      <c r="F620" t="inlineStr">
        <is>
          <t>ENFASIS</t>
        </is>
      </c>
      <c r="G620" t="inlineStr"/>
      <c r="H620" t="inlineStr">
        <is>
          <t>ART</t>
        </is>
      </c>
      <c r="I620" t="inlineStr">
        <is>
          <t>1001</t>
        </is>
      </c>
      <c r="J620" t="inlineStr">
        <is>
          <t>EQUIPO DE 4: cada docente atiende un grupo de estudiantes en su área</t>
        </is>
      </c>
      <c r="K620" t="inlineStr">
        <is>
          <t>Montaño Anchico Favio Héctor (CAS); Ramírez Guerra Jimmy Eduardo (ERD); Villota Rubio Héctor Hugo (CNA)</t>
        </is>
      </c>
      <c r="L620" t="inlineStr">
        <is>
          <t>ÉNFASIS 10°-1</t>
        </is>
      </c>
      <c r="M620" t="inlineStr">
        <is>
          <t>EQUIPO DE 4: cada docente atiende un grupo de estudiantes en su área · Con: Montaño Anchico Favio Héctor (CAS); Ramírez Guerra Jimmy Eduardo (ERD); Villota Rubio Héctor Hugo (CNA)</t>
        </is>
      </c>
      <c r="N620">
        <f>C620&amp;"|"&amp;D620</f>
        <v/>
      </c>
      <c r="O620">
        <f>COUNTIF($N$2:N620,N620)</f>
        <v/>
      </c>
      <c r="P620">
        <f>N620&amp;"|"&amp;O620</f>
        <v/>
      </c>
      <c r="Q620">
        <f>C620&amp;"|"&amp;D620&amp;"|"&amp;A620</f>
        <v/>
      </c>
    </row>
    <row r="621">
      <c r="A621" t="n">
        <v>30</v>
      </c>
      <c r="B621" t="inlineStr">
        <is>
          <t>Montaño Anchico Favio Héctor</t>
        </is>
      </c>
      <c r="C621" t="inlineStr">
        <is>
          <t>MIERCOLES</t>
        </is>
      </c>
      <c r="D621" t="n">
        <v>8</v>
      </c>
      <c r="E621" t="n">
        <v>4</v>
      </c>
      <c r="F621" t="inlineStr">
        <is>
          <t>ENFASIS</t>
        </is>
      </c>
      <c r="G621" t="inlineStr"/>
      <c r="H621" t="inlineStr">
        <is>
          <t>CAS</t>
        </is>
      </c>
      <c r="I621" t="inlineStr">
        <is>
          <t>1001</t>
        </is>
      </c>
      <c r="J621" t="inlineStr">
        <is>
          <t>EQUIPO DE 4: cada docente atiende un grupo de estudiantes en su área</t>
        </is>
      </c>
      <c r="K621" t="inlineStr">
        <is>
          <t>Arboleda Ortiz Luz América (ART); Ramírez Guerra Jimmy Eduardo (ERD); Villota Rubio Héctor Hugo (CNA)</t>
        </is>
      </c>
      <c r="L621" t="inlineStr">
        <is>
          <t>ÉNFASIS 10°-1</t>
        </is>
      </c>
      <c r="M621" t="inlineStr">
        <is>
          <t>EQUIPO DE 4: cada docente atiende un grupo de estudiantes en su área · Con: Arboleda Ortiz Luz América (ART); Ramírez Guerra Jimmy Eduardo (ERD); Villota Rubio Héctor Hugo (CNA)</t>
        </is>
      </c>
      <c r="N621">
        <f>C621&amp;"|"&amp;D621</f>
        <v/>
      </c>
      <c r="O621">
        <f>COUNTIF($N$2:N621,N621)</f>
        <v/>
      </c>
      <c r="P621">
        <f>N621&amp;"|"&amp;O621</f>
        <v/>
      </c>
      <c r="Q621">
        <f>C621&amp;"|"&amp;D621&amp;"|"&amp;A621</f>
        <v/>
      </c>
    </row>
    <row r="622">
      <c r="A622" t="n">
        <v>43</v>
      </c>
      <c r="B622" t="inlineStr">
        <is>
          <t>Ramírez Guerra Jimmy Eduardo</t>
        </is>
      </c>
      <c r="C622" t="inlineStr">
        <is>
          <t>MIERCOLES</t>
        </is>
      </c>
      <c r="D622" t="n">
        <v>8</v>
      </c>
      <c r="E622" t="n">
        <v>4</v>
      </c>
      <c r="F622" t="inlineStr">
        <is>
          <t>ENFASIS</t>
        </is>
      </c>
      <c r="G622" t="inlineStr"/>
      <c r="H622" t="inlineStr">
        <is>
          <t>ERD</t>
        </is>
      </c>
      <c r="I622" t="inlineStr">
        <is>
          <t>1001</t>
        </is>
      </c>
      <c r="J622" t="inlineStr">
        <is>
          <t>EQUIPO DE 4: cada docente atiende un grupo de estudiantes en su área</t>
        </is>
      </c>
      <c r="K622" t="inlineStr">
        <is>
          <t>Arboleda Ortiz Luz América (ART); Montaño Anchico Favio Héctor (CAS); Villota Rubio Héctor Hugo (CNA)</t>
        </is>
      </c>
      <c r="L622" t="inlineStr">
        <is>
          <t>ÉNFASIS 10°-1</t>
        </is>
      </c>
      <c r="M622" t="inlineStr">
        <is>
          <t>EQUIPO DE 4: cada docente atiende un grupo de estudiantes en su área · Con: Arboleda Ortiz Luz América (ART); Montaño Anchico Favio Héctor (CAS); Villota Rubio Héctor Hugo (CNA)</t>
        </is>
      </c>
      <c r="N622">
        <f>C622&amp;"|"&amp;D622</f>
        <v/>
      </c>
      <c r="O622">
        <f>COUNTIF($N$2:N622,N622)</f>
        <v/>
      </c>
      <c r="P622">
        <f>N622&amp;"|"&amp;O622</f>
        <v/>
      </c>
      <c r="Q622">
        <f>C622&amp;"|"&amp;D622&amp;"|"&amp;A622</f>
        <v/>
      </c>
    </row>
    <row r="623">
      <c r="A623" t="n">
        <v>53</v>
      </c>
      <c r="B623" t="inlineStr">
        <is>
          <t>Villota Rubio Héctor Hugo</t>
        </is>
      </c>
      <c r="C623" t="inlineStr">
        <is>
          <t>MIERCOLES</t>
        </is>
      </c>
      <c r="D623" t="n">
        <v>8</v>
      </c>
      <c r="E623" t="n">
        <v>4</v>
      </c>
      <c r="F623" t="inlineStr">
        <is>
          <t>ENFASIS</t>
        </is>
      </c>
      <c r="G623" t="inlineStr"/>
      <c r="H623" t="inlineStr">
        <is>
          <t>CNA</t>
        </is>
      </c>
      <c r="I623" t="inlineStr">
        <is>
          <t>1001</t>
        </is>
      </c>
      <c r="J623" t="inlineStr">
        <is>
          <t>EQUIPO DE 4: cada docente atiende un grupo de estudiantes en su área</t>
        </is>
      </c>
      <c r="K623" t="inlineStr">
        <is>
          <t>Arboleda Ortiz Luz América (ART); Montaño Anchico Favio Héctor (CAS); Ramírez Guerra Jimmy Eduardo (ERD)</t>
        </is>
      </c>
      <c r="L623" t="inlineStr">
        <is>
          <t>ÉNFASIS 10°-1</t>
        </is>
      </c>
      <c r="M623" t="inlineStr">
        <is>
          <t>EQUIPO DE 4: cada docente atiende un grupo de estudiantes en su área · Con: Arboleda Ortiz Luz América (ART); Montaño Anchico Favio Héctor (CAS); Ramírez Guerra Jimmy Eduardo (ERD)</t>
        </is>
      </c>
      <c r="N623">
        <f>C623&amp;"|"&amp;D623</f>
        <v/>
      </c>
      <c r="O623">
        <f>COUNTIF($N$2:N623,N623)</f>
        <v/>
      </c>
      <c r="P623">
        <f>N623&amp;"|"&amp;O623</f>
        <v/>
      </c>
      <c r="Q623">
        <f>C623&amp;"|"&amp;D623&amp;"|"&amp;A623</f>
        <v/>
      </c>
    </row>
    <row r="624">
      <c r="A624" t="n">
        <v>42</v>
      </c>
      <c r="B624" t="inlineStr">
        <is>
          <t>Quiñones Cabezas Marcos Vidal</t>
        </is>
      </c>
      <c r="C624" t="inlineStr">
        <is>
          <t>JUEVES</t>
        </is>
      </c>
      <c r="D624" t="n">
        <v>1</v>
      </c>
      <c r="E624" t="n">
        <v>1</v>
      </c>
      <c r="F624" t="inlineStr">
        <is>
          <t>CLASE</t>
        </is>
      </c>
      <c r="G624" t="inlineStr">
        <is>
          <t>0601</t>
        </is>
      </c>
      <c r="H624" t="inlineStr">
        <is>
          <t>MAT</t>
        </is>
      </c>
      <c r="I624" t="inlineStr"/>
      <c r="J624" t="inlineStr"/>
      <c r="K624" t="inlineStr"/>
      <c r="L624" t="inlineStr">
        <is>
          <t>6°-1</t>
        </is>
      </c>
      <c r="M624" t="inlineStr"/>
      <c r="N624">
        <f>C624&amp;"|"&amp;D624</f>
        <v/>
      </c>
      <c r="O624">
        <f>COUNTIF($N$2:N624,N624)</f>
        <v/>
      </c>
      <c r="P624">
        <f>N624&amp;"|"&amp;O624</f>
        <v/>
      </c>
      <c r="Q624">
        <f>C624&amp;"|"&amp;D624&amp;"|"&amp;A624</f>
        <v/>
      </c>
    </row>
    <row r="625">
      <c r="A625" t="n">
        <v>16</v>
      </c>
      <c r="B625" t="inlineStr">
        <is>
          <t>Cuero Rincón Hernando Jesús</t>
        </is>
      </c>
      <c r="C625" t="inlineStr">
        <is>
          <t>JUEVES</t>
        </is>
      </c>
      <c r="D625" t="n">
        <v>1</v>
      </c>
      <c r="E625" t="n">
        <v>1</v>
      </c>
      <c r="F625" t="inlineStr">
        <is>
          <t>CLASE</t>
        </is>
      </c>
      <c r="G625" t="inlineStr">
        <is>
          <t>0602</t>
        </is>
      </c>
      <c r="H625" t="inlineStr">
        <is>
          <t>TEI</t>
        </is>
      </c>
      <c r="I625" t="inlineStr"/>
      <c r="J625" t="inlineStr"/>
      <c r="K625" t="inlineStr"/>
      <c r="L625" t="inlineStr">
        <is>
          <t>6°-2</t>
        </is>
      </c>
      <c r="M625" t="inlineStr"/>
      <c r="N625">
        <f>C625&amp;"|"&amp;D625</f>
        <v/>
      </c>
      <c r="O625">
        <f>COUNTIF($N$2:N625,N625)</f>
        <v/>
      </c>
      <c r="P625">
        <f>N625&amp;"|"&amp;O625</f>
        <v/>
      </c>
      <c r="Q625">
        <f>C625&amp;"|"&amp;D625&amp;"|"&amp;A625</f>
        <v/>
      </c>
    </row>
    <row r="626">
      <c r="A626" t="n">
        <v>10</v>
      </c>
      <c r="B626" t="inlineStr">
        <is>
          <t>Castillo Cuero Daira Eneida</t>
        </is>
      </c>
      <c r="C626" t="inlineStr">
        <is>
          <t>JUEVES</t>
        </is>
      </c>
      <c r="D626" t="n">
        <v>1</v>
      </c>
      <c r="E626" t="n">
        <v>1</v>
      </c>
      <c r="F626" t="inlineStr">
        <is>
          <t>CLASE</t>
        </is>
      </c>
      <c r="G626" t="inlineStr">
        <is>
          <t>0704</t>
        </is>
      </c>
      <c r="H626" t="inlineStr">
        <is>
          <t>CAS</t>
        </is>
      </c>
      <c r="I626" t="inlineStr"/>
      <c r="J626" t="inlineStr"/>
      <c r="K626" t="inlineStr"/>
      <c r="L626" t="inlineStr">
        <is>
          <t>7°-4</t>
        </is>
      </c>
      <c r="M626" t="inlineStr"/>
      <c r="N626">
        <f>C626&amp;"|"&amp;D626</f>
        <v/>
      </c>
      <c r="O626">
        <f>COUNTIF($N$2:N626,N626)</f>
        <v/>
      </c>
      <c r="P626">
        <f>N626&amp;"|"&amp;O626</f>
        <v/>
      </c>
      <c r="Q626">
        <f>C626&amp;"|"&amp;D626&amp;"|"&amp;A626</f>
        <v/>
      </c>
    </row>
    <row r="627">
      <c r="A627" t="n">
        <v>19</v>
      </c>
      <c r="B627" t="inlineStr">
        <is>
          <t>Fernández Vélez Alfredo Enrique</t>
        </is>
      </c>
      <c r="C627" t="inlineStr">
        <is>
          <t>JUEVES</t>
        </is>
      </c>
      <c r="D627" t="n">
        <v>1</v>
      </c>
      <c r="E627" t="n">
        <v>1</v>
      </c>
      <c r="F627" t="inlineStr">
        <is>
          <t>CLASE</t>
        </is>
      </c>
      <c r="G627" t="inlineStr">
        <is>
          <t>0801</t>
        </is>
      </c>
      <c r="H627" t="inlineStr">
        <is>
          <t>TEI</t>
        </is>
      </c>
      <c r="I627" t="inlineStr"/>
      <c r="J627" t="inlineStr"/>
      <c r="K627" t="inlineStr"/>
      <c r="L627" t="inlineStr">
        <is>
          <t>8°-1</t>
        </is>
      </c>
      <c r="M627" t="inlineStr"/>
      <c r="N627">
        <f>C627&amp;"|"&amp;D627</f>
        <v/>
      </c>
      <c r="O627">
        <f>COUNTIF($N$2:N627,N627)</f>
        <v/>
      </c>
      <c r="P627">
        <f>N627&amp;"|"&amp;O627</f>
        <v/>
      </c>
      <c r="Q627">
        <f>C627&amp;"|"&amp;D627&amp;"|"&amp;A627</f>
        <v/>
      </c>
    </row>
    <row r="628">
      <c r="A628" t="n">
        <v>35</v>
      </c>
      <c r="B628" t="inlineStr">
        <is>
          <t>Ortiz Araujo Adiela Carlota</t>
        </is>
      </c>
      <c r="C628" t="inlineStr">
        <is>
          <t>JUEVES</t>
        </is>
      </c>
      <c r="D628" t="n">
        <v>1</v>
      </c>
      <c r="E628" t="n">
        <v>1</v>
      </c>
      <c r="F628" t="inlineStr">
        <is>
          <t>CLASE</t>
        </is>
      </c>
      <c r="G628" t="inlineStr">
        <is>
          <t>0802</t>
        </is>
      </c>
      <c r="H628" t="inlineStr">
        <is>
          <t>CSI</t>
        </is>
      </c>
      <c r="I628" t="inlineStr"/>
      <c r="J628" t="inlineStr">
        <is>
          <t>Sociales / Inglés (alternan cada semana)</t>
        </is>
      </c>
      <c r="K628" t="inlineStr"/>
      <c r="L628" t="inlineStr">
        <is>
          <t>8°-2</t>
        </is>
      </c>
      <c r="M628" t="inlineStr">
        <is>
          <t>Sociales / Inglés (alternan cada semana)</t>
        </is>
      </c>
      <c r="N628">
        <f>C628&amp;"|"&amp;D628</f>
        <v/>
      </c>
      <c r="O628">
        <f>COUNTIF($N$2:N628,N628)</f>
        <v/>
      </c>
      <c r="P628">
        <f>N628&amp;"|"&amp;O628</f>
        <v/>
      </c>
      <c r="Q628">
        <f>C628&amp;"|"&amp;D628&amp;"|"&amp;A628</f>
        <v/>
      </c>
    </row>
    <row r="629">
      <c r="A629" t="n">
        <v>22</v>
      </c>
      <c r="B629" t="inlineStr">
        <is>
          <t>González Castillo Jólmer Jimy</t>
        </is>
      </c>
      <c r="C629" t="inlineStr">
        <is>
          <t>JUEVES</t>
        </is>
      </c>
      <c r="D629" t="n">
        <v>1</v>
      </c>
      <c r="E629" t="n">
        <v>1</v>
      </c>
      <c r="F629" t="inlineStr">
        <is>
          <t>CLASE</t>
        </is>
      </c>
      <c r="G629" t="inlineStr">
        <is>
          <t>0901</t>
        </is>
      </c>
      <c r="H629" t="inlineStr">
        <is>
          <t>ERD</t>
        </is>
      </c>
      <c r="I629" t="inlineStr"/>
      <c r="J629" t="inlineStr"/>
      <c r="K629" t="inlineStr"/>
      <c r="L629" t="inlineStr">
        <is>
          <t>9°-1</t>
        </is>
      </c>
      <c r="M629" t="inlineStr"/>
      <c r="N629">
        <f>C629&amp;"|"&amp;D629</f>
        <v/>
      </c>
      <c r="O629">
        <f>COUNTIF($N$2:N629,N629)</f>
        <v/>
      </c>
      <c r="P629">
        <f>N629&amp;"|"&amp;O629</f>
        <v/>
      </c>
      <c r="Q629">
        <f>C629&amp;"|"&amp;D629&amp;"|"&amp;A629</f>
        <v/>
      </c>
    </row>
    <row r="630">
      <c r="A630" t="n">
        <v>28</v>
      </c>
      <c r="B630" t="inlineStr">
        <is>
          <t>Meza Banguera Gladys Alicia</t>
        </is>
      </c>
      <c r="C630" t="inlineStr">
        <is>
          <t>JUEVES</t>
        </is>
      </c>
      <c r="D630" t="n">
        <v>1</v>
      </c>
      <c r="E630" t="n">
        <v>1</v>
      </c>
      <c r="F630" t="inlineStr">
        <is>
          <t>CLASE</t>
        </is>
      </c>
      <c r="G630" t="inlineStr">
        <is>
          <t>1001</t>
        </is>
      </c>
      <c r="H630" t="inlineStr">
        <is>
          <t>CAS</t>
        </is>
      </c>
      <c r="I630" t="inlineStr"/>
      <c r="J630" t="inlineStr"/>
      <c r="K630" t="inlineStr"/>
      <c r="L630" t="inlineStr">
        <is>
          <t>10°-1</t>
        </is>
      </c>
      <c r="M630" t="inlineStr"/>
      <c r="N630">
        <f>C630&amp;"|"&amp;D630</f>
        <v/>
      </c>
      <c r="O630">
        <f>COUNTIF($N$2:N630,N630)</f>
        <v/>
      </c>
      <c r="P630">
        <f>N630&amp;"|"&amp;O630</f>
        <v/>
      </c>
      <c r="Q630">
        <f>C630&amp;"|"&amp;D630&amp;"|"&amp;A630</f>
        <v/>
      </c>
    </row>
    <row r="631">
      <c r="A631" t="n">
        <v>43</v>
      </c>
      <c r="B631" t="inlineStr">
        <is>
          <t>Ramírez Guerra Jimmy Eduardo</t>
        </is>
      </c>
      <c r="C631" t="inlineStr">
        <is>
          <t>JUEVES</t>
        </is>
      </c>
      <c r="D631" t="n">
        <v>1</v>
      </c>
      <c r="E631" t="n">
        <v>1</v>
      </c>
      <c r="F631" t="inlineStr">
        <is>
          <t>CLASE</t>
        </is>
      </c>
      <c r="G631" t="inlineStr">
        <is>
          <t>1002</t>
        </is>
      </c>
      <c r="H631" t="inlineStr">
        <is>
          <t>ERD</t>
        </is>
      </c>
      <c r="I631" t="inlineStr"/>
      <c r="J631" t="inlineStr"/>
      <c r="K631" t="inlineStr"/>
      <c r="L631" t="inlineStr">
        <is>
          <t>10°-2</t>
        </is>
      </c>
      <c r="M631" t="inlineStr"/>
      <c r="N631">
        <f>C631&amp;"|"&amp;D631</f>
        <v/>
      </c>
      <c r="O631">
        <f>COUNTIF($N$2:N631,N631)</f>
        <v/>
      </c>
      <c r="P631">
        <f>N631&amp;"|"&amp;O631</f>
        <v/>
      </c>
      <c r="Q631">
        <f>C631&amp;"|"&amp;D631&amp;"|"&amp;A631</f>
        <v/>
      </c>
    </row>
    <row r="632">
      <c r="A632" t="n">
        <v>2</v>
      </c>
      <c r="B632" t="inlineStr">
        <is>
          <t>Angulo Lucero Andrés Mauricio</t>
        </is>
      </c>
      <c r="C632" t="inlineStr">
        <is>
          <t>JUEVES</t>
        </is>
      </c>
      <c r="D632" t="n">
        <v>1</v>
      </c>
      <c r="E632" t="n">
        <v>1</v>
      </c>
      <c r="F632" t="inlineStr">
        <is>
          <t>CLASE</t>
        </is>
      </c>
      <c r="G632" t="inlineStr">
        <is>
          <t>1101</t>
        </is>
      </c>
      <c r="H632" t="inlineStr">
        <is>
          <t>TEI</t>
        </is>
      </c>
      <c r="I632" t="inlineStr"/>
      <c r="J632" t="inlineStr"/>
      <c r="K632" t="inlineStr"/>
      <c r="L632" t="inlineStr">
        <is>
          <t>11°-1</t>
        </is>
      </c>
      <c r="M632" t="inlineStr"/>
      <c r="N632">
        <f>C632&amp;"|"&amp;D632</f>
        <v/>
      </c>
      <c r="O632">
        <f>COUNTIF($N$2:N632,N632)</f>
        <v/>
      </c>
      <c r="P632">
        <f>N632&amp;"|"&amp;O632</f>
        <v/>
      </c>
      <c r="Q632">
        <f>C632&amp;"|"&amp;D632&amp;"|"&amp;A632</f>
        <v/>
      </c>
    </row>
    <row r="633">
      <c r="A633" t="n">
        <v>53</v>
      </c>
      <c r="B633" t="inlineStr">
        <is>
          <t>Villota Rubio Héctor Hugo</t>
        </is>
      </c>
      <c r="C633" t="inlineStr">
        <is>
          <t>JUEVES</t>
        </is>
      </c>
      <c r="D633" t="n">
        <v>1</v>
      </c>
      <c r="E633" t="n">
        <v>1</v>
      </c>
      <c r="F633" t="inlineStr">
        <is>
          <t>CLASE</t>
        </is>
      </c>
      <c r="G633" t="inlineStr">
        <is>
          <t>1102</t>
        </is>
      </c>
      <c r="H633" t="inlineStr">
        <is>
          <t>CNA</t>
        </is>
      </c>
      <c r="I633" t="inlineStr"/>
      <c r="J633" t="inlineStr"/>
      <c r="K633" t="inlineStr"/>
      <c r="L633" t="inlineStr">
        <is>
          <t>11°-2</t>
        </is>
      </c>
      <c r="M633" t="inlineStr"/>
      <c r="N633">
        <f>C633&amp;"|"&amp;D633</f>
        <v/>
      </c>
      <c r="O633">
        <f>COUNTIF($N$2:N633,N633)</f>
        <v/>
      </c>
      <c r="P633">
        <f>N633&amp;"|"&amp;O633</f>
        <v/>
      </c>
      <c r="Q633">
        <f>C633&amp;"|"&amp;D633&amp;"|"&amp;A633</f>
        <v/>
      </c>
    </row>
    <row r="634">
      <c r="A634" t="n">
        <v>38</v>
      </c>
      <c r="B634" t="inlineStr">
        <is>
          <t>Preciado Torres Oleisa</t>
        </is>
      </c>
      <c r="C634" t="inlineStr">
        <is>
          <t>JUEVES</t>
        </is>
      </c>
      <c r="D634" t="n">
        <v>1</v>
      </c>
      <c r="E634" t="n">
        <v>1</v>
      </c>
      <c r="F634" t="inlineStr">
        <is>
          <t>CLASE</t>
        </is>
      </c>
      <c r="G634" t="inlineStr">
        <is>
          <t>CS201</t>
        </is>
      </c>
      <c r="H634" t="inlineStr">
        <is>
          <t>MAT</t>
        </is>
      </c>
      <c r="I634" t="inlineStr"/>
      <c r="J634" t="inlineStr"/>
      <c r="K634" t="inlineStr"/>
      <c r="L634" t="inlineStr">
        <is>
          <t>CS 2-1</t>
        </is>
      </c>
      <c r="M634" t="inlineStr"/>
      <c r="N634">
        <f>C634&amp;"|"&amp;D634</f>
        <v/>
      </c>
      <c r="O634">
        <f>COUNTIF($N$2:N634,N634)</f>
        <v/>
      </c>
      <c r="P634">
        <f>N634&amp;"|"&amp;O634</f>
        <v/>
      </c>
      <c r="Q634">
        <f>C634&amp;"|"&amp;D634&amp;"|"&amp;A634</f>
        <v/>
      </c>
    </row>
    <row r="635">
      <c r="A635" t="n">
        <v>9</v>
      </c>
      <c r="B635" t="inlineStr">
        <is>
          <t>Castillo Angulo Martha Cecilia</t>
        </is>
      </c>
      <c r="C635" t="inlineStr">
        <is>
          <t>JUEVES</t>
        </is>
      </c>
      <c r="D635" t="n">
        <v>1</v>
      </c>
      <c r="E635" t="n">
        <v>1</v>
      </c>
      <c r="F635" t="inlineStr">
        <is>
          <t>CLASE</t>
        </is>
      </c>
      <c r="G635" t="inlineStr">
        <is>
          <t>CS202</t>
        </is>
      </c>
      <c r="H635" t="inlineStr">
        <is>
          <t>ETR</t>
        </is>
      </c>
      <c r="I635" t="inlineStr"/>
      <c r="J635" t="inlineStr">
        <is>
          <t>Ética / Religión (alternan cada semana)</t>
        </is>
      </c>
      <c r="K635" t="inlineStr"/>
      <c r="L635" t="inlineStr">
        <is>
          <t>CS 2-2</t>
        </is>
      </c>
      <c r="M635" t="inlineStr">
        <is>
          <t>Ética / Religión (alternan cada semana)</t>
        </is>
      </c>
      <c r="N635">
        <f>C635&amp;"|"&amp;D635</f>
        <v/>
      </c>
      <c r="O635">
        <f>COUNTIF($N$2:N635,N635)</f>
        <v/>
      </c>
      <c r="P635">
        <f>N635&amp;"|"&amp;O635</f>
        <v/>
      </c>
      <c r="Q635">
        <f>C635&amp;"|"&amp;D635&amp;"|"&amp;A635</f>
        <v/>
      </c>
    </row>
    <row r="636">
      <c r="A636" t="n">
        <v>44</v>
      </c>
      <c r="B636" t="inlineStr">
        <is>
          <t>Samaniego Angulo Flor Mireya</t>
        </is>
      </c>
      <c r="C636" t="inlineStr">
        <is>
          <t>JUEVES</t>
        </is>
      </c>
      <c r="D636" t="n">
        <v>1</v>
      </c>
      <c r="E636" t="n">
        <v>1</v>
      </c>
      <c r="F636" t="inlineStr">
        <is>
          <t>ENFASIS</t>
        </is>
      </c>
      <c r="G636" t="inlineStr"/>
      <c r="H636" t="inlineStr">
        <is>
          <t>ART</t>
        </is>
      </c>
      <c r="I636" t="inlineStr">
        <is>
          <t>0701</t>
        </is>
      </c>
      <c r="J636" t="inlineStr">
        <is>
          <t>PAREJA: comparten el énfasis y alternan por semana</t>
        </is>
      </c>
      <c r="K636" t="inlineStr">
        <is>
          <t>Valverde Montaño María Teresa (CAS)</t>
        </is>
      </c>
      <c r="L636" t="inlineStr">
        <is>
          <t>ÉNFASIS 7°-1</t>
        </is>
      </c>
      <c r="M636" t="inlineStr">
        <is>
          <t>PAREJA: comparten el énfasis y alternan por semana · Con: Valverde Montaño María Teresa (CAS)</t>
        </is>
      </c>
      <c r="N636">
        <f>C636&amp;"|"&amp;D636</f>
        <v/>
      </c>
      <c r="O636">
        <f>COUNTIF($N$2:N636,N636)</f>
        <v/>
      </c>
      <c r="P636">
        <f>N636&amp;"|"&amp;O636</f>
        <v/>
      </c>
      <c r="Q636">
        <f>C636&amp;"|"&amp;D636&amp;"|"&amp;A636</f>
        <v/>
      </c>
    </row>
    <row r="637">
      <c r="A637" t="n">
        <v>51</v>
      </c>
      <c r="B637" t="inlineStr">
        <is>
          <t>Valverde Montaño María Teresa</t>
        </is>
      </c>
      <c r="C637" t="inlineStr">
        <is>
          <t>JUEVES</t>
        </is>
      </c>
      <c r="D637" t="n">
        <v>1</v>
      </c>
      <c r="E637" t="n">
        <v>1</v>
      </c>
      <c r="F637" t="inlineStr">
        <is>
          <t>ENFASIS</t>
        </is>
      </c>
      <c r="G637" t="inlineStr"/>
      <c r="H637" t="inlineStr">
        <is>
          <t>CAS</t>
        </is>
      </c>
      <c r="I637" t="inlineStr">
        <is>
          <t>0701</t>
        </is>
      </c>
      <c r="J637" t="inlineStr">
        <is>
          <t>PAREJA: comparten el énfasis y alternan por semana</t>
        </is>
      </c>
      <c r="K637" t="inlineStr">
        <is>
          <t>Samaniego Angulo Flor Mireya (ART)</t>
        </is>
      </c>
      <c r="L637" t="inlineStr">
        <is>
          <t>ÉNFASIS 7°-1</t>
        </is>
      </c>
      <c r="M637" t="inlineStr">
        <is>
          <t>PAREJA: comparten el énfasis y alternan por semana · Con: Samaniego Angulo Flor Mireya (ART)</t>
        </is>
      </c>
      <c r="N637">
        <f>C637&amp;"|"&amp;D637</f>
        <v/>
      </c>
      <c r="O637">
        <f>COUNTIF($N$2:N637,N637)</f>
        <v/>
      </c>
      <c r="P637">
        <f>N637&amp;"|"&amp;O637</f>
        <v/>
      </c>
      <c r="Q637">
        <f>C637&amp;"|"&amp;D637&amp;"|"&amp;A637</f>
        <v/>
      </c>
    </row>
    <row r="638">
      <c r="A638" t="n">
        <v>34</v>
      </c>
      <c r="B638" t="inlineStr">
        <is>
          <t>Ordóñez Tenorio Jaime Marcial</t>
        </is>
      </c>
      <c r="C638" t="inlineStr">
        <is>
          <t>JUEVES</t>
        </is>
      </c>
      <c r="D638" t="n">
        <v>1</v>
      </c>
      <c r="E638" t="n">
        <v>1</v>
      </c>
      <c r="F638" t="inlineStr">
        <is>
          <t>ENFASIS</t>
        </is>
      </c>
      <c r="G638" t="inlineStr"/>
      <c r="H638" t="inlineStr">
        <is>
          <t>CNA</t>
        </is>
      </c>
      <c r="I638" t="inlineStr">
        <is>
          <t>0702</t>
        </is>
      </c>
      <c r="J638" t="inlineStr">
        <is>
          <t>PAREJA: comparten el énfasis y alternan por semana</t>
        </is>
      </c>
      <c r="K638" t="inlineStr">
        <is>
          <t>Armero Dájome Jesús (ERD)</t>
        </is>
      </c>
      <c r="L638" t="inlineStr">
        <is>
          <t>ÉNFASIS 7°-2</t>
        </is>
      </c>
      <c r="M638" t="inlineStr">
        <is>
          <t>PAREJA: comparten el énfasis y alternan por semana · Con: Armero Dájome Jesús (ERD)</t>
        </is>
      </c>
      <c r="N638">
        <f>C638&amp;"|"&amp;D638</f>
        <v/>
      </c>
      <c r="O638">
        <f>COUNTIF($N$2:N638,N638)</f>
        <v/>
      </c>
      <c r="P638">
        <f>N638&amp;"|"&amp;O638</f>
        <v/>
      </c>
      <c r="Q638">
        <f>C638&amp;"|"&amp;D638&amp;"|"&amp;A638</f>
        <v/>
      </c>
    </row>
    <row r="639">
      <c r="A639" t="n">
        <v>4</v>
      </c>
      <c r="B639" t="inlineStr">
        <is>
          <t>Arizala Castro Roberto Carlos</t>
        </is>
      </c>
      <c r="C639" t="inlineStr">
        <is>
          <t>JUEVES</t>
        </is>
      </c>
      <c r="D639" t="n">
        <v>1</v>
      </c>
      <c r="E639" t="n">
        <v>1</v>
      </c>
      <c r="F639" t="inlineStr">
        <is>
          <t>ENFASIS</t>
        </is>
      </c>
      <c r="G639" t="inlineStr"/>
      <c r="H639" t="inlineStr">
        <is>
          <t>ERD</t>
        </is>
      </c>
      <c r="I639" t="inlineStr">
        <is>
          <t>0702</t>
        </is>
      </c>
      <c r="J639" t="inlineStr">
        <is>
          <t>PAREJA: comparten el énfasis y alternan por semana</t>
        </is>
      </c>
      <c r="K639" t="inlineStr">
        <is>
          <t>Ordóñez Tenorio Jaime Marcial (CNA)</t>
        </is>
      </c>
      <c r="L639" t="inlineStr">
        <is>
          <t>ÉNFASIS 7°-2</t>
        </is>
      </c>
      <c r="M639" t="inlineStr">
        <is>
          <t>PAREJA: comparten el énfasis y alternan por semana · Con: Ordóñez Tenorio Jaime Marcial (CNA)</t>
        </is>
      </c>
      <c r="N639">
        <f>C639&amp;"|"&amp;D639</f>
        <v/>
      </c>
      <c r="O639">
        <f>COUNTIF($N$2:N639,N639)</f>
        <v/>
      </c>
      <c r="P639">
        <f>N639&amp;"|"&amp;O639</f>
        <v/>
      </c>
      <c r="Q639">
        <f>C639&amp;"|"&amp;D639&amp;"|"&amp;A639</f>
        <v/>
      </c>
    </row>
    <row r="640">
      <c r="A640" t="n">
        <v>8</v>
      </c>
      <c r="B640" t="inlineStr">
        <is>
          <t>Casanova Quiñones Yoli del Carmen</t>
        </is>
      </c>
      <c r="C640" t="inlineStr">
        <is>
          <t>JUEVES</t>
        </is>
      </c>
      <c r="D640" t="n">
        <v>1</v>
      </c>
      <c r="E640" t="n">
        <v>1</v>
      </c>
      <c r="F640" t="inlineStr">
        <is>
          <t>ENFASIS</t>
        </is>
      </c>
      <c r="G640" t="inlineStr"/>
      <c r="H640" t="inlineStr">
        <is>
          <t>ETR</t>
        </is>
      </c>
      <c r="I640" t="inlineStr">
        <is>
          <t>0703</t>
        </is>
      </c>
      <c r="J640" t="inlineStr">
        <is>
          <t>PAREJA: comparten el énfasis y alternan por semana</t>
        </is>
      </c>
      <c r="K640" t="inlineStr">
        <is>
          <t>Quintero Ramírez María del Carmen (CSI)</t>
        </is>
      </c>
      <c r="L640" t="inlineStr">
        <is>
          <t>ÉNFASIS 7°-3</t>
        </is>
      </c>
      <c r="M640" t="inlineStr">
        <is>
          <t>PAREJA: comparten el énfasis y alternan por semana · Con: Quintero Ramírez María del Carmen (CSI)</t>
        </is>
      </c>
      <c r="N640">
        <f>C640&amp;"|"&amp;D640</f>
        <v/>
      </c>
      <c r="O640">
        <f>COUNTIF($N$2:N640,N640)</f>
        <v/>
      </c>
      <c r="P640">
        <f>N640&amp;"|"&amp;O640</f>
        <v/>
      </c>
      <c r="Q640">
        <f>C640&amp;"|"&amp;D640&amp;"|"&amp;A640</f>
        <v/>
      </c>
    </row>
    <row r="641">
      <c r="A641" t="n">
        <v>41</v>
      </c>
      <c r="B641" t="inlineStr">
        <is>
          <t>Quintero Ramírez María del Carmen</t>
        </is>
      </c>
      <c r="C641" t="inlineStr">
        <is>
          <t>JUEVES</t>
        </is>
      </c>
      <c r="D641" t="n">
        <v>1</v>
      </c>
      <c r="E641" t="n">
        <v>1</v>
      </c>
      <c r="F641" t="inlineStr">
        <is>
          <t>ENFASIS</t>
        </is>
      </c>
      <c r="G641" t="inlineStr"/>
      <c r="H641" t="inlineStr">
        <is>
          <t>CSI</t>
        </is>
      </c>
      <c r="I641" t="inlineStr">
        <is>
          <t>0703</t>
        </is>
      </c>
      <c r="J641" t="inlineStr">
        <is>
          <t>PAREJA: comparten el énfasis y alternan por semana</t>
        </is>
      </c>
      <c r="K641" t="inlineStr">
        <is>
          <t>Casanova Quiñones Yoli del Carmen (ETR)</t>
        </is>
      </c>
      <c r="L641" t="inlineStr">
        <is>
          <t>ÉNFASIS 7°-3</t>
        </is>
      </c>
      <c r="M641" t="inlineStr">
        <is>
          <t>PAREJA: comparten el énfasis y alternan por semana · Con: Casanova Quiñones Yoli del Carmen (ETR)</t>
        </is>
      </c>
      <c r="N641">
        <f>C641&amp;"|"&amp;D641</f>
        <v/>
      </c>
      <c r="O641">
        <f>COUNTIF($N$2:N641,N641)</f>
        <v/>
      </c>
      <c r="P641">
        <f>N641&amp;"|"&amp;O641</f>
        <v/>
      </c>
      <c r="Q641">
        <f>C641&amp;"|"&amp;D641&amp;"|"&amp;A641</f>
        <v/>
      </c>
    </row>
    <row r="642">
      <c r="A642" t="n">
        <v>5</v>
      </c>
      <c r="B642" t="inlineStr">
        <is>
          <t>Bastidas Valencia Zeneida Judith</t>
        </is>
      </c>
      <c r="C642" t="inlineStr">
        <is>
          <t>JUEVES</t>
        </is>
      </c>
      <c r="D642" t="n">
        <v>1</v>
      </c>
      <c r="E642" t="n">
        <v>1</v>
      </c>
      <c r="F642" t="inlineStr">
        <is>
          <t>ENFASIS</t>
        </is>
      </c>
      <c r="G642" t="inlineStr"/>
      <c r="H642" t="inlineStr">
        <is>
          <t>MAT</t>
        </is>
      </c>
      <c r="I642" t="inlineStr">
        <is>
          <t>0902</t>
        </is>
      </c>
      <c r="J642" t="inlineStr">
        <is>
          <t>EQUIPO DE 4: cada docente atiende un grupo de estudiantes en su área</t>
        </is>
      </c>
      <c r="K642" t="inlineStr">
        <is>
          <t>Betancourth Ocampo Yohana Patricia (CSI); Estacio Estupiñán Rosario (ETR); Mindineros Satizábal John Jáver (TEI)</t>
        </is>
      </c>
      <c r="L642" t="inlineStr">
        <is>
          <t>ÉNFASIS 9°-2</t>
        </is>
      </c>
      <c r="M642" t="inlineStr">
        <is>
          <t>EQUIPO DE 4: cada docente atiende un grupo de estudiantes en su área · Con: Betancourth Ocampo Yohana Patricia (CSI); Estacio Estupiñán Rosario (ETR); Mindineros Satizábal John Jáver (TEI)</t>
        </is>
      </c>
      <c r="N642">
        <f>C642&amp;"|"&amp;D642</f>
        <v/>
      </c>
      <c r="O642">
        <f>COUNTIF($N$2:N642,N642)</f>
        <v/>
      </c>
      <c r="P642">
        <f>N642&amp;"|"&amp;O642</f>
        <v/>
      </c>
      <c r="Q642">
        <f>C642&amp;"|"&amp;D642&amp;"|"&amp;A642</f>
        <v/>
      </c>
    </row>
    <row r="643">
      <c r="A643" t="n">
        <v>6</v>
      </c>
      <c r="B643" t="inlineStr">
        <is>
          <t>Betancourth Ocampo Yohana Patricia</t>
        </is>
      </c>
      <c r="C643" t="inlineStr">
        <is>
          <t>JUEVES</t>
        </is>
      </c>
      <c r="D643" t="n">
        <v>1</v>
      </c>
      <c r="E643" t="n">
        <v>1</v>
      </c>
      <c r="F643" t="inlineStr">
        <is>
          <t>ENFASIS</t>
        </is>
      </c>
      <c r="G643" t="inlineStr"/>
      <c r="H643" t="inlineStr">
        <is>
          <t>CSI</t>
        </is>
      </c>
      <c r="I643" t="inlineStr">
        <is>
          <t>0902</t>
        </is>
      </c>
      <c r="J643" t="inlineStr">
        <is>
          <t>EQUIPO DE 4: cada docente atiende un grupo de estudiantes en su área</t>
        </is>
      </c>
      <c r="K643" t="inlineStr">
        <is>
          <t>Estacio Estupiñán Rosario (ETR); Bastidas Valencia Zeneida Judith (MAT); Mindineros Satizábal John Jáver (TEI)</t>
        </is>
      </c>
      <c r="L643" t="inlineStr">
        <is>
          <t>ÉNFASIS 9°-2</t>
        </is>
      </c>
      <c r="M643" t="inlineStr">
        <is>
          <t>EQUIPO DE 4: cada docente atiende un grupo de estudiantes en su área · Con: Estacio Estupiñán Rosario (ETR); Bastidas Valencia Zeneida Judith (MAT); Mindineros Satizábal John Jáver (TEI)</t>
        </is>
      </c>
      <c r="N643">
        <f>C643&amp;"|"&amp;D643</f>
        <v/>
      </c>
      <c r="O643">
        <f>COUNTIF($N$2:N643,N643)</f>
        <v/>
      </c>
      <c r="P643">
        <f>N643&amp;"|"&amp;O643</f>
        <v/>
      </c>
      <c r="Q643">
        <f>C643&amp;"|"&amp;D643&amp;"|"&amp;A643</f>
        <v/>
      </c>
    </row>
    <row r="644">
      <c r="A644" t="n">
        <v>18</v>
      </c>
      <c r="B644" t="inlineStr">
        <is>
          <t>Estacio Estupiñán Rosario</t>
        </is>
      </c>
      <c r="C644" t="inlineStr">
        <is>
          <t>JUEVES</t>
        </is>
      </c>
      <c r="D644" t="n">
        <v>1</v>
      </c>
      <c r="E644" t="n">
        <v>1</v>
      </c>
      <c r="F644" t="inlineStr">
        <is>
          <t>ENFASIS</t>
        </is>
      </c>
      <c r="G644" t="inlineStr"/>
      <c r="H644" t="inlineStr">
        <is>
          <t>ETR</t>
        </is>
      </c>
      <c r="I644" t="inlineStr">
        <is>
          <t>0902</t>
        </is>
      </c>
      <c r="J644" t="inlineStr">
        <is>
          <t>EQUIPO DE 4: cada docente atiende un grupo de estudiantes en su área</t>
        </is>
      </c>
      <c r="K644" t="inlineStr">
        <is>
          <t>Betancourth Ocampo Yohana Patricia (CSI); Bastidas Valencia Zeneida Judith (MAT); Mindineros Satizábal John Jáver (TEI)</t>
        </is>
      </c>
      <c r="L644" t="inlineStr">
        <is>
          <t>ÉNFASIS 9°-2</t>
        </is>
      </c>
      <c r="M644" t="inlineStr">
        <is>
          <t>EQUIPO DE 4: cada docente atiende un grupo de estudiantes en su área · Con: Betancourth Ocampo Yohana Patricia (CSI); Bastidas Valencia Zeneida Judith (MAT); Mindineros Satizábal John Jáver (TEI)</t>
        </is>
      </c>
      <c r="N644">
        <f>C644&amp;"|"&amp;D644</f>
        <v/>
      </c>
      <c r="O644">
        <f>COUNTIF($N$2:N644,N644)</f>
        <v/>
      </c>
      <c r="P644">
        <f>N644&amp;"|"&amp;O644</f>
        <v/>
      </c>
      <c r="Q644">
        <f>C644&amp;"|"&amp;D644&amp;"|"&amp;A644</f>
        <v/>
      </c>
    </row>
    <row r="645">
      <c r="A645" t="n">
        <v>29</v>
      </c>
      <c r="B645" t="inlineStr">
        <is>
          <t>Mindineros Satizábal John Jáver</t>
        </is>
      </c>
      <c r="C645" t="inlineStr">
        <is>
          <t>JUEVES</t>
        </is>
      </c>
      <c r="D645" t="n">
        <v>1</v>
      </c>
      <c r="E645" t="n">
        <v>1</v>
      </c>
      <c r="F645" t="inlineStr">
        <is>
          <t>ENFASIS</t>
        </is>
      </c>
      <c r="G645" t="inlineStr"/>
      <c r="H645" t="inlineStr">
        <is>
          <t>TEI</t>
        </is>
      </c>
      <c r="I645" t="inlineStr">
        <is>
          <t>0902</t>
        </is>
      </c>
      <c r="J645" t="inlineStr">
        <is>
          <t>EQUIPO DE 4: cada docente atiende un grupo de estudiantes en su área</t>
        </is>
      </c>
      <c r="K645" t="inlineStr">
        <is>
          <t>Betancourth Ocampo Yohana Patricia (CSI); Estacio Estupiñán Rosario (ETR); Bastidas Valencia Zeneida Judith (MAT)</t>
        </is>
      </c>
      <c r="L645" t="inlineStr">
        <is>
          <t>ÉNFASIS 9°-2</t>
        </is>
      </c>
      <c r="M645" t="inlineStr">
        <is>
          <t>EQUIPO DE 4: cada docente atiende un grupo de estudiantes en su área · Con: Betancourth Ocampo Yohana Patricia (CSI); Estacio Estupiñán Rosario (ETR); Bastidas Valencia Zeneida Judith (MAT)</t>
        </is>
      </c>
      <c r="N645">
        <f>C645&amp;"|"&amp;D645</f>
        <v/>
      </c>
      <c r="O645">
        <f>COUNTIF($N$2:N645,N645)</f>
        <v/>
      </c>
      <c r="P645">
        <f>N645&amp;"|"&amp;O645</f>
        <v/>
      </c>
      <c r="Q645">
        <f>C645&amp;"|"&amp;D645&amp;"|"&amp;A645</f>
        <v/>
      </c>
    </row>
    <row r="646">
      <c r="A646" t="n">
        <v>20</v>
      </c>
      <c r="B646" t="inlineStr">
        <is>
          <t>García Gobea Saydi Magali</t>
        </is>
      </c>
      <c r="C646" t="inlineStr">
        <is>
          <t>JUEVES</t>
        </is>
      </c>
      <c r="D646" t="n">
        <v>1</v>
      </c>
      <c r="E646" t="n">
        <v>1</v>
      </c>
      <c r="F646" t="inlineStr">
        <is>
          <t>ENFASIS</t>
        </is>
      </c>
      <c r="G646" t="inlineStr"/>
      <c r="H646" t="inlineStr">
        <is>
          <t>CSI</t>
        </is>
      </c>
      <c r="I646" t="inlineStr">
        <is>
          <t>CS101</t>
        </is>
      </c>
      <c r="J646" t="inlineStr">
        <is>
          <t>PAREJA: comparten el énfasis y alternan por semana</t>
        </is>
      </c>
      <c r="K646" t="inlineStr">
        <is>
          <t>Lozano Torres Amanda Inés (ETR)</t>
        </is>
      </c>
      <c r="L646" t="inlineStr">
        <is>
          <t>ÉNFASIS CS 1-1</t>
        </is>
      </c>
      <c r="M646" t="inlineStr">
        <is>
          <t>PAREJA: comparten el énfasis y alternan por semana · Con: Lozano Torres Amanda Inés (ETR)</t>
        </is>
      </c>
      <c r="N646">
        <f>C646&amp;"|"&amp;D646</f>
        <v/>
      </c>
      <c r="O646">
        <f>COUNTIF($N$2:N646,N646)</f>
        <v/>
      </c>
      <c r="P646">
        <f>N646&amp;"|"&amp;O646</f>
        <v/>
      </c>
      <c r="Q646">
        <f>C646&amp;"|"&amp;D646&amp;"|"&amp;A646</f>
        <v/>
      </c>
    </row>
    <row r="647">
      <c r="A647" t="n">
        <v>26</v>
      </c>
      <c r="B647" t="inlineStr">
        <is>
          <t>Lozano Torres Amanda Inés</t>
        </is>
      </c>
      <c r="C647" t="inlineStr">
        <is>
          <t>JUEVES</t>
        </is>
      </c>
      <c r="D647" t="n">
        <v>1</v>
      </c>
      <c r="E647" t="n">
        <v>1</v>
      </c>
      <c r="F647" t="inlineStr">
        <is>
          <t>ENFASIS</t>
        </is>
      </c>
      <c r="G647" t="inlineStr"/>
      <c r="H647" t="inlineStr">
        <is>
          <t>ETR</t>
        </is>
      </c>
      <c r="I647" t="inlineStr">
        <is>
          <t>CS101</t>
        </is>
      </c>
      <c r="J647" t="inlineStr">
        <is>
          <t>PAREJA: comparten el énfasis y alternan por semana</t>
        </is>
      </c>
      <c r="K647" t="inlineStr">
        <is>
          <t>García Gobea Saydi Magali (CSI)</t>
        </is>
      </c>
      <c r="L647" t="inlineStr">
        <is>
          <t>ÉNFASIS CS 1-1</t>
        </is>
      </c>
      <c r="M647" t="inlineStr">
        <is>
          <t>PAREJA: comparten el énfasis y alternan por semana · Con: García Gobea Saydi Magali (CSI)</t>
        </is>
      </c>
      <c r="N647">
        <f>C647&amp;"|"&amp;D647</f>
        <v/>
      </c>
      <c r="O647">
        <f>COUNTIF($N$2:N647,N647)</f>
        <v/>
      </c>
      <c r="P647">
        <f>N647&amp;"|"&amp;O647</f>
        <v/>
      </c>
      <c r="Q647">
        <f>C647&amp;"|"&amp;D647&amp;"|"&amp;A647</f>
        <v/>
      </c>
    </row>
    <row r="648">
      <c r="A648" t="n">
        <v>1</v>
      </c>
      <c r="B648" t="inlineStr">
        <is>
          <t>Aguirre Riascos Jorge Andrés</t>
        </is>
      </c>
      <c r="C648" t="inlineStr">
        <is>
          <t>JUEVES</t>
        </is>
      </c>
      <c r="D648" t="n">
        <v>1</v>
      </c>
      <c r="E648" t="n">
        <v>1</v>
      </c>
      <c r="F648" t="inlineStr">
        <is>
          <t>ENFASIS</t>
        </is>
      </c>
      <c r="G648" t="inlineStr"/>
      <c r="H648" t="inlineStr">
        <is>
          <t>TEI</t>
        </is>
      </c>
      <c r="I648" t="inlineStr">
        <is>
          <t>CS102</t>
        </is>
      </c>
      <c r="J648" t="inlineStr">
        <is>
          <t>PAREJA: comparten el énfasis y alternan por semana</t>
        </is>
      </c>
      <c r="K648" t="inlineStr">
        <is>
          <t>Vásquez Valencia Segundo Leoncio (MAT)</t>
        </is>
      </c>
      <c r="L648" t="inlineStr">
        <is>
          <t>ÉNFASIS CS 1-2</t>
        </is>
      </c>
      <c r="M648" t="inlineStr">
        <is>
          <t>PAREJA: comparten el énfasis y alternan por semana · Con: Vásquez Valencia Segundo Leoncio (MAT)</t>
        </is>
      </c>
      <c r="N648">
        <f>C648&amp;"|"&amp;D648</f>
        <v/>
      </c>
      <c r="O648">
        <f>COUNTIF($N$2:N648,N648)</f>
        <v/>
      </c>
      <c r="P648">
        <f>N648&amp;"|"&amp;O648</f>
        <v/>
      </c>
      <c r="Q648">
        <f>C648&amp;"|"&amp;D648&amp;"|"&amp;A648</f>
        <v/>
      </c>
    </row>
    <row r="649">
      <c r="A649" t="n">
        <v>52</v>
      </c>
      <c r="B649" t="inlineStr">
        <is>
          <t>Vásquez Valencia Segundo Leoncio</t>
        </is>
      </c>
      <c r="C649" t="inlineStr">
        <is>
          <t>JUEVES</t>
        </is>
      </c>
      <c r="D649" t="n">
        <v>1</v>
      </c>
      <c r="E649" t="n">
        <v>1</v>
      </c>
      <c r="F649" t="inlineStr">
        <is>
          <t>ENFASIS</t>
        </is>
      </c>
      <c r="G649" t="inlineStr"/>
      <c r="H649" t="inlineStr">
        <is>
          <t>MAT</t>
        </is>
      </c>
      <c r="I649" t="inlineStr">
        <is>
          <t>CS102</t>
        </is>
      </c>
      <c r="J649" t="inlineStr">
        <is>
          <t>PAREJA: comparten el énfasis y alternan por semana</t>
        </is>
      </c>
      <c r="K649" t="inlineStr">
        <is>
          <t>Aguirre Riascos Jorge Andrés (TEI)</t>
        </is>
      </c>
      <c r="L649" t="inlineStr">
        <is>
          <t>ÉNFASIS CS 1-2</t>
        </is>
      </c>
      <c r="M649" t="inlineStr">
        <is>
          <t>PAREJA: comparten el énfasis y alternan por semana · Con: Aguirre Riascos Jorge Andrés (TEI)</t>
        </is>
      </c>
      <c r="N649">
        <f>C649&amp;"|"&amp;D649</f>
        <v/>
      </c>
      <c r="O649">
        <f>COUNTIF($N$2:N649,N649)</f>
        <v/>
      </c>
      <c r="P649">
        <f>N649&amp;"|"&amp;O649</f>
        <v/>
      </c>
      <c r="Q649">
        <f>C649&amp;"|"&amp;D649&amp;"|"&amp;A649</f>
        <v/>
      </c>
    </row>
    <row r="650">
      <c r="A650" t="n">
        <v>42</v>
      </c>
      <c r="B650" t="inlineStr">
        <is>
          <t>Quiñones Cabezas Marcos Vidal</t>
        </is>
      </c>
      <c r="C650" t="inlineStr">
        <is>
          <t>JUEVES</t>
        </is>
      </c>
      <c r="D650" t="n">
        <v>2</v>
      </c>
      <c r="E650" t="n">
        <v>1</v>
      </c>
      <c r="F650" t="inlineStr">
        <is>
          <t>CLASE</t>
        </is>
      </c>
      <c r="G650" t="inlineStr">
        <is>
          <t>0601</t>
        </is>
      </c>
      <c r="H650" t="inlineStr">
        <is>
          <t>MAT</t>
        </is>
      </c>
      <c r="I650" t="inlineStr"/>
      <c r="J650" t="inlineStr"/>
      <c r="K650" t="inlineStr"/>
      <c r="L650" t="inlineStr">
        <is>
          <t>6°-1</t>
        </is>
      </c>
      <c r="M650" t="inlineStr"/>
      <c r="N650">
        <f>C650&amp;"|"&amp;D650</f>
        <v/>
      </c>
      <c r="O650">
        <f>COUNTIF($N$2:N650,N650)</f>
        <v/>
      </c>
      <c r="P650">
        <f>N650&amp;"|"&amp;O650</f>
        <v/>
      </c>
      <c r="Q650">
        <f>C650&amp;"|"&amp;D650&amp;"|"&amp;A650</f>
        <v/>
      </c>
    </row>
    <row r="651">
      <c r="A651" t="n">
        <v>16</v>
      </c>
      <c r="B651" t="inlineStr">
        <is>
          <t>Cuero Rincón Hernando Jesús</t>
        </is>
      </c>
      <c r="C651" t="inlineStr">
        <is>
          <t>JUEVES</t>
        </is>
      </c>
      <c r="D651" t="n">
        <v>2</v>
      </c>
      <c r="E651" t="n">
        <v>1</v>
      </c>
      <c r="F651" t="inlineStr">
        <is>
          <t>CLASE</t>
        </is>
      </c>
      <c r="G651" t="inlineStr">
        <is>
          <t>0602</t>
        </is>
      </c>
      <c r="H651" t="inlineStr">
        <is>
          <t>TEI</t>
        </is>
      </c>
      <c r="I651" t="inlineStr"/>
      <c r="J651" t="inlineStr"/>
      <c r="K651" t="inlineStr"/>
      <c r="L651" t="inlineStr">
        <is>
          <t>6°-2</t>
        </is>
      </c>
      <c r="M651" t="inlineStr"/>
      <c r="N651">
        <f>C651&amp;"|"&amp;D651</f>
        <v/>
      </c>
      <c r="O651">
        <f>COUNTIF($N$2:N651,N651)</f>
        <v/>
      </c>
      <c r="P651">
        <f>N651&amp;"|"&amp;O651</f>
        <v/>
      </c>
      <c r="Q651">
        <f>C651&amp;"|"&amp;D651&amp;"|"&amp;A651</f>
        <v/>
      </c>
    </row>
    <row r="652">
      <c r="A652" t="n">
        <v>10</v>
      </c>
      <c r="B652" t="inlineStr">
        <is>
          <t>Castillo Cuero Daira Eneida</t>
        </is>
      </c>
      <c r="C652" t="inlineStr">
        <is>
          <t>JUEVES</t>
        </is>
      </c>
      <c r="D652" t="n">
        <v>2</v>
      </c>
      <c r="E652" t="n">
        <v>1</v>
      </c>
      <c r="F652" t="inlineStr">
        <is>
          <t>CLASE</t>
        </is>
      </c>
      <c r="G652" t="inlineStr">
        <is>
          <t>0704</t>
        </is>
      </c>
      <c r="H652" t="inlineStr">
        <is>
          <t>CAS</t>
        </is>
      </c>
      <c r="I652" t="inlineStr"/>
      <c r="J652" t="inlineStr"/>
      <c r="K652" t="inlineStr"/>
      <c r="L652" t="inlineStr">
        <is>
          <t>7°-4</t>
        </is>
      </c>
      <c r="M652" t="inlineStr"/>
      <c r="N652">
        <f>C652&amp;"|"&amp;D652</f>
        <v/>
      </c>
      <c r="O652">
        <f>COUNTIF($N$2:N652,N652)</f>
        <v/>
      </c>
      <c r="P652">
        <f>N652&amp;"|"&amp;O652</f>
        <v/>
      </c>
      <c r="Q652">
        <f>C652&amp;"|"&amp;D652&amp;"|"&amp;A652</f>
        <v/>
      </c>
    </row>
    <row r="653">
      <c r="A653" t="n">
        <v>19</v>
      </c>
      <c r="B653" t="inlineStr">
        <is>
          <t>Fernández Vélez Alfredo Enrique</t>
        </is>
      </c>
      <c r="C653" t="inlineStr">
        <is>
          <t>JUEVES</t>
        </is>
      </c>
      <c r="D653" t="n">
        <v>2</v>
      </c>
      <c r="E653" t="n">
        <v>1</v>
      </c>
      <c r="F653" t="inlineStr">
        <is>
          <t>CLASE</t>
        </is>
      </c>
      <c r="G653" t="inlineStr">
        <is>
          <t>0801</t>
        </is>
      </c>
      <c r="H653" t="inlineStr">
        <is>
          <t>TEI</t>
        </is>
      </c>
      <c r="I653" t="inlineStr"/>
      <c r="J653" t="inlineStr"/>
      <c r="K653" t="inlineStr"/>
      <c r="L653" t="inlineStr">
        <is>
          <t>8°-1</t>
        </is>
      </c>
      <c r="M653" t="inlineStr"/>
      <c r="N653">
        <f>C653&amp;"|"&amp;D653</f>
        <v/>
      </c>
      <c r="O653">
        <f>COUNTIF($N$2:N653,N653)</f>
        <v/>
      </c>
      <c r="P653">
        <f>N653&amp;"|"&amp;O653</f>
        <v/>
      </c>
      <c r="Q653">
        <f>C653&amp;"|"&amp;D653&amp;"|"&amp;A653</f>
        <v/>
      </c>
    </row>
    <row r="654">
      <c r="A654" t="n">
        <v>35</v>
      </c>
      <c r="B654" t="inlineStr">
        <is>
          <t>Ortiz Araujo Adiela Carlota</t>
        </is>
      </c>
      <c r="C654" t="inlineStr">
        <is>
          <t>JUEVES</t>
        </is>
      </c>
      <c r="D654" t="n">
        <v>2</v>
      </c>
      <c r="E654" t="n">
        <v>1</v>
      </c>
      <c r="F654" t="inlineStr">
        <is>
          <t>CLASE</t>
        </is>
      </c>
      <c r="G654" t="inlineStr">
        <is>
          <t>0802</t>
        </is>
      </c>
      <c r="H654" t="inlineStr">
        <is>
          <t>CSI</t>
        </is>
      </c>
      <c r="I654" t="inlineStr"/>
      <c r="J654" t="inlineStr">
        <is>
          <t>Sociales / Inglés (alternan cada semana)</t>
        </is>
      </c>
      <c r="K654" t="inlineStr"/>
      <c r="L654" t="inlineStr">
        <is>
          <t>8°-2</t>
        </is>
      </c>
      <c r="M654" t="inlineStr">
        <is>
          <t>Sociales / Inglés (alternan cada semana)</t>
        </is>
      </c>
      <c r="N654">
        <f>C654&amp;"|"&amp;D654</f>
        <v/>
      </c>
      <c r="O654">
        <f>COUNTIF($N$2:N654,N654)</f>
        <v/>
      </c>
      <c r="P654">
        <f>N654&amp;"|"&amp;O654</f>
        <v/>
      </c>
      <c r="Q654">
        <f>C654&amp;"|"&amp;D654&amp;"|"&amp;A654</f>
        <v/>
      </c>
    </row>
    <row r="655">
      <c r="A655" t="n">
        <v>22</v>
      </c>
      <c r="B655" t="inlineStr">
        <is>
          <t>González Castillo Jólmer Jimy</t>
        </is>
      </c>
      <c r="C655" t="inlineStr">
        <is>
          <t>JUEVES</t>
        </is>
      </c>
      <c r="D655" t="n">
        <v>2</v>
      </c>
      <c r="E655" t="n">
        <v>1</v>
      </c>
      <c r="F655" t="inlineStr">
        <is>
          <t>CLASE</t>
        </is>
      </c>
      <c r="G655" t="inlineStr">
        <is>
          <t>0901</t>
        </is>
      </c>
      <c r="H655" t="inlineStr">
        <is>
          <t>ERD</t>
        </is>
      </c>
      <c r="I655" t="inlineStr"/>
      <c r="J655" t="inlineStr"/>
      <c r="K655" t="inlineStr"/>
      <c r="L655" t="inlineStr">
        <is>
          <t>9°-1</t>
        </is>
      </c>
      <c r="M655" t="inlineStr"/>
      <c r="N655">
        <f>C655&amp;"|"&amp;D655</f>
        <v/>
      </c>
      <c r="O655">
        <f>COUNTIF($N$2:N655,N655)</f>
        <v/>
      </c>
      <c r="P655">
        <f>N655&amp;"|"&amp;O655</f>
        <v/>
      </c>
      <c r="Q655">
        <f>C655&amp;"|"&amp;D655&amp;"|"&amp;A655</f>
        <v/>
      </c>
    </row>
    <row r="656">
      <c r="A656" t="n">
        <v>28</v>
      </c>
      <c r="B656" t="inlineStr">
        <is>
          <t>Meza Banguera Gladys Alicia</t>
        </is>
      </c>
      <c r="C656" t="inlineStr">
        <is>
          <t>JUEVES</t>
        </is>
      </c>
      <c r="D656" t="n">
        <v>2</v>
      </c>
      <c r="E656" t="n">
        <v>1</v>
      </c>
      <c r="F656" t="inlineStr">
        <is>
          <t>CLASE</t>
        </is>
      </c>
      <c r="G656" t="inlineStr">
        <is>
          <t>1001</t>
        </is>
      </c>
      <c r="H656" t="inlineStr">
        <is>
          <t>CAS</t>
        </is>
      </c>
      <c r="I656" t="inlineStr"/>
      <c r="J656" t="inlineStr"/>
      <c r="K656" t="inlineStr"/>
      <c r="L656" t="inlineStr">
        <is>
          <t>10°-1</t>
        </is>
      </c>
      <c r="M656" t="inlineStr"/>
      <c r="N656">
        <f>C656&amp;"|"&amp;D656</f>
        <v/>
      </c>
      <c r="O656">
        <f>COUNTIF($N$2:N656,N656)</f>
        <v/>
      </c>
      <c r="P656">
        <f>N656&amp;"|"&amp;O656</f>
        <v/>
      </c>
      <c r="Q656">
        <f>C656&amp;"|"&amp;D656&amp;"|"&amp;A656</f>
        <v/>
      </c>
    </row>
    <row r="657">
      <c r="A657" t="n">
        <v>43</v>
      </c>
      <c r="B657" t="inlineStr">
        <is>
          <t>Ramírez Guerra Jimmy Eduardo</t>
        </is>
      </c>
      <c r="C657" t="inlineStr">
        <is>
          <t>JUEVES</t>
        </is>
      </c>
      <c r="D657" t="n">
        <v>2</v>
      </c>
      <c r="E657" t="n">
        <v>1</v>
      </c>
      <c r="F657" t="inlineStr">
        <is>
          <t>CLASE</t>
        </is>
      </c>
      <c r="G657" t="inlineStr">
        <is>
          <t>1002</t>
        </is>
      </c>
      <c r="H657" t="inlineStr">
        <is>
          <t>ERD</t>
        </is>
      </c>
      <c r="I657" t="inlineStr"/>
      <c r="J657" t="inlineStr"/>
      <c r="K657" t="inlineStr"/>
      <c r="L657" t="inlineStr">
        <is>
          <t>10°-2</t>
        </is>
      </c>
      <c r="M657" t="inlineStr"/>
      <c r="N657">
        <f>C657&amp;"|"&amp;D657</f>
        <v/>
      </c>
      <c r="O657">
        <f>COUNTIF($N$2:N657,N657)</f>
        <v/>
      </c>
      <c r="P657">
        <f>N657&amp;"|"&amp;O657</f>
        <v/>
      </c>
      <c r="Q657">
        <f>C657&amp;"|"&amp;D657&amp;"|"&amp;A657</f>
        <v/>
      </c>
    </row>
    <row r="658">
      <c r="A658" t="n">
        <v>2</v>
      </c>
      <c r="B658" t="inlineStr">
        <is>
          <t>Angulo Lucero Andrés Mauricio</t>
        </is>
      </c>
      <c r="C658" t="inlineStr">
        <is>
          <t>JUEVES</t>
        </is>
      </c>
      <c r="D658" t="n">
        <v>2</v>
      </c>
      <c r="E658" t="n">
        <v>1</v>
      </c>
      <c r="F658" t="inlineStr">
        <is>
          <t>CLASE</t>
        </is>
      </c>
      <c r="G658" t="inlineStr">
        <is>
          <t>1101</t>
        </is>
      </c>
      <c r="H658" t="inlineStr">
        <is>
          <t>TEI</t>
        </is>
      </c>
      <c r="I658" t="inlineStr"/>
      <c r="J658" t="inlineStr"/>
      <c r="K658" t="inlineStr"/>
      <c r="L658" t="inlineStr">
        <is>
          <t>11°-1</t>
        </is>
      </c>
      <c r="M658" t="inlineStr"/>
      <c r="N658">
        <f>C658&amp;"|"&amp;D658</f>
        <v/>
      </c>
      <c r="O658">
        <f>COUNTIF($N$2:N658,N658)</f>
        <v/>
      </c>
      <c r="P658">
        <f>N658&amp;"|"&amp;O658</f>
        <v/>
      </c>
      <c r="Q658">
        <f>C658&amp;"|"&amp;D658&amp;"|"&amp;A658</f>
        <v/>
      </c>
    </row>
    <row r="659">
      <c r="A659" t="n">
        <v>53</v>
      </c>
      <c r="B659" t="inlineStr">
        <is>
          <t>Villota Rubio Héctor Hugo</t>
        </is>
      </c>
      <c r="C659" t="inlineStr">
        <is>
          <t>JUEVES</t>
        </is>
      </c>
      <c r="D659" t="n">
        <v>2</v>
      </c>
      <c r="E659" t="n">
        <v>1</v>
      </c>
      <c r="F659" t="inlineStr">
        <is>
          <t>CLASE</t>
        </is>
      </c>
      <c r="G659" t="inlineStr">
        <is>
          <t>1102</t>
        </is>
      </c>
      <c r="H659" t="inlineStr">
        <is>
          <t>CNA</t>
        </is>
      </c>
      <c r="I659" t="inlineStr"/>
      <c r="J659" t="inlineStr"/>
      <c r="K659" t="inlineStr"/>
      <c r="L659" t="inlineStr">
        <is>
          <t>11°-2</t>
        </is>
      </c>
      <c r="M659" t="inlineStr"/>
      <c r="N659">
        <f>C659&amp;"|"&amp;D659</f>
        <v/>
      </c>
      <c r="O659">
        <f>COUNTIF($N$2:N659,N659)</f>
        <v/>
      </c>
      <c r="P659">
        <f>N659&amp;"|"&amp;O659</f>
        <v/>
      </c>
      <c r="Q659">
        <f>C659&amp;"|"&amp;D659&amp;"|"&amp;A659</f>
        <v/>
      </c>
    </row>
    <row r="660">
      <c r="A660" t="n">
        <v>38</v>
      </c>
      <c r="B660" t="inlineStr">
        <is>
          <t>Preciado Torres Oleisa</t>
        </is>
      </c>
      <c r="C660" t="inlineStr">
        <is>
          <t>JUEVES</t>
        </is>
      </c>
      <c r="D660" t="n">
        <v>2</v>
      </c>
      <c r="E660" t="n">
        <v>1</v>
      </c>
      <c r="F660" t="inlineStr">
        <is>
          <t>CLASE</t>
        </is>
      </c>
      <c r="G660" t="inlineStr">
        <is>
          <t>CS201</t>
        </is>
      </c>
      <c r="H660" t="inlineStr">
        <is>
          <t>MAT</t>
        </is>
      </c>
      <c r="I660" t="inlineStr"/>
      <c r="J660" t="inlineStr"/>
      <c r="K660" t="inlineStr"/>
      <c r="L660" t="inlineStr">
        <is>
          <t>CS 2-1</t>
        </is>
      </c>
      <c r="M660" t="inlineStr"/>
      <c r="N660">
        <f>C660&amp;"|"&amp;D660</f>
        <v/>
      </c>
      <c r="O660">
        <f>COUNTIF($N$2:N660,N660)</f>
        <v/>
      </c>
      <c r="P660">
        <f>N660&amp;"|"&amp;O660</f>
        <v/>
      </c>
      <c r="Q660">
        <f>C660&amp;"|"&amp;D660&amp;"|"&amp;A660</f>
        <v/>
      </c>
    </row>
    <row r="661">
      <c r="A661" t="n">
        <v>9</v>
      </c>
      <c r="B661" t="inlineStr">
        <is>
          <t>Castillo Angulo Martha Cecilia</t>
        </is>
      </c>
      <c r="C661" t="inlineStr">
        <is>
          <t>JUEVES</t>
        </is>
      </c>
      <c r="D661" t="n">
        <v>2</v>
      </c>
      <c r="E661" t="n">
        <v>1</v>
      </c>
      <c r="F661" t="inlineStr">
        <is>
          <t>CLASE</t>
        </is>
      </c>
      <c r="G661" t="inlineStr">
        <is>
          <t>CS202</t>
        </is>
      </c>
      <c r="H661" t="inlineStr">
        <is>
          <t>ETR</t>
        </is>
      </c>
      <c r="I661" t="inlineStr"/>
      <c r="J661" t="inlineStr">
        <is>
          <t>Ética / Religión (alternan cada semana)</t>
        </is>
      </c>
      <c r="K661" t="inlineStr"/>
      <c r="L661" t="inlineStr">
        <is>
          <t>CS 2-2</t>
        </is>
      </c>
      <c r="M661" t="inlineStr">
        <is>
          <t>Ética / Religión (alternan cada semana)</t>
        </is>
      </c>
      <c r="N661">
        <f>C661&amp;"|"&amp;D661</f>
        <v/>
      </c>
      <c r="O661">
        <f>COUNTIF($N$2:N661,N661)</f>
        <v/>
      </c>
      <c r="P661">
        <f>N661&amp;"|"&amp;O661</f>
        <v/>
      </c>
      <c r="Q661">
        <f>C661&amp;"|"&amp;D661&amp;"|"&amp;A661</f>
        <v/>
      </c>
    </row>
    <row r="662">
      <c r="A662" t="n">
        <v>44</v>
      </c>
      <c r="B662" t="inlineStr">
        <is>
          <t>Samaniego Angulo Flor Mireya</t>
        </is>
      </c>
      <c r="C662" t="inlineStr">
        <is>
          <t>JUEVES</t>
        </is>
      </c>
      <c r="D662" t="n">
        <v>2</v>
      </c>
      <c r="E662" t="n">
        <v>1</v>
      </c>
      <c r="F662" t="inlineStr">
        <is>
          <t>ENFASIS</t>
        </is>
      </c>
      <c r="G662" t="inlineStr"/>
      <c r="H662" t="inlineStr">
        <is>
          <t>ART</t>
        </is>
      </c>
      <c r="I662" t="inlineStr">
        <is>
          <t>0701</t>
        </is>
      </c>
      <c r="J662" t="inlineStr">
        <is>
          <t>PAREJA: comparten el énfasis y alternan por semana</t>
        </is>
      </c>
      <c r="K662" t="inlineStr">
        <is>
          <t>Valverde Montaño María Teresa (CAS)</t>
        </is>
      </c>
      <c r="L662" t="inlineStr">
        <is>
          <t>ÉNFASIS 7°-1</t>
        </is>
      </c>
      <c r="M662" t="inlineStr">
        <is>
          <t>PAREJA: comparten el énfasis y alternan por semana · Con: Valverde Montaño María Teresa (CAS)</t>
        </is>
      </c>
      <c r="N662">
        <f>C662&amp;"|"&amp;D662</f>
        <v/>
      </c>
      <c r="O662">
        <f>COUNTIF($N$2:N662,N662)</f>
        <v/>
      </c>
      <c r="P662">
        <f>N662&amp;"|"&amp;O662</f>
        <v/>
      </c>
      <c r="Q662">
        <f>C662&amp;"|"&amp;D662&amp;"|"&amp;A662</f>
        <v/>
      </c>
    </row>
    <row r="663">
      <c r="A663" t="n">
        <v>51</v>
      </c>
      <c r="B663" t="inlineStr">
        <is>
          <t>Valverde Montaño María Teresa</t>
        </is>
      </c>
      <c r="C663" t="inlineStr">
        <is>
          <t>JUEVES</t>
        </is>
      </c>
      <c r="D663" t="n">
        <v>2</v>
      </c>
      <c r="E663" t="n">
        <v>1</v>
      </c>
      <c r="F663" t="inlineStr">
        <is>
          <t>ENFASIS</t>
        </is>
      </c>
      <c r="G663" t="inlineStr"/>
      <c r="H663" t="inlineStr">
        <is>
          <t>CAS</t>
        </is>
      </c>
      <c r="I663" t="inlineStr">
        <is>
          <t>0701</t>
        </is>
      </c>
      <c r="J663" t="inlineStr">
        <is>
          <t>PAREJA: comparten el énfasis y alternan por semana</t>
        </is>
      </c>
      <c r="K663" t="inlineStr">
        <is>
          <t>Samaniego Angulo Flor Mireya (ART)</t>
        </is>
      </c>
      <c r="L663" t="inlineStr">
        <is>
          <t>ÉNFASIS 7°-1</t>
        </is>
      </c>
      <c r="M663" t="inlineStr">
        <is>
          <t>PAREJA: comparten el énfasis y alternan por semana · Con: Samaniego Angulo Flor Mireya (ART)</t>
        </is>
      </c>
      <c r="N663">
        <f>C663&amp;"|"&amp;D663</f>
        <v/>
      </c>
      <c r="O663">
        <f>COUNTIF($N$2:N663,N663)</f>
        <v/>
      </c>
      <c r="P663">
        <f>N663&amp;"|"&amp;O663</f>
        <v/>
      </c>
      <c r="Q663">
        <f>C663&amp;"|"&amp;D663&amp;"|"&amp;A663</f>
        <v/>
      </c>
    </row>
    <row r="664">
      <c r="A664" t="n">
        <v>34</v>
      </c>
      <c r="B664" t="inlineStr">
        <is>
          <t>Ordóñez Tenorio Jaime Marcial</t>
        </is>
      </c>
      <c r="C664" t="inlineStr">
        <is>
          <t>JUEVES</t>
        </is>
      </c>
      <c r="D664" t="n">
        <v>2</v>
      </c>
      <c r="E664" t="n">
        <v>1</v>
      </c>
      <c r="F664" t="inlineStr">
        <is>
          <t>ENFASIS</t>
        </is>
      </c>
      <c r="G664" t="inlineStr"/>
      <c r="H664" t="inlineStr">
        <is>
          <t>CNA</t>
        </is>
      </c>
      <c r="I664" t="inlineStr">
        <is>
          <t>0702</t>
        </is>
      </c>
      <c r="J664" t="inlineStr">
        <is>
          <t>PAREJA: comparten el énfasis y alternan por semana</t>
        </is>
      </c>
      <c r="K664" t="inlineStr">
        <is>
          <t>Armero Dájome Jesús (ERD)</t>
        </is>
      </c>
      <c r="L664" t="inlineStr">
        <is>
          <t>ÉNFASIS 7°-2</t>
        </is>
      </c>
      <c r="M664" t="inlineStr">
        <is>
          <t>PAREJA: comparten el énfasis y alternan por semana · Con: Armero Dájome Jesús (ERD)</t>
        </is>
      </c>
      <c r="N664">
        <f>C664&amp;"|"&amp;D664</f>
        <v/>
      </c>
      <c r="O664">
        <f>COUNTIF($N$2:N664,N664)</f>
        <v/>
      </c>
      <c r="P664">
        <f>N664&amp;"|"&amp;O664</f>
        <v/>
      </c>
      <c r="Q664">
        <f>C664&amp;"|"&amp;D664&amp;"|"&amp;A664</f>
        <v/>
      </c>
    </row>
    <row r="665">
      <c r="A665" t="n">
        <v>4</v>
      </c>
      <c r="B665" t="inlineStr">
        <is>
          <t>Arizala Castro Roberto Carlos</t>
        </is>
      </c>
      <c r="C665" t="inlineStr">
        <is>
          <t>JUEVES</t>
        </is>
      </c>
      <c r="D665" t="n">
        <v>2</v>
      </c>
      <c r="E665" t="n">
        <v>1</v>
      </c>
      <c r="F665" t="inlineStr">
        <is>
          <t>ENFASIS</t>
        </is>
      </c>
      <c r="G665" t="inlineStr"/>
      <c r="H665" t="inlineStr">
        <is>
          <t>ERD</t>
        </is>
      </c>
      <c r="I665" t="inlineStr">
        <is>
          <t>0702</t>
        </is>
      </c>
      <c r="J665" t="inlineStr">
        <is>
          <t>PAREJA: comparten el énfasis y alternan por semana</t>
        </is>
      </c>
      <c r="K665" t="inlineStr">
        <is>
          <t>Ordóñez Tenorio Jaime Marcial (CNA)</t>
        </is>
      </c>
      <c r="L665" t="inlineStr">
        <is>
          <t>ÉNFASIS 7°-2</t>
        </is>
      </c>
      <c r="M665" t="inlineStr">
        <is>
          <t>PAREJA: comparten el énfasis y alternan por semana · Con: Ordóñez Tenorio Jaime Marcial (CNA)</t>
        </is>
      </c>
      <c r="N665">
        <f>C665&amp;"|"&amp;D665</f>
        <v/>
      </c>
      <c r="O665">
        <f>COUNTIF($N$2:N665,N665)</f>
        <v/>
      </c>
      <c r="P665">
        <f>N665&amp;"|"&amp;O665</f>
        <v/>
      </c>
      <c r="Q665">
        <f>C665&amp;"|"&amp;D665&amp;"|"&amp;A665</f>
        <v/>
      </c>
    </row>
    <row r="666">
      <c r="A666" t="n">
        <v>8</v>
      </c>
      <c r="B666" t="inlineStr">
        <is>
          <t>Casanova Quiñones Yoli del Carmen</t>
        </is>
      </c>
      <c r="C666" t="inlineStr">
        <is>
          <t>JUEVES</t>
        </is>
      </c>
      <c r="D666" t="n">
        <v>2</v>
      </c>
      <c r="E666" t="n">
        <v>1</v>
      </c>
      <c r="F666" t="inlineStr">
        <is>
          <t>ENFASIS</t>
        </is>
      </c>
      <c r="G666" t="inlineStr"/>
      <c r="H666" t="inlineStr">
        <is>
          <t>ETR</t>
        </is>
      </c>
      <c r="I666" t="inlineStr">
        <is>
          <t>0703</t>
        </is>
      </c>
      <c r="J666" t="inlineStr">
        <is>
          <t>PAREJA: comparten el énfasis y alternan por semana</t>
        </is>
      </c>
      <c r="K666" t="inlineStr">
        <is>
          <t>Quintero Ramírez María del Carmen (CSI)</t>
        </is>
      </c>
      <c r="L666" t="inlineStr">
        <is>
          <t>ÉNFASIS 7°-3</t>
        </is>
      </c>
      <c r="M666" t="inlineStr">
        <is>
          <t>PAREJA: comparten el énfasis y alternan por semana · Con: Quintero Ramírez María del Carmen (CSI)</t>
        </is>
      </c>
      <c r="N666">
        <f>C666&amp;"|"&amp;D666</f>
        <v/>
      </c>
      <c r="O666">
        <f>COUNTIF($N$2:N666,N666)</f>
        <v/>
      </c>
      <c r="P666">
        <f>N666&amp;"|"&amp;O666</f>
        <v/>
      </c>
      <c r="Q666">
        <f>C666&amp;"|"&amp;D666&amp;"|"&amp;A666</f>
        <v/>
      </c>
    </row>
    <row r="667">
      <c r="A667" t="n">
        <v>41</v>
      </c>
      <c r="B667" t="inlineStr">
        <is>
          <t>Quintero Ramírez María del Carmen</t>
        </is>
      </c>
      <c r="C667" t="inlineStr">
        <is>
          <t>JUEVES</t>
        </is>
      </c>
      <c r="D667" t="n">
        <v>2</v>
      </c>
      <c r="E667" t="n">
        <v>1</v>
      </c>
      <c r="F667" t="inlineStr">
        <is>
          <t>ENFASIS</t>
        </is>
      </c>
      <c r="G667" t="inlineStr"/>
      <c r="H667" t="inlineStr">
        <is>
          <t>CSI</t>
        </is>
      </c>
      <c r="I667" t="inlineStr">
        <is>
          <t>0703</t>
        </is>
      </c>
      <c r="J667" t="inlineStr">
        <is>
          <t>PAREJA: comparten el énfasis y alternan por semana</t>
        </is>
      </c>
      <c r="K667" t="inlineStr">
        <is>
          <t>Casanova Quiñones Yoli del Carmen (ETR)</t>
        </is>
      </c>
      <c r="L667" t="inlineStr">
        <is>
          <t>ÉNFASIS 7°-3</t>
        </is>
      </c>
      <c r="M667" t="inlineStr">
        <is>
          <t>PAREJA: comparten el énfasis y alternan por semana · Con: Casanova Quiñones Yoli del Carmen (ETR)</t>
        </is>
      </c>
      <c r="N667">
        <f>C667&amp;"|"&amp;D667</f>
        <v/>
      </c>
      <c r="O667">
        <f>COUNTIF($N$2:N667,N667)</f>
        <v/>
      </c>
      <c r="P667">
        <f>N667&amp;"|"&amp;O667</f>
        <v/>
      </c>
      <c r="Q667">
        <f>C667&amp;"|"&amp;D667&amp;"|"&amp;A667</f>
        <v/>
      </c>
    </row>
    <row r="668">
      <c r="A668" t="n">
        <v>5</v>
      </c>
      <c r="B668" t="inlineStr">
        <is>
          <t>Bastidas Valencia Zeneida Judith</t>
        </is>
      </c>
      <c r="C668" t="inlineStr">
        <is>
          <t>JUEVES</t>
        </is>
      </c>
      <c r="D668" t="n">
        <v>2</v>
      </c>
      <c r="E668" t="n">
        <v>1</v>
      </c>
      <c r="F668" t="inlineStr">
        <is>
          <t>ENFASIS</t>
        </is>
      </c>
      <c r="G668" t="inlineStr"/>
      <c r="H668" t="inlineStr">
        <is>
          <t>MAT</t>
        </is>
      </c>
      <c r="I668" t="inlineStr">
        <is>
          <t>0902</t>
        </is>
      </c>
      <c r="J668" t="inlineStr">
        <is>
          <t>EQUIPO DE 4: cada docente atiende un grupo de estudiantes en su área</t>
        </is>
      </c>
      <c r="K668" t="inlineStr">
        <is>
          <t>Betancourth Ocampo Yohana Patricia (CSI); Estacio Estupiñán Rosario (ETR); Mindineros Satizábal John Jáver (TEI)</t>
        </is>
      </c>
      <c r="L668" t="inlineStr">
        <is>
          <t>ÉNFASIS 9°-2</t>
        </is>
      </c>
      <c r="M668" t="inlineStr">
        <is>
          <t>EQUIPO DE 4: cada docente atiende un grupo de estudiantes en su área · Con: Betancourth Ocampo Yohana Patricia (CSI); Estacio Estupiñán Rosario (ETR); Mindineros Satizábal John Jáver (TEI)</t>
        </is>
      </c>
      <c r="N668">
        <f>C668&amp;"|"&amp;D668</f>
        <v/>
      </c>
      <c r="O668">
        <f>COUNTIF($N$2:N668,N668)</f>
        <v/>
      </c>
      <c r="P668">
        <f>N668&amp;"|"&amp;O668</f>
        <v/>
      </c>
      <c r="Q668">
        <f>C668&amp;"|"&amp;D668&amp;"|"&amp;A668</f>
        <v/>
      </c>
    </row>
    <row r="669">
      <c r="A669" t="n">
        <v>6</v>
      </c>
      <c r="B669" t="inlineStr">
        <is>
          <t>Betancourth Ocampo Yohana Patricia</t>
        </is>
      </c>
      <c r="C669" t="inlineStr">
        <is>
          <t>JUEVES</t>
        </is>
      </c>
      <c r="D669" t="n">
        <v>2</v>
      </c>
      <c r="E669" t="n">
        <v>1</v>
      </c>
      <c r="F669" t="inlineStr">
        <is>
          <t>ENFASIS</t>
        </is>
      </c>
      <c r="G669" t="inlineStr"/>
      <c r="H669" t="inlineStr">
        <is>
          <t>CSI</t>
        </is>
      </c>
      <c r="I669" t="inlineStr">
        <is>
          <t>0902</t>
        </is>
      </c>
      <c r="J669" t="inlineStr">
        <is>
          <t>EQUIPO DE 4: cada docente atiende un grupo de estudiantes en su área</t>
        </is>
      </c>
      <c r="K669" t="inlineStr">
        <is>
          <t>Estacio Estupiñán Rosario (ETR); Bastidas Valencia Zeneida Judith (MAT); Mindineros Satizábal John Jáver (TEI)</t>
        </is>
      </c>
      <c r="L669" t="inlineStr">
        <is>
          <t>ÉNFASIS 9°-2</t>
        </is>
      </c>
      <c r="M669" t="inlineStr">
        <is>
          <t>EQUIPO DE 4: cada docente atiende un grupo de estudiantes en su área · Con: Estacio Estupiñán Rosario (ETR); Bastidas Valencia Zeneida Judith (MAT); Mindineros Satizábal John Jáver (TEI)</t>
        </is>
      </c>
      <c r="N669">
        <f>C669&amp;"|"&amp;D669</f>
        <v/>
      </c>
      <c r="O669">
        <f>COUNTIF($N$2:N669,N669)</f>
        <v/>
      </c>
      <c r="P669">
        <f>N669&amp;"|"&amp;O669</f>
        <v/>
      </c>
      <c r="Q669">
        <f>C669&amp;"|"&amp;D669&amp;"|"&amp;A669</f>
        <v/>
      </c>
    </row>
    <row r="670">
      <c r="A670" t="n">
        <v>18</v>
      </c>
      <c r="B670" t="inlineStr">
        <is>
          <t>Estacio Estupiñán Rosario</t>
        </is>
      </c>
      <c r="C670" t="inlineStr">
        <is>
          <t>JUEVES</t>
        </is>
      </c>
      <c r="D670" t="n">
        <v>2</v>
      </c>
      <c r="E670" t="n">
        <v>1</v>
      </c>
      <c r="F670" t="inlineStr">
        <is>
          <t>ENFASIS</t>
        </is>
      </c>
      <c r="G670" t="inlineStr"/>
      <c r="H670" t="inlineStr">
        <is>
          <t>ETR</t>
        </is>
      </c>
      <c r="I670" t="inlineStr">
        <is>
          <t>0902</t>
        </is>
      </c>
      <c r="J670" t="inlineStr">
        <is>
          <t>EQUIPO DE 4: cada docente atiende un grupo de estudiantes en su área</t>
        </is>
      </c>
      <c r="K670" t="inlineStr">
        <is>
          <t>Betancourth Ocampo Yohana Patricia (CSI); Bastidas Valencia Zeneida Judith (MAT); Mindineros Satizábal John Jáver (TEI)</t>
        </is>
      </c>
      <c r="L670" t="inlineStr">
        <is>
          <t>ÉNFASIS 9°-2</t>
        </is>
      </c>
      <c r="M670" t="inlineStr">
        <is>
          <t>EQUIPO DE 4: cada docente atiende un grupo de estudiantes en su área · Con: Betancourth Ocampo Yohana Patricia (CSI); Bastidas Valencia Zeneida Judith (MAT); Mindineros Satizábal John Jáver (TEI)</t>
        </is>
      </c>
      <c r="N670">
        <f>C670&amp;"|"&amp;D670</f>
        <v/>
      </c>
      <c r="O670">
        <f>COUNTIF($N$2:N670,N670)</f>
        <v/>
      </c>
      <c r="P670">
        <f>N670&amp;"|"&amp;O670</f>
        <v/>
      </c>
      <c r="Q670">
        <f>C670&amp;"|"&amp;D670&amp;"|"&amp;A670</f>
        <v/>
      </c>
    </row>
    <row r="671">
      <c r="A671" t="n">
        <v>29</v>
      </c>
      <c r="B671" t="inlineStr">
        <is>
          <t>Mindineros Satizábal John Jáver</t>
        </is>
      </c>
      <c r="C671" t="inlineStr">
        <is>
          <t>JUEVES</t>
        </is>
      </c>
      <c r="D671" t="n">
        <v>2</v>
      </c>
      <c r="E671" t="n">
        <v>1</v>
      </c>
      <c r="F671" t="inlineStr">
        <is>
          <t>ENFASIS</t>
        </is>
      </c>
      <c r="G671" t="inlineStr"/>
      <c r="H671" t="inlineStr">
        <is>
          <t>TEI</t>
        </is>
      </c>
      <c r="I671" t="inlineStr">
        <is>
          <t>0902</t>
        </is>
      </c>
      <c r="J671" t="inlineStr">
        <is>
          <t>EQUIPO DE 4: cada docente atiende un grupo de estudiantes en su área</t>
        </is>
      </c>
      <c r="K671" t="inlineStr">
        <is>
          <t>Betancourth Ocampo Yohana Patricia (CSI); Estacio Estupiñán Rosario (ETR); Bastidas Valencia Zeneida Judith (MAT)</t>
        </is>
      </c>
      <c r="L671" t="inlineStr">
        <is>
          <t>ÉNFASIS 9°-2</t>
        </is>
      </c>
      <c r="M671" t="inlineStr">
        <is>
          <t>EQUIPO DE 4: cada docente atiende un grupo de estudiantes en su área · Con: Betancourth Ocampo Yohana Patricia (CSI); Estacio Estupiñán Rosario (ETR); Bastidas Valencia Zeneida Judith (MAT)</t>
        </is>
      </c>
      <c r="N671">
        <f>C671&amp;"|"&amp;D671</f>
        <v/>
      </c>
      <c r="O671">
        <f>COUNTIF($N$2:N671,N671)</f>
        <v/>
      </c>
      <c r="P671">
        <f>N671&amp;"|"&amp;O671</f>
        <v/>
      </c>
      <c r="Q671">
        <f>C671&amp;"|"&amp;D671&amp;"|"&amp;A671</f>
        <v/>
      </c>
    </row>
    <row r="672">
      <c r="A672" t="n">
        <v>20</v>
      </c>
      <c r="B672" t="inlineStr">
        <is>
          <t>García Gobea Saydi Magali</t>
        </is>
      </c>
      <c r="C672" t="inlineStr">
        <is>
          <t>JUEVES</t>
        </is>
      </c>
      <c r="D672" t="n">
        <v>2</v>
      </c>
      <c r="E672" t="n">
        <v>1</v>
      </c>
      <c r="F672" t="inlineStr">
        <is>
          <t>ENFASIS</t>
        </is>
      </c>
      <c r="G672" t="inlineStr"/>
      <c r="H672" t="inlineStr">
        <is>
          <t>CSI</t>
        </is>
      </c>
      <c r="I672" t="inlineStr">
        <is>
          <t>CS101</t>
        </is>
      </c>
      <c r="J672" t="inlineStr">
        <is>
          <t>PAREJA: comparten el énfasis y alternan por semana</t>
        </is>
      </c>
      <c r="K672" t="inlineStr">
        <is>
          <t>Lozano Torres Amanda Inés (ETR)</t>
        </is>
      </c>
      <c r="L672" t="inlineStr">
        <is>
          <t>ÉNFASIS CS 1-1</t>
        </is>
      </c>
      <c r="M672" t="inlineStr">
        <is>
          <t>PAREJA: comparten el énfasis y alternan por semana · Con: Lozano Torres Amanda Inés (ETR)</t>
        </is>
      </c>
      <c r="N672">
        <f>C672&amp;"|"&amp;D672</f>
        <v/>
      </c>
      <c r="O672">
        <f>COUNTIF($N$2:N672,N672)</f>
        <v/>
      </c>
      <c r="P672">
        <f>N672&amp;"|"&amp;O672</f>
        <v/>
      </c>
      <c r="Q672">
        <f>C672&amp;"|"&amp;D672&amp;"|"&amp;A672</f>
        <v/>
      </c>
    </row>
    <row r="673">
      <c r="A673" t="n">
        <v>26</v>
      </c>
      <c r="B673" t="inlineStr">
        <is>
          <t>Lozano Torres Amanda Inés</t>
        </is>
      </c>
      <c r="C673" t="inlineStr">
        <is>
          <t>JUEVES</t>
        </is>
      </c>
      <c r="D673" t="n">
        <v>2</v>
      </c>
      <c r="E673" t="n">
        <v>1</v>
      </c>
      <c r="F673" t="inlineStr">
        <is>
          <t>ENFASIS</t>
        </is>
      </c>
      <c r="G673" t="inlineStr"/>
      <c r="H673" t="inlineStr">
        <is>
          <t>ETR</t>
        </is>
      </c>
      <c r="I673" t="inlineStr">
        <is>
          <t>CS101</t>
        </is>
      </c>
      <c r="J673" t="inlineStr">
        <is>
          <t>PAREJA: comparten el énfasis y alternan por semana</t>
        </is>
      </c>
      <c r="K673" t="inlineStr">
        <is>
          <t>García Gobea Saydi Magali (CSI)</t>
        </is>
      </c>
      <c r="L673" t="inlineStr">
        <is>
          <t>ÉNFASIS CS 1-1</t>
        </is>
      </c>
      <c r="M673" t="inlineStr">
        <is>
          <t>PAREJA: comparten el énfasis y alternan por semana · Con: García Gobea Saydi Magali (CSI)</t>
        </is>
      </c>
      <c r="N673">
        <f>C673&amp;"|"&amp;D673</f>
        <v/>
      </c>
      <c r="O673">
        <f>COUNTIF($N$2:N673,N673)</f>
        <v/>
      </c>
      <c r="P673">
        <f>N673&amp;"|"&amp;O673</f>
        <v/>
      </c>
      <c r="Q673">
        <f>C673&amp;"|"&amp;D673&amp;"|"&amp;A673</f>
        <v/>
      </c>
    </row>
    <row r="674">
      <c r="A674" t="n">
        <v>1</v>
      </c>
      <c r="B674" t="inlineStr">
        <is>
          <t>Aguirre Riascos Jorge Andrés</t>
        </is>
      </c>
      <c r="C674" t="inlineStr">
        <is>
          <t>JUEVES</t>
        </is>
      </c>
      <c r="D674" t="n">
        <v>2</v>
      </c>
      <c r="E674" t="n">
        <v>1</v>
      </c>
      <c r="F674" t="inlineStr">
        <is>
          <t>ENFASIS</t>
        </is>
      </c>
      <c r="G674" t="inlineStr"/>
      <c r="H674" t="inlineStr">
        <is>
          <t>TEI</t>
        </is>
      </c>
      <c r="I674" t="inlineStr">
        <is>
          <t>CS102</t>
        </is>
      </c>
      <c r="J674" t="inlineStr">
        <is>
          <t>PAREJA: comparten el énfasis y alternan por semana</t>
        </is>
      </c>
      <c r="K674" t="inlineStr">
        <is>
          <t>Vásquez Valencia Segundo Leoncio (MAT)</t>
        </is>
      </c>
      <c r="L674" t="inlineStr">
        <is>
          <t>ÉNFASIS CS 1-2</t>
        </is>
      </c>
      <c r="M674" t="inlineStr">
        <is>
          <t>PAREJA: comparten el énfasis y alternan por semana · Con: Vásquez Valencia Segundo Leoncio (MAT)</t>
        </is>
      </c>
      <c r="N674">
        <f>C674&amp;"|"&amp;D674</f>
        <v/>
      </c>
      <c r="O674">
        <f>COUNTIF($N$2:N674,N674)</f>
        <v/>
      </c>
      <c r="P674">
        <f>N674&amp;"|"&amp;O674</f>
        <v/>
      </c>
      <c r="Q674">
        <f>C674&amp;"|"&amp;D674&amp;"|"&amp;A674</f>
        <v/>
      </c>
    </row>
    <row r="675">
      <c r="A675" t="n">
        <v>52</v>
      </c>
      <c r="B675" t="inlineStr">
        <is>
          <t>Vásquez Valencia Segundo Leoncio</t>
        </is>
      </c>
      <c r="C675" t="inlineStr">
        <is>
          <t>JUEVES</t>
        </is>
      </c>
      <c r="D675" t="n">
        <v>2</v>
      </c>
      <c r="E675" t="n">
        <v>1</v>
      </c>
      <c r="F675" t="inlineStr">
        <is>
          <t>ENFASIS</t>
        </is>
      </c>
      <c r="G675" t="inlineStr"/>
      <c r="H675" t="inlineStr">
        <is>
          <t>MAT</t>
        </is>
      </c>
      <c r="I675" t="inlineStr">
        <is>
          <t>CS102</t>
        </is>
      </c>
      <c r="J675" t="inlineStr">
        <is>
          <t>PAREJA: comparten el énfasis y alternan por semana</t>
        </is>
      </c>
      <c r="K675" t="inlineStr">
        <is>
          <t>Aguirre Riascos Jorge Andrés (TEI)</t>
        </is>
      </c>
      <c r="L675" t="inlineStr">
        <is>
          <t>ÉNFASIS CS 1-2</t>
        </is>
      </c>
      <c r="M675" t="inlineStr">
        <is>
          <t>PAREJA: comparten el énfasis y alternan por semana · Con: Aguirre Riascos Jorge Andrés (TEI)</t>
        </is>
      </c>
      <c r="N675">
        <f>C675&amp;"|"&amp;D675</f>
        <v/>
      </c>
      <c r="O675">
        <f>COUNTIF($N$2:N675,N675)</f>
        <v/>
      </c>
      <c r="P675">
        <f>N675&amp;"|"&amp;O675</f>
        <v/>
      </c>
      <c r="Q675">
        <f>C675&amp;"|"&amp;D675&amp;"|"&amp;A675</f>
        <v/>
      </c>
    </row>
    <row r="676">
      <c r="A676" t="n">
        <v>57</v>
      </c>
      <c r="B676" t="inlineStr">
        <is>
          <t>Armero Dájome Jesús</t>
        </is>
      </c>
      <c r="C676" t="inlineStr">
        <is>
          <t>JUEVES</t>
        </is>
      </c>
      <c r="D676" t="n">
        <v>3</v>
      </c>
      <c r="E676" t="n">
        <v>2</v>
      </c>
      <c r="F676" t="inlineStr">
        <is>
          <t>CLASE</t>
        </is>
      </c>
      <c r="G676" t="inlineStr">
        <is>
          <t>0601</t>
        </is>
      </c>
      <c r="H676" t="inlineStr">
        <is>
          <t>ERD</t>
        </is>
      </c>
      <c r="I676" t="inlineStr"/>
      <c r="J676" t="inlineStr"/>
      <c r="K676" t="inlineStr"/>
      <c r="L676" t="inlineStr">
        <is>
          <t>6°-1</t>
        </is>
      </c>
      <c r="M676" t="inlineStr"/>
      <c r="N676">
        <f>C676&amp;"|"&amp;D676</f>
        <v/>
      </c>
      <c r="O676">
        <f>COUNTIF($N$2:N676,N676)</f>
        <v/>
      </c>
      <c r="P676">
        <f>N676&amp;"|"&amp;O676</f>
        <v/>
      </c>
      <c r="Q676">
        <f>C676&amp;"|"&amp;D676&amp;"|"&amp;A676</f>
        <v/>
      </c>
    </row>
    <row r="677">
      <c r="A677" t="n">
        <v>26</v>
      </c>
      <c r="B677" t="inlineStr">
        <is>
          <t>Lozano Torres Amanda Inés</t>
        </is>
      </c>
      <c r="C677" t="inlineStr">
        <is>
          <t>JUEVES</t>
        </is>
      </c>
      <c r="D677" t="n">
        <v>3</v>
      </c>
      <c r="E677" t="n">
        <v>2</v>
      </c>
      <c r="F677" t="inlineStr">
        <is>
          <t>CLASE</t>
        </is>
      </c>
      <c r="G677" t="inlineStr">
        <is>
          <t>0602</t>
        </is>
      </c>
      <c r="H677" t="inlineStr">
        <is>
          <t>ETR</t>
        </is>
      </c>
      <c r="I677" t="inlineStr"/>
      <c r="J677" t="inlineStr">
        <is>
          <t>Ética / Religión (alternan cada semana)</t>
        </is>
      </c>
      <c r="K677" t="inlineStr"/>
      <c r="L677" t="inlineStr">
        <is>
          <t>6°-2</t>
        </is>
      </c>
      <c r="M677" t="inlineStr">
        <is>
          <t>Ética / Religión (alternan cada semana)</t>
        </is>
      </c>
      <c r="N677">
        <f>C677&amp;"|"&amp;D677</f>
        <v/>
      </c>
      <c r="O677">
        <f>COUNTIF($N$2:N677,N677)</f>
        <v/>
      </c>
      <c r="P677">
        <f>N677&amp;"|"&amp;O677</f>
        <v/>
      </c>
      <c r="Q677">
        <f>C677&amp;"|"&amp;D677&amp;"|"&amp;A677</f>
        <v/>
      </c>
    </row>
    <row r="678">
      <c r="A678" t="n">
        <v>4</v>
      </c>
      <c r="B678" t="inlineStr">
        <is>
          <t>Arizala Castro Roberto Carlos</t>
        </is>
      </c>
      <c r="C678" t="inlineStr">
        <is>
          <t>JUEVES</t>
        </is>
      </c>
      <c r="D678" t="n">
        <v>3</v>
      </c>
      <c r="E678" t="n">
        <v>2</v>
      </c>
      <c r="F678" t="inlineStr">
        <is>
          <t>CLASE</t>
        </is>
      </c>
      <c r="G678" t="inlineStr">
        <is>
          <t>0701</t>
        </is>
      </c>
      <c r="H678" t="inlineStr">
        <is>
          <t>ERD</t>
        </is>
      </c>
      <c r="I678" t="inlineStr"/>
      <c r="J678" t="inlineStr"/>
      <c r="K678" t="inlineStr"/>
      <c r="L678" t="inlineStr">
        <is>
          <t>7°-1</t>
        </is>
      </c>
      <c r="M678" t="inlineStr"/>
      <c r="N678">
        <f>C678&amp;"|"&amp;D678</f>
        <v/>
      </c>
      <c r="O678">
        <f>COUNTIF($N$2:N678,N678)</f>
        <v/>
      </c>
      <c r="P678">
        <f>N678&amp;"|"&amp;O678</f>
        <v/>
      </c>
      <c r="Q678">
        <f>C678&amp;"|"&amp;D678&amp;"|"&amp;A678</f>
        <v/>
      </c>
    </row>
    <row r="679">
      <c r="A679" t="n">
        <v>52</v>
      </c>
      <c r="B679" t="inlineStr">
        <is>
          <t>Vásquez Valencia Segundo Leoncio</t>
        </is>
      </c>
      <c r="C679" t="inlineStr">
        <is>
          <t>JUEVES</t>
        </is>
      </c>
      <c r="D679" t="n">
        <v>3</v>
      </c>
      <c r="E679" t="n">
        <v>2</v>
      </c>
      <c r="F679" t="inlineStr">
        <is>
          <t>CLASE</t>
        </is>
      </c>
      <c r="G679" t="inlineStr">
        <is>
          <t>0702</t>
        </is>
      </c>
      <c r="H679" t="inlineStr">
        <is>
          <t>MAT</t>
        </is>
      </c>
      <c r="I679" t="inlineStr"/>
      <c r="J679" t="inlineStr"/>
      <c r="K679" t="inlineStr"/>
      <c r="L679" t="inlineStr">
        <is>
          <t>7°-2</t>
        </is>
      </c>
      <c r="M679" t="inlineStr"/>
      <c r="N679">
        <f>C679&amp;"|"&amp;D679</f>
        <v/>
      </c>
      <c r="O679">
        <f>COUNTIF($N$2:N679,N679)</f>
        <v/>
      </c>
      <c r="P679">
        <f>N679&amp;"|"&amp;O679</f>
        <v/>
      </c>
      <c r="Q679">
        <f>C679&amp;"|"&amp;D679&amp;"|"&amp;A679</f>
        <v/>
      </c>
    </row>
    <row r="680">
      <c r="A680" t="n">
        <v>41</v>
      </c>
      <c r="B680" t="inlineStr">
        <is>
          <t>Quintero Ramírez María del Carmen</t>
        </is>
      </c>
      <c r="C680" t="inlineStr">
        <is>
          <t>JUEVES</t>
        </is>
      </c>
      <c r="D680" t="n">
        <v>3</v>
      </c>
      <c r="E680" t="n">
        <v>2</v>
      </c>
      <c r="F680" t="inlineStr">
        <is>
          <t>CLASE</t>
        </is>
      </c>
      <c r="G680" t="inlineStr">
        <is>
          <t>0703</t>
        </is>
      </c>
      <c r="H680" t="inlineStr">
        <is>
          <t>CSI</t>
        </is>
      </c>
      <c r="I680" t="inlineStr"/>
      <c r="J680" t="inlineStr">
        <is>
          <t>Sociales / Inglés (alternan cada semana)</t>
        </is>
      </c>
      <c r="K680" t="inlineStr"/>
      <c r="L680" t="inlineStr">
        <is>
          <t>7°-3</t>
        </is>
      </c>
      <c r="M680" t="inlineStr">
        <is>
          <t>Sociales / Inglés (alternan cada semana)</t>
        </is>
      </c>
      <c r="N680">
        <f>C680&amp;"|"&amp;D680</f>
        <v/>
      </c>
      <c r="O680">
        <f>COUNTIF($N$2:N680,N680)</f>
        <v/>
      </c>
      <c r="P680">
        <f>N680&amp;"|"&amp;O680</f>
        <v/>
      </c>
      <c r="Q680">
        <f>C680&amp;"|"&amp;D680&amp;"|"&amp;A680</f>
        <v/>
      </c>
    </row>
    <row r="681">
      <c r="A681" t="n">
        <v>8</v>
      </c>
      <c r="B681" t="inlineStr">
        <is>
          <t>Casanova Quiñones Yoli del Carmen</t>
        </is>
      </c>
      <c r="C681" t="inlineStr">
        <is>
          <t>JUEVES</t>
        </is>
      </c>
      <c r="D681" t="n">
        <v>3</v>
      </c>
      <c r="E681" t="n">
        <v>2</v>
      </c>
      <c r="F681" t="inlineStr">
        <is>
          <t>CLASE</t>
        </is>
      </c>
      <c r="G681" t="inlineStr">
        <is>
          <t>0704</t>
        </is>
      </c>
      <c r="H681" t="inlineStr">
        <is>
          <t>ETR</t>
        </is>
      </c>
      <c r="I681" t="inlineStr"/>
      <c r="J681" t="inlineStr">
        <is>
          <t>Ética / Religión (alternan cada semana)</t>
        </is>
      </c>
      <c r="K681" t="inlineStr"/>
      <c r="L681" t="inlineStr">
        <is>
          <t>7°-4</t>
        </is>
      </c>
      <c r="M681" t="inlineStr">
        <is>
          <t>Ética / Religión (alternan cada semana)</t>
        </is>
      </c>
      <c r="N681">
        <f>C681&amp;"|"&amp;D681</f>
        <v/>
      </c>
      <c r="O681">
        <f>COUNTIF($N$2:N681,N681)</f>
        <v/>
      </c>
      <c r="P681">
        <f>N681&amp;"|"&amp;O681</f>
        <v/>
      </c>
      <c r="Q681">
        <f>C681&amp;"|"&amp;D681&amp;"|"&amp;A681</f>
        <v/>
      </c>
    </row>
    <row r="682">
      <c r="A682" t="n">
        <v>44</v>
      </c>
      <c r="B682" t="inlineStr">
        <is>
          <t>Samaniego Angulo Flor Mireya</t>
        </is>
      </c>
      <c r="C682" t="inlineStr">
        <is>
          <t>JUEVES</t>
        </is>
      </c>
      <c r="D682" t="n">
        <v>3</v>
      </c>
      <c r="E682" t="n">
        <v>2</v>
      </c>
      <c r="F682" t="inlineStr">
        <is>
          <t>CLASE</t>
        </is>
      </c>
      <c r="G682" t="inlineStr">
        <is>
          <t>0801</t>
        </is>
      </c>
      <c r="H682" t="inlineStr">
        <is>
          <t>ART</t>
        </is>
      </c>
      <c r="I682" t="inlineStr"/>
      <c r="J682" t="inlineStr"/>
      <c r="K682" t="inlineStr"/>
      <c r="L682" t="inlineStr">
        <is>
          <t>8°-1</t>
        </is>
      </c>
      <c r="M682" t="inlineStr"/>
      <c r="N682">
        <f>C682&amp;"|"&amp;D682</f>
        <v/>
      </c>
      <c r="O682">
        <f>COUNTIF($N$2:N682,N682)</f>
        <v/>
      </c>
      <c r="P682">
        <f>N682&amp;"|"&amp;O682</f>
        <v/>
      </c>
      <c r="Q682">
        <f>C682&amp;"|"&amp;D682&amp;"|"&amp;A682</f>
        <v/>
      </c>
    </row>
    <row r="683">
      <c r="A683" t="n">
        <v>15</v>
      </c>
      <c r="B683" t="inlineStr">
        <is>
          <t>Cuero Bamba Berte Levi</t>
        </is>
      </c>
      <c r="C683" t="inlineStr">
        <is>
          <t>JUEVES</t>
        </is>
      </c>
      <c r="D683" t="n">
        <v>3</v>
      </c>
      <c r="E683" t="n">
        <v>2</v>
      </c>
      <c r="F683" t="inlineStr">
        <is>
          <t>CLASE</t>
        </is>
      </c>
      <c r="G683" t="inlineStr">
        <is>
          <t>0802</t>
        </is>
      </c>
      <c r="H683" t="inlineStr">
        <is>
          <t>ERD</t>
        </is>
      </c>
      <c r="I683" t="inlineStr"/>
      <c r="J683" t="inlineStr"/>
      <c r="K683" t="inlineStr"/>
      <c r="L683" t="inlineStr">
        <is>
          <t>8°-2</t>
        </is>
      </c>
      <c r="M683" t="inlineStr"/>
      <c r="N683">
        <f>C683&amp;"|"&amp;D683</f>
        <v/>
      </c>
      <c r="O683">
        <f>COUNTIF($N$2:N683,N683)</f>
        <v/>
      </c>
      <c r="P683">
        <f>N683&amp;"|"&amp;O683</f>
        <v/>
      </c>
      <c r="Q683">
        <f>C683&amp;"|"&amp;D683&amp;"|"&amp;A683</f>
        <v/>
      </c>
    </row>
    <row r="684">
      <c r="A684" t="n">
        <v>5</v>
      </c>
      <c r="B684" t="inlineStr">
        <is>
          <t>Bastidas Valencia Zeneida Judith</t>
        </is>
      </c>
      <c r="C684" t="inlineStr">
        <is>
          <t>JUEVES</t>
        </is>
      </c>
      <c r="D684" t="n">
        <v>3</v>
      </c>
      <c r="E684" t="n">
        <v>2</v>
      </c>
      <c r="F684" t="inlineStr">
        <is>
          <t>CLASE</t>
        </is>
      </c>
      <c r="G684" t="inlineStr">
        <is>
          <t>0901</t>
        </is>
      </c>
      <c r="H684" t="inlineStr">
        <is>
          <t>MAT</t>
        </is>
      </c>
      <c r="I684" t="inlineStr"/>
      <c r="J684" t="inlineStr"/>
      <c r="K684" t="inlineStr"/>
      <c r="L684" t="inlineStr">
        <is>
          <t>9°-1</t>
        </is>
      </c>
      <c r="M684" t="inlineStr"/>
      <c r="N684">
        <f>C684&amp;"|"&amp;D684</f>
        <v/>
      </c>
      <c r="O684">
        <f>COUNTIF($N$2:N684,N684)</f>
        <v/>
      </c>
      <c r="P684">
        <f>N684&amp;"|"&amp;O684</f>
        <v/>
      </c>
      <c r="Q684">
        <f>C684&amp;"|"&amp;D684&amp;"|"&amp;A684</f>
        <v/>
      </c>
    </row>
    <row r="685">
      <c r="A685" t="n">
        <v>28</v>
      </c>
      <c r="B685" t="inlineStr">
        <is>
          <t>Meza Banguera Gladys Alicia</t>
        </is>
      </c>
      <c r="C685" t="inlineStr">
        <is>
          <t>JUEVES</t>
        </is>
      </c>
      <c r="D685" t="n">
        <v>3</v>
      </c>
      <c r="E685" t="n">
        <v>2</v>
      </c>
      <c r="F685" t="inlineStr">
        <is>
          <t>CLASE</t>
        </is>
      </c>
      <c r="G685" t="inlineStr">
        <is>
          <t>0902</t>
        </is>
      </c>
      <c r="H685" t="inlineStr">
        <is>
          <t>CAS</t>
        </is>
      </c>
      <c r="I685" t="inlineStr"/>
      <c r="J685" t="inlineStr"/>
      <c r="K685" t="inlineStr"/>
      <c r="L685" t="inlineStr">
        <is>
          <t>9°-2</t>
        </is>
      </c>
      <c r="M685" t="inlineStr"/>
      <c r="N685">
        <f>C685&amp;"|"&amp;D685</f>
        <v/>
      </c>
      <c r="O685">
        <f>COUNTIF($N$2:N685,N685)</f>
        <v/>
      </c>
      <c r="P685">
        <f>N685&amp;"|"&amp;O685</f>
        <v/>
      </c>
      <c r="Q685">
        <f>C685&amp;"|"&amp;D685&amp;"|"&amp;A685</f>
        <v/>
      </c>
    </row>
    <row r="686">
      <c r="A686" t="n">
        <v>18</v>
      </c>
      <c r="B686" t="inlineStr">
        <is>
          <t>Estacio Estupiñán Rosario</t>
        </is>
      </c>
      <c r="C686" t="inlineStr">
        <is>
          <t>JUEVES</t>
        </is>
      </c>
      <c r="D686" t="n">
        <v>3</v>
      </c>
      <c r="E686" t="n">
        <v>2</v>
      </c>
      <c r="F686" t="inlineStr">
        <is>
          <t>CLASE</t>
        </is>
      </c>
      <c r="G686" t="inlineStr">
        <is>
          <t>1001</t>
        </is>
      </c>
      <c r="H686" t="inlineStr">
        <is>
          <t>ETR</t>
        </is>
      </c>
      <c r="I686" t="inlineStr"/>
      <c r="J686" t="inlineStr">
        <is>
          <t>Ética / Religión (alternan cada semana)</t>
        </is>
      </c>
      <c r="K686" t="inlineStr"/>
      <c r="L686" t="inlineStr">
        <is>
          <t>10°-1</t>
        </is>
      </c>
      <c r="M686" t="inlineStr">
        <is>
          <t>Ética / Religión (alternan cada semana)</t>
        </is>
      </c>
      <c r="N686">
        <f>C686&amp;"|"&amp;D686</f>
        <v/>
      </c>
      <c r="O686">
        <f>COUNTIF($N$2:N686,N686)</f>
        <v/>
      </c>
      <c r="P686">
        <f>N686&amp;"|"&amp;O686</f>
        <v/>
      </c>
      <c r="Q686">
        <f>C686&amp;"|"&amp;D686&amp;"|"&amp;A686</f>
        <v/>
      </c>
    </row>
    <row r="687">
      <c r="A687" t="n">
        <v>40</v>
      </c>
      <c r="B687" t="inlineStr">
        <is>
          <t>Pulgarín Ortiz César Marino</t>
        </is>
      </c>
      <c r="C687" t="inlineStr">
        <is>
          <t>JUEVES</t>
        </is>
      </c>
      <c r="D687" t="n">
        <v>3</v>
      </c>
      <c r="E687" t="n">
        <v>2</v>
      </c>
      <c r="F687" t="inlineStr">
        <is>
          <t>CLASE</t>
        </is>
      </c>
      <c r="G687" t="inlineStr">
        <is>
          <t>1002</t>
        </is>
      </c>
      <c r="H687" t="inlineStr">
        <is>
          <t>CSI</t>
        </is>
      </c>
      <c r="I687" t="inlineStr"/>
      <c r="J687" t="inlineStr">
        <is>
          <t>Sociales / Inglés (alternan cada semana)</t>
        </is>
      </c>
      <c r="K687" t="inlineStr"/>
      <c r="L687" t="inlineStr">
        <is>
          <t>10°-2</t>
        </is>
      </c>
      <c r="M687" t="inlineStr">
        <is>
          <t>Sociales / Inglés (alternan cada semana)</t>
        </is>
      </c>
      <c r="N687">
        <f>C687&amp;"|"&amp;D687</f>
        <v/>
      </c>
      <c r="O687">
        <f>COUNTIF($N$2:N687,N687)</f>
        <v/>
      </c>
      <c r="P687">
        <f>N687&amp;"|"&amp;O687</f>
        <v/>
      </c>
      <c r="Q687">
        <f>C687&amp;"|"&amp;D687&amp;"|"&amp;A687</f>
        <v/>
      </c>
    </row>
    <row r="688">
      <c r="A688" t="n">
        <v>54</v>
      </c>
      <c r="B688" t="inlineStr">
        <is>
          <t>Villota Rubio Janeth del Carmen</t>
        </is>
      </c>
      <c r="C688" t="inlineStr">
        <is>
          <t>JUEVES</t>
        </is>
      </c>
      <c r="D688" t="n">
        <v>3</v>
      </c>
      <c r="E688" t="n">
        <v>2</v>
      </c>
      <c r="F688" t="inlineStr">
        <is>
          <t>CLASE</t>
        </is>
      </c>
      <c r="G688" t="inlineStr">
        <is>
          <t>1102</t>
        </is>
      </c>
      <c r="H688" t="inlineStr">
        <is>
          <t>MAT</t>
        </is>
      </c>
      <c r="I688" t="inlineStr"/>
      <c r="J688" t="inlineStr"/>
      <c r="K688" t="inlineStr"/>
      <c r="L688" t="inlineStr">
        <is>
          <t>11°-2</t>
        </is>
      </c>
      <c r="M688" t="inlineStr"/>
      <c r="N688">
        <f>C688&amp;"|"&amp;D688</f>
        <v/>
      </c>
      <c r="O688">
        <f>COUNTIF($N$2:N688,N688)</f>
        <v/>
      </c>
      <c r="P688">
        <f>N688&amp;"|"&amp;O688</f>
        <v/>
      </c>
      <c r="Q688">
        <f>C688&amp;"|"&amp;D688&amp;"|"&amp;A688</f>
        <v/>
      </c>
    </row>
    <row r="689">
      <c r="A689" t="n">
        <v>37</v>
      </c>
      <c r="B689" t="inlineStr">
        <is>
          <t>Prado Quiñones Genís Maribel</t>
        </is>
      </c>
      <c r="C689" t="inlineStr">
        <is>
          <t>JUEVES</t>
        </is>
      </c>
      <c r="D689" t="n">
        <v>3</v>
      </c>
      <c r="E689" t="n">
        <v>2</v>
      </c>
      <c r="F689" t="inlineStr">
        <is>
          <t>CLASE</t>
        </is>
      </c>
      <c r="G689" t="inlineStr">
        <is>
          <t>CS101</t>
        </is>
      </c>
      <c r="H689" t="inlineStr">
        <is>
          <t>ART</t>
        </is>
      </c>
      <c r="I689" t="inlineStr"/>
      <c r="J689" t="inlineStr"/>
      <c r="K689" t="inlineStr"/>
      <c r="L689" t="inlineStr">
        <is>
          <t>CS 1-1</t>
        </is>
      </c>
      <c r="M689" t="inlineStr"/>
      <c r="N689">
        <f>C689&amp;"|"&amp;D689</f>
        <v/>
      </c>
      <c r="O689">
        <f>COUNTIF($N$2:N689,N689)</f>
        <v/>
      </c>
      <c r="P689">
        <f>N689&amp;"|"&amp;O689</f>
        <v/>
      </c>
      <c r="Q689">
        <f>C689&amp;"|"&amp;D689&amp;"|"&amp;A689</f>
        <v/>
      </c>
    </row>
    <row r="690">
      <c r="A690" t="n">
        <v>42</v>
      </c>
      <c r="B690" t="inlineStr">
        <is>
          <t>Quiñones Cabezas Marcos Vidal</t>
        </is>
      </c>
      <c r="C690" t="inlineStr">
        <is>
          <t>JUEVES</t>
        </is>
      </c>
      <c r="D690" t="n">
        <v>3</v>
      </c>
      <c r="E690" t="n">
        <v>2</v>
      </c>
      <c r="F690" t="inlineStr">
        <is>
          <t>CLASE</t>
        </is>
      </c>
      <c r="G690" t="inlineStr">
        <is>
          <t>CS102</t>
        </is>
      </c>
      <c r="H690" t="inlineStr">
        <is>
          <t>TEI</t>
        </is>
      </c>
      <c r="I690" t="inlineStr"/>
      <c r="J690" t="inlineStr"/>
      <c r="K690" t="inlineStr"/>
      <c r="L690" t="inlineStr">
        <is>
          <t>CS 1-2</t>
        </is>
      </c>
      <c r="M690" t="inlineStr"/>
      <c r="N690">
        <f>C690&amp;"|"&amp;D690</f>
        <v/>
      </c>
      <c r="O690">
        <f>COUNTIF($N$2:N690,N690)</f>
        <v/>
      </c>
      <c r="P690">
        <f>N690&amp;"|"&amp;O690</f>
        <v/>
      </c>
      <c r="Q690">
        <f>C690&amp;"|"&amp;D690&amp;"|"&amp;A690</f>
        <v/>
      </c>
    </row>
    <row r="691">
      <c r="A691" t="n">
        <v>9</v>
      </c>
      <c r="B691" t="inlineStr">
        <is>
          <t>Castillo Angulo Martha Cecilia</t>
        </is>
      </c>
      <c r="C691" t="inlineStr">
        <is>
          <t>JUEVES</t>
        </is>
      </c>
      <c r="D691" t="n">
        <v>3</v>
      </c>
      <c r="E691" t="n">
        <v>2</v>
      </c>
      <c r="F691" t="inlineStr">
        <is>
          <t>CLASE</t>
        </is>
      </c>
      <c r="G691" t="inlineStr">
        <is>
          <t>CS201</t>
        </is>
      </c>
      <c r="H691" t="inlineStr">
        <is>
          <t>ETR</t>
        </is>
      </c>
      <c r="I691" t="inlineStr"/>
      <c r="J691" t="inlineStr">
        <is>
          <t>Ética / Religión (alternan cada semana)</t>
        </is>
      </c>
      <c r="K691" t="inlineStr"/>
      <c r="L691" t="inlineStr">
        <is>
          <t>CS 2-1</t>
        </is>
      </c>
      <c r="M691" t="inlineStr">
        <is>
          <t>Ética / Religión (alternan cada semana)</t>
        </is>
      </c>
      <c r="N691">
        <f>C691&amp;"|"&amp;D691</f>
        <v/>
      </c>
      <c r="O691">
        <f>COUNTIF($N$2:N691,N691)</f>
        <v/>
      </c>
      <c r="P691">
        <f>N691&amp;"|"&amp;O691</f>
        <v/>
      </c>
      <c r="Q691">
        <f>C691&amp;"|"&amp;D691&amp;"|"&amp;A691</f>
        <v/>
      </c>
    </row>
    <row r="692">
      <c r="A692" t="n">
        <v>51</v>
      </c>
      <c r="B692" t="inlineStr">
        <is>
          <t>Valverde Montaño María Teresa</t>
        </is>
      </c>
      <c r="C692" t="inlineStr">
        <is>
          <t>JUEVES</t>
        </is>
      </c>
      <c r="D692" t="n">
        <v>3</v>
      </c>
      <c r="E692" t="n">
        <v>2</v>
      </c>
      <c r="F692" t="inlineStr">
        <is>
          <t>CLASE</t>
        </is>
      </c>
      <c r="G692" t="inlineStr">
        <is>
          <t>CS202</t>
        </is>
      </c>
      <c r="H692" t="inlineStr">
        <is>
          <t>CAS</t>
        </is>
      </c>
      <c r="I692" t="inlineStr"/>
      <c r="J692" t="inlineStr"/>
      <c r="K692" t="inlineStr"/>
      <c r="L692" t="inlineStr">
        <is>
          <t>CS 2-2</t>
        </is>
      </c>
      <c r="M692" t="inlineStr"/>
      <c r="N692">
        <f>C692&amp;"|"&amp;D692</f>
        <v/>
      </c>
      <c r="O692">
        <f>COUNTIF($N$2:N692,N692)</f>
        <v/>
      </c>
      <c r="P692">
        <f>N692&amp;"|"&amp;O692</f>
        <v/>
      </c>
      <c r="Q692">
        <f>C692&amp;"|"&amp;D692&amp;"|"&amp;A692</f>
        <v/>
      </c>
    </row>
    <row r="693">
      <c r="A693" t="n">
        <v>3</v>
      </c>
      <c r="B693" t="inlineStr">
        <is>
          <t>Arboleda Ortiz Luz América</t>
        </is>
      </c>
      <c r="C693" t="inlineStr">
        <is>
          <t>JUEVES</t>
        </is>
      </c>
      <c r="D693" t="n">
        <v>3</v>
      </c>
      <c r="E693" t="n">
        <v>2</v>
      </c>
      <c r="F693" t="inlineStr">
        <is>
          <t>ENFASIS</t>
        </is>
      </c>
      <c r="G693" t="inlineStr"/>
      <c r="H693" t="inlineStr">
        <is>
          <t>ART</t>
        </is>
      </c>
      <c r="I693" t="inlineStr">
        <is>
          <t>1101</t>
        </is>
      </c>
      <c r="J693" t="inlineStr">
        <is>
          <t>EQUIPO DE 4: cada docente atiende un grupo de estudiantes en su área</t>
        </is>
      </c>
      <c r="K693" t="inlineStr">
        <is>
          <t>Montaño Anchico Favio Héctor (CAS); Ramírez Guerra Jimmy Eduardo (ERD); Villota Rubio Héctor Hugo (CNA)</t>
        </is>
      </c>
      <c r="L693" t="inlineStr">
        <is>
          <t>ÉNFASIS 11°-1</t>
        </is>
      </c>
      <c r="M693" t="inlineStr">
        <is>
          <t>EQUIPO DE 4: cada docente atiende un grupo de estudiantes en su área · Con: Montaño Anchico Favio Héctor (CAS); Ramírez Guerra Jimmy Eduardo (ERD); Villota Rubio Héctor Hugo (CNA)</t>
        </is>
      </c>
      <c r="N693">
        <f>C693&amp;"|"&amp;D693</f>
        <v/>
      </c>
      <c r="O693">
        <f>COUNTIF($N$2:N693,N693)</f>
        <v/>
      </c>
      <c r="P693">
        <f>N693&amp;"|"&amp;O693</f>
        <v/>
      </c>
      <c r="Q693">
        <f>C693&amp;"|"&amp;D693&amp;"|"&amp;A693</f>
        <v/>
      </c>
    </row>
    <row r="694">
      <c r="A694" t="n">
        <v>30</v>
      </c>
      <c r="B694" t="inlineStr">
        <is>
          <t>Montaño Anchico Favio Héctor</t>
        </is>
      </c>
      <c r="C694" t="inlineStr">
        <is>
          <t>JUEVES</t>
        </is>
      </c>
      <c r="D694" t="n">
        <v>3</v>
      </c>
      <c r="E694" t="n">
        <v>2</v>
      </c>
      <c r="F694" t="inlineStr">
        <is>
          <t>ENFASIS</t>
        </is>
      </c>
      <c r="G694" t="inlineStr"/>
      <c r="H694" t="inlineStr">
        <is>
          <t>CAS</t>
        </is>
      </c>
      <c r="I694" t="inlineStr">
        <is>
          <t>1101</t>
        </is>
      </c>
      <c r="J694" t="inlineStr">
        <is>
          <t>EQUIPO DE 4: cada docente atiende un grupo de estudiantes en su área</t>
        </is>
      </c>
      <c r="K694" t="inlineStr">
        <is>
          <t>Arboleda Ortiz Luz América (ART); Ramírez Guerra Jimmy Eduardo (ERD); Villota Rubio Héctor Hugo (CNA)</t>
        </is>
      </c>
      <c r="L694" t="inlineStr">
        <is>
          <t>ÉNFASIS 11°-1</t>
        </is>
      </c>
      <c r="M694" t="inlineStr">
        <is>
          <t>EQUIPO DE 4: cada docente atiende un grupo de estudiantes en su área · Con: Arboleda Ortiz Luz América (ART); Ramírez Guerra Jimmy Eduardo (ERD); Villota Rubio Héctor Hugo (CNA)</t>
        </is>
      </c>
      <c r="N694">
        <f>C694&amp;"|"&amp;D694</f>
        <v/>
      </c>
      <c r="O694">
        <f>COUNTIF($N$2:N694,N694)</f>
        <v/>
      </c>
      <c r="P694">
        <f>N694&amp;"|"&amp;O694</f>
        <v/>
      </c>
      <c r="Q694">
        <f>C694&amp;"|"&amp;D694&amp;"|"&amp;A694</f>
        <v/>
      </c>
    </row>
    <row r="695">
      <c r="A695" t="n">
        <v>43</v>
      </c>
      <c r="B695" t="inlineStr">
        <is>
          <t>Ramírez Guerra Jimmy Eduardo</t>
        </is>
      </c>
      <c r="C695" t="inlineStr">
        <is>
          <t>JUEVES</t>
        </is>
      </c>
      <c r="D695" t="n">
        <v>3</v>
      </c>
      <c r="E695" t="n">
        <v>2</v>
      </c>
      <c r="F695" t="inlineStr">
        <is>
          <t>ENFASIS</t>
        </is>
      </c>
      <c r="G695" t="inlineStr"/>
      <c r="H695" t="inlineStr">
        <is>
          <t>ERD</t>
        </is>
      </c>
      <c r="I695" t="inlineStr">
        <is>
          <t>1101</t>
        </is>
      </c>
      <c r="J695" t="inlineStr">
        <is>
          <t>EQUIPO DE 4: cada docente atiende un grupo de estudiantes en su área</t>
        </is>
      </c>
      <c r="K695" t="inlineStr">
        <is>
          <t>Arboleda Ortiz Luz América (ART); Montaño Anchico Favio Héctor (CAS); Villota Rubio Héctor Hugo (CNA)</t>
        </is>
      </c>
      <c r="L695" t="inlineStr">
        <is>
          <t>ÉNFASIS 11°-1</t>
        </is>
      </c>
      <c r="M695" t="inlineStr">
        <is>
          <t>EQUIPO DE 4: cada docente atiende un grupo de estudiantes en su área · Con: Arboleda Ortiz Luz América (ART); Montaño Anchico Favio Héctor (CAS); Villota Rubio Héctor Hugo (CNA)</t>
        </is>
      </c>
      <c r="N695">
        <f>C695&amp;"|"&amp;D695</f>
        <v/>
      </c>
      <c r="O695">
        <f>COUNTIF($N$2:N695,N695)</f>
        <v/>
      </c>
      <c r="P695">
        <f>N695&amp;"|"&amp;O695</f>
        <v/>
      </c>
      <c r="Q695">
        <f>C695&amp;"|"&amp;D695&amp;"|"&amp;A695</f>
        <v/>
      </c>
    </row>
    <row r="696">
      <c r="A696" t="n">
        <v>53</v>
      </c>
      <c r="B696" t="inlineStr">
        <is>
          <t>Villota Rubio Héctor Hugo</t>
        </is>
      </c>
      <c r="C696" t="inlineStr">
        <is>
          <t>JUEVES</t>
        </is>
      </c>
      <c r="D696" t="n">
        <v>3</v>
      </c>
      <c r="E696" t="n">
        <v>2</v>
      </c>
      <c r="F696" t="inlineStr">
        <is>
          <t>ENFASIS</t>
        </is>
      </c>
      <c r="G696" t="inlineStr"/>
      <c r="H696" t="inlineStr">
        <is>
          <t>CNA</t>
        </is>
      </c>
      <c r="I696" t="inlineStr">
        <is>
          <t>1101</t>
        </is>
      </c>
      <c r="J696" t="inlineStr">
        <is>
          <t>EQUIPO DE 4: cada docente atiende un grupo de estudiantes en su área</t>
        </is>
      </c>
      <c r="K696" t="inlineStr">
        <is>
          <t>Arboleda Ortiz Luz América (ART); Montaño Anchico Favio Héctor (CAS); Ramírez Guerra Jimmy Eduardo (ERD)</t>
        </is>
      </c>
      <c r="L696" t="inlineStr">
        <is>
          <t>ÉNFASIS 11°-1</t>
        </is>
      </c>
      <c r="M696" t="inlineStr">
        <is>
          <t>EQUIPO DE 4: cada docente atiende un grupo de estudiantes en su área · Con: Arboleda Ortiz Luz América (ART); Montaño Anchico Favio Héctor (CAS); Ramírez Guerra Jimmy Eduardo (ERD)</t>
        </is>
      </c>
      <c r="N696">
        <f>C696&amp;"|"&amp;D696</f>
        <v/>
      </c>
      <c r="O696">
        <f>COUNTIF($N$2:N696,N696)</f>
        <v/>
      </c>
      <c r="P696">
        <f>N696&amp;"|"&amp;O696</f>
        <v/>
      </c>
      <c r="Q696">
        <f>C696&amp;"|"&amp;D696&amp;"|"&amp;A696</f>
        <v/>
      </c>
    </row>
    <row r="697">
      <c r="A697" t="n">
        <v>57</v>
      </c>
      <c r="B697" t="inlineStr">
        <is>
          <t>Armero Dájome Jesús</t>
        </is>
      </c>
      <c r="C697" t="inlineStr">
        <is>
          <t>JUEVES</t>
        </is>
      </c>
      <c r="D697" t="n">
        <v>4</v>
      </c>
      <c r="E697" t="n">
        <v>2</v>
      </c>
      <c r="F697" t="inlineStr">
        <is>
          <t>CLASE</t>
        </is>
      </c>
      <c r="G697" t="inlineStr">
        <is>
          <t>0601</t>
        </is>
      </c>
      <c r="H697" t="inlineStr">
        <is>
          <t>ERD</t>
        </is>
      </c>
      <c r="I697" t="inlineStr"/>
      <c r="J697" t="inlineStr"/>
      <c r="K697" t="inlineStr"/>
      <c r="L697" t="inlineStr">
        <is>
          <t>6°-1</t>
        </is>
      </c>
      <c r="M697" t="inlineStr"/>
      <c r="N697">
        <f>C697&amp;"|"&amp;D697</f>
        <v/>
      </c>
      <c r="O697">
        <f>COUNTIF($N$2:N697,N697)</f>
        <v/>
      </c>
      <c r="P697">
        <f>N697&amp;"|"&amp;O697</f>
        <v/>
      </c>
      <c r="Q697">
        <f>C697&amp;"|"&amp;D697&amp;"|"&amp;A697</f>
        <v/>
      </c>
    </row>
    <row r="698">
      <c r="A698" t="n">
        <v>26</v>
      </c>
      <c r="B698" t="inlineStr">
        <is>
          <t>Lozano Torres Amanda Inés</t>
        </is>
      </c>
      <c r="C698" t="inlineStr">
        <is>
          <t>JUEVES</t>
        </is>
      </c>
      <c r="D698" t="n">
        <v>4</v>
      </c>
      <c r="E698" t="n">
        <v>2</v>
      </c>
      <c r="F698" t="inlineStr">
        <is>
          <t>CLASE</t>
        </is>
      </c>
      <c r="G698" t="inlineStr">
        <is>
          <t>0602</t>
        </is>
      </c>
      <c r="H698" t="inlineStr">
        <is>
          <t>ETR</t>
        </is>
      </c>
      <c r="I698" t="inlineStr"/>
      <c r="J698" t="inlineStr">
        <is>
          <t>Ética / Religión (alternan cada semana)</t>
        </is>
      </c>
      <c r="K698" t="inlineStr"/>
      <c r="L698" t="inlineStr">
        <is>
          <t>6°-2</t>
        </is>
      </c>
      <c r="M698" t="inlineStr">
        <is>
          <t>Ética / Religión (alternan cada semana)</t>
        </is>
      </c>
      <c r="N698">
        <f>C698&amp;"|"&amp;D698</f>
        <v/>
      </c>
      <c r="O698">
        <f>COUNTIF($N$2:N698,N698)</f>
        <v/>
      </c>
      <c r="P698">
        <f>N698&amp;"|"&amp;O698</f>
        <v/>
      </c>
      <c r="Q698">
        <f>C698&amp;"|"&amp;D698&amp;"|"&amp;A698</f>
        <v/>
      </c>
    </row>
    <row r="699">
      <c r="A699" t="n">
        <v>4</v>
      </c>
      <c r="B699" t="inlineStr">
        <is>
          <t>Arizala Castro Roberto Carlos</t>
        </is>
      </c>
      <c r="C699" t="inlineStr">
        <is>
          <t>JUEVES</t>
        </is>
      </c>
      <c r="D699" t="n">
        <v>4</v>
      </c>
      <c r="E699" t="n">
        <v>2</v>
      </c>
      <c r="F699" t="inlineStr">
        <is>
          <t>CLASE</t>
        </is>
      </c>
      <c r="G699" t="inlineStr">
        <is>
          <t>0701</t>
        </is>
      </c>
      <c r="H699" t="inlineStr">
        <is>
          <t>ERD</t>
        </is>
      </c>
      <c r="I699" t="inlineStr"/>
      <c r="J699" t="inlineStr"/>
      <c r="K699" t="inlineStr"/>
      <c r="L699" t="inlineStr">
        <is>
          <t>7°-1</t>
        </is>
      </c>
      <c r="M699" t="inlineStr"/>
      <c r="N699">
        <f>C699&amp;"|"&amp;D699</f>
        <v/>
      </c>
      <c r="O699">
        <f>COUNTIF($N$2:N699,N699)</f>
        <v/>
      </c>
      <c r="P699">
        <f>N699&amp;"|"&amp;O699</f>
        <v/>
      </c>
      <c r="Q699">
        <f>C699&amp;"|"&amp;D699&amp;"|"&amp;A699</f>
        <v/>
      </c>
    </row>
    <row r="700">
      <c r="A700" t="n">
        <v>52</v>
      </c>
      <c r="B700" t="inlineStr">
        <is>
          <t>Vásquez Valencia Segundo Leoncio</t>
        </is>
      </c>
      <c r="C700" t="inlineStr">
        <is>
          <t>JUEVES</t>
        </is>
      </c>
      <c r="D700" t="n">
        <v>4</v>
      </c>
      <c r="E700" t="n">
        <v>2</v>
      </c>
      <c r="F700" t="inlineStr">
        <is>
          <t>CLASE</t>
        </is>
      </c>
      <c r="G700" t="inlineStr">
        <is>
          <t>0702</t>
        </is>
      </c>
      <c r="H700" t="inlineStr">
        <is>
          <t>MAT</t>
        </is>
      </c>
      <c r="I700" t="inlineStr"/>
      <c r="J700" t="inlineStr"/>
      <c r="K700" t="inlineStr"/>
      <c r="L700" t="inlineStr">
        <is>
          <t>7°-2</t>
        </is>
      </c>
      <c r="M700" t="inlineStr"/>
      <c r="N700">
        <f>C700&amp;"|"&amp;D700</f>
        <v/>
      </c>
      <c r="O700">
        <f>COUNTIF($N$2:N700,N700)</f>
        <v/>
      </c>
      <c r="P700">
        <f>N700&amp;"|"&amp;O700</f>
        <v/>
      </c>
      <c r="Q700">
        <f>C700&amp;"|"&amp;D700&amp;"|"&amp;A700</f>
        <v/>
      </c>
    </row>
    <row r="701">
      <c r="A701" t="n">
        <v>41</v>
      </c>
      <c r="B701" t="inlineStr">
        <is>
          <t>Quintero Ramírez María del Carmen</t>
        </is>
      </c>
      <c r="C701" t="inlineStr">
        <is>
          <t>JUEVES</t>
        </is>
      </c>
      <c r="D701" t="n">
        <v>4</v>
      </c>
      <c r="E701" t="n">
        <v>2</v>
      </c>
      <c r="F701" t="inlineStr">
        <is>
          <t>CLASE</t>
        </is>
      </c>
      <c r="G701" t="inlineStr">
        <is>
          <t>0703</t>
        </is>
      </c>
      <c r="H701" t="inlineStr">
        <is>
          <t>CSI</t>
        </is>
      </c>
      <c r="I701" t="inlineStr"/>
      <c r="J701" t="inlineStr">
        <is>
          <t>Sociales / Inglés (alternan cada semana)</t>
        </is>
      </c>
      <c r="K701" t="inlineStr"/>
      <c r="L701" t="inlineStr">
        <is>
          <t>7°-3</t>
        </is>
      </c>
      <c r="M701" t="inlineStr">
        <is>
          <t>Sociales / Inglés (alternan cada semana)</t>
        </is>
      </c>
      <c r="N701">
        <f>C701&amp;"|"&amp;D701</f>
        <v/>
      </c>
      <c r="O701">
        <f>COUNTIF($N$2:N701,N701)</f>
        <v/>
      </c>
      <c r="P701">
        <f>N701&amp;"|"&amp;O701</f>
        <v/>
      </c>
      <c r="Q701">
        <f>C701&amp;"|"&amp;D701&amp;"|"&amp;A701</f>
        <v/>
      </c>
    </row>
    <row r="702">
      <c r="A702" t="n">
        <v>8</v>
      </c>
      <c r="B702" t="inlineStr">
        <is>
          <t>Casanova Quiñones Yoli del Carmen</t>
        </is>
      </c>
      <c r="C702" t="inlineStr">
        <is>
          <t>JUEVES</t>
        </is>
      </c>
      <c r="D702" t="n">
        <v>4</v>
      </c>
      <c r="E702" t="n">
        <v>2</v>
      </c>
      <c r="F702" t="inlineStr">
        <is>
          <t>CLASE</t>
        </is>
      </c>
      <c r="G702" t="inlineStr">
        <is>
          <t>0704</t>
        </is>
      </c>
      <c r="H702" t="inlineStr">
        <is>
          <t>ETR</t>
        </is>
      </c>
      <c r="I702" t="inlineStr"/>
      <c r="J702" t="inlineStr">
        <is>
          <t>Ética / Religión (alternan cada semana)</t>
        </is>
      </c>
      <c r="K702" t="inlineStr"/>
      <c r="L702" t="inlineStr">
        <is>
          <t>7°-4</t>
        </is>
      </c>
      <c r="M702" t="inlineStr">
        <is>
          <t>Ética / Religión (alternan cada semana)</t>
        </is>
      </c>
      <c r="N702">
        <f>C702&amp;"|"&amp;D702</f>
        <v/>
      </c>
      <c r="O702">
        <f>COUNTIF($N$2:N702,N702)</f>
        <v/>
      </c>
      <c r="P702">
        <f>N702&amp;"|"&amp;O702</f>
        <v/>
      </c>
      <c r="Q702">
        <f>C702&amp;"|"&amp;D702&amp;"|"&amp;A702</f>
        <v/>
      </c>
    </row>
    <row r="703">
      <c r="A703" t="n">
        <v>44</v>
      </c>
      <c r="B703" t="inlineStr">
        <is>
          <t>Samaniego Angulo Flor Mireya</t>
        </is>
      </c>
      <c r="C703" t="inlineStr">
        <is>
          <t>JUEVES</t>
        </is>
      </c>
      <c r="D703" t="n">
        <v>4</v>
      </c>
      <c r="E703" t="n">
        <v>2</v>
      </c>
      <c r="F703" t="inlineStr">
        <is>
          <t>CLASE</t>
        </is>
      </c>
      <c r="G703" t="inlineStr">
        <is>
          <t>0801</t>
        </is>
      </c>
      <c r="H703" t="inlineStr">
        <is>
          <t>ART</t>
        </is>
      </c>
      <c r="I703" t="inlineStr"/>
      <c r="J703" t="inlineStr"/>
      <c r="K703" t="inlineStr"/>
      <c r="L703" t="inlineStr">
        <is>
          <t>8°-1</t>
        </is>
      </c>
      <c r="M703" t="inlineStr"/>
      <c r="N703">
        <f>C703&amp;"|"&amp;D703</f>
        <v/>
      </c>
      <c r="O703">
        <f>COUNTIF($N$2:N703,N703)</f>
        <v/>
      </c>
      <c r="P703">
        <f>N703&amp;"|"&amp;O703</f>
        <v/>
      </c>
      <c r="Q703">
        <f>C703&amp;"|"&amp;D703&amp;"|"&amp;A703</f>
        <v/>
      </c>
    </row>
    <row r="704">
      <c r="A704" t="n">
        <v>15</v>
      </c>
      <c r="B704" t="inlineStr">
        <is>
          <t>Cuero Bamba Berte Levi</t>
        </is>
      </c>
      <c r="C704" t="inlineStr">
        <is>
          <t>JUEVES</t>
        </is>
      </c>
      <c r="D704" t="n">
        <v>4</v>
      </c>
      <c r="E704" t="n">
        <v>2</v>
      </c>
      <c r="F704" t="inlineStr">
        <is>
          <t>CLASE</t>
        </is>
      </c>
      <c r="G704" t="inlineStr">
        <is>
          <t>0802</t>
        </is>
      </c>
      <c r="H704" t="inlineStr">
        <is>
          <t>ERD</t>
        </is>
      </c>
      <c r="I704" t="inlineStr"/>
      <c r="J704" t="inlineStr"/>
      <c r="K704" t="inlineStr"/>
      <c r="L704" t="inlineStr">
        <is>
          <t>8°-2</t>
        </is>
      </c>
      <c r="M704" t="inlineStr"/>
      <c r="N704">
        <f>C704&amp;"|"&amp;D704</f>
        <v/>
      </c>
      <c r="O704">
        <f>COUNTIF($N$2:N704,N704)</f>
        <v/>
      </c>
      <c r="P704">
        <f>N704&amp;"|"&amp;O704</f>
        <v/>
      </c>
      <c r="Q704">
        <f>C704&amp;"|"&amp;D704&amp;"|"&amp;A704</f>
        <v/>
      </c>
    </row>
    <row r="705">
      <c r="A705" t="n">
        <v>5</v>
      </c>
      <c r="B705" t="inlineStr">
        <is>
          <t>Bastidas Valencia Zeneida Judith</t>
        </is>
      </c>
      <c r="C705" t="inlineStr">
        <is>
          <t>JUEVES</t>
        </is>
      </c>
      <c r="D705" t="n">
        <v>4</v>
      </c>
      <c r="E705" t="n">
        <v>2</v>
      </c>
      <c r="F705" t="inlineStr">
        <is>
          <t>CLASE</t>
        </is>
      </c>
      <c r="G705" t="inlineStr">
        <is>
          <t>0901</t>
        </is>
      </c>
      <c r="H705" t="inlineStr">
        <is>
          <t>MAT</t>
        </is>
      </c>
      <c r="I705" t="inlineStr"/>
      <c r="J705" t="inlineStr"/>
      <c r="K705" t="inlineStr"/>
      <c r="L705" t="inlineStr">
        <is>
          <t>9°-1</t>
        </is>
      </c>
      <c r="M705" t="inlineStr"/>
      <c r="N705">
        <f>C705&amp;"|"&amp;D705</f>
        <v/>
      </c>
      <c r="O705">
        <f>COUNTIF($N$2:N705,N705)</f>
        <v/>
      </c>
      <c r="P705">
        <f>N705&amp;"|"&amp;O705</f>
        <v/>
      </c>
      <c r="Q705">
        <f>C705&amp;"|"&amp;D705&amp;"|"&amp;A705</f>
        <v/>
      </c>
    </row>
    <row r="706">
      <c r="A706" t="n">
        <v>28</v>
      </c>
      <c r="B706" t="inlineStr">
        <is>
          <t>Meza Banguera Gladys Alicia</t>
        </is>
      </c>
      <c r="C706" t="inlineStr">
        <is>
          <t>JUEVES</t>
        </is>
      </c>
      <c r="D706" t="n">
        <v>4</v>
      </c>
      <c r="E706" t="n">
        <v>2</v>
      </c>
      <c r="F706" t="inlineStr">
        <is>
          <t>CLASE</t>
        </is>
      </c>
      <c r="G706" t="inlineStr">
        <is>
          <t>0902</t>
        </is>
      </c>
      <c r="H706" t="inlineStr">
        <is>
          <t>CAS</t>
        </is>
      </c>
      <c r="I706" t="inlineStr"/>
      <c r="J706" t="inlineStr"/>
      <c r="K706" t="inlineStr"/>
      <c r="L706" t="inlineStr">
        <is>
          <t>9°-2</t>
        </is>
      </c>
      <c r="M706" t="inlineStr"/>
      <c r="N706">
        <f>C706&amp;"|"&amp;D706</f>
        <v/>
      </c>
      <c r="O706">
        <f>COUNTIF($N$2:N706,N706)</f>
        <v/>
      </c>
      <c r="P706">
        <f>N706&amp;"|"&amp;O706</f>
        <v/>
      </c>
      <c r="Q706">
        <f>C706&amp;"|"&amp;D706&amp;"|"&amp;A706</f>
        <v/>
      </c>
    </row>
    <row r="707">
      <c r="A707" t="n">
        <v>18</v>
      </c>
      <c r="B707" t="inlineStr">
        <is>
          <t>Estacio Estupiñán Rosario</t>
        </is>
      </c>
      <c r="C707" t="inlineStr">
        <is>
          <t>JUEVES</t>
        </is>
      </c>
      <c r="D707" t="n">
        <v>4</v>
      </c>
      <c r="E707" t="n">
        <v>2</v>
      </c>
      <c r="F707" t="inlineStr">
        <is>
          <t>CLASE</t>
        </is>
      </c>
      <c r="G707" t="inlineStr">
        <is>
          <t>1001</t>
        </is>
      </c>
      <c r="H707" t="inlineStr">
        <is>
          <t>ETR</t>
        </is>
      </c>
      <c r="I707" t="inlineStr"/>
      <c r="J707" t="inlineStr">
        <is>
          <t>Ética / Religión (alternan cada semana)</t>
        </is>
      </c>
      <c r="K707" t="inlineStr"/>
      <c r="L707" t="inlineStr">
        <is>
          <t>10°-1</t>
        </is>
      </c>
      <c r="M707" t="inlineStr">
        <is>
          <t>Ética / Religión (alternan cada semana)</t>
        </is>
      </c>
      <c r="N707">
        <f>C707&amp;"|"&amp;D707</f>
        <v/>
      </c>
      <c r="O707">
        <f>COUNTIF($N$2:N707,N707)</f>
        <v/>
      </c>
      <c r="P707">
        <f>N707&amp;"|"&amp;O707</f>
        <v/>
      </c>
      <c r="Q707">
        <f>C707&amp;"|"&amp;D707&amp;"|"&amp;A707</f>
        <v/>
      </c>
    </row>
    <row r="708">
      <c r="A708" t="n">
        <v>40</v>
      </c>
      <c r="B708" t="inlineStr">
        <is>
          <t>Pulgarín Ortiz César Marino</t>
        </is>
      </c>
      <c r="C708" t="inlineStr">
        <is>
          <t>JUEVES</t>
        </is>
      </c>
      <c r="D708" t="n">
        <v>4</v>
      </c>
      <c r="E708" t="n">
        <v>2</v>
      </c>
      <c r="F708" t="inlineStr">
        <is>
          <t>CLASE</t>
        </is>
      </c>
      <c r="G708" t="inlineStr">
        <is>
          <t>1002</t>
        </is>
      </c>
      <c r="H708" t="inlineStr">
        <is>
          <t>CSI</t>
        </is>
      </c>
      <c r="I708" t="inlineStr"/>
      <c r="J708" t="inlineStr">
        <is>
          <t>Sociales / Inglés (alternan cada semana)</t>
        </is>
      </c>
      <c r="K708" t="inlineStr"/>
      <c r="L708" t="inlineStr">
        <is>
          <t>10°-2</t>
        </is>
      </c>
      <c r="M708" t="inlineStr">
        <is>
          <t>Sociales / Inglés (alternan cada semana)</t>
        </is>
      </c>
      <c r="N708">
        <f>C708&amp;"|"&amp;D708</f>
        <v/>
      </c>
      <c r="O708">
        <f>COUNTIF($N$2:N708,N708)</f>
        <v/>
      </c>
      <c r="P708">
        <f>N708&amp;"|"&amp;O708</f>
        <v/>
      </c>
      <c r="Q708">
        <f>C708&amp;"|"&amp;D708&amp;"|"&amp;A708</f>
        <v/>
      </c>
    </row>
    <row r="709">
      <c r="A709" t="n">
        <v>54</v>
      </c>
      <c r="B709" t="inlineStr">
        <is>
          <t>Villota Rubio Janeth del Carmen</t>
        </is>
      </c>
      <c r="C709" t="inlineStr">
        <is>
          <t>JUEVES</t>
        </is>
      </c>
      <c r="D709" t="n">
        <v>4</v>
      </c>
      <c r="E709" t="n">
        <v>2</v>
      </c>
      <c r="F709" t="inlineStr">
        <is>
          <t>CLASE</t>
        </is>
      </c>
      <c r="G709" t="inlineStr">
        <is>
          <t>1102</t>
        </is>
      </c>
      <c r="H709" t="inlineStr">
        <is>
          <t>MAT</t>
        </is>
      </c>
      <c r="I709" t="inlineStr"/>
      <c r="J709" t="inlineStr"/>
      <c r="K709" t="inlineStr"/>
      <c r="L709" t="inlineStr">
        <is>
          <t>11°-2</t>
        </is>
      </c>
      <c r="M709" t="inlineStr"/>
      <c r="N709">
        <f>C709&amp;"|"&amp;D709</f>
        <v/>
      </c>
      <c r="O709">
        <f>COUNTIF($N$2:N709,N709)</f>
        <v/>
      </c>
      <c r="P709">
        <f>N709&amp;"|"&amp;O709</f>
        <v/>
      </c>
      <c r="Q709">
        <f>C709&amp;"|"&amp;D709&amp;"|"&amp;A709</f>
        <v/>
      </c>
    </row>
    <row r="710">
      <c r="A710" t="n">
        <v>37</v>
      </c>
      <c r="B710" t="inlineStr">
        <is>
          <t>Prado Quiñones Genís Maribel</t>
        </is>
      </c>
      <c r="C710" t="inlineStr">
        <is>
          <t>JUEVES</t>
        </is>
      </c>
      <c r="D710" t="n">
        <v>4</v>
      </c>
      <c r="E710" t="n">
        <v>2</v>
      </c>
      <c r="F710" t="inlineStr">
        <is>
          <t>CLASE</t>
        </is>
      </c>
      <c r="G710" t="inlineStr">
        <is>
          <t>CS101</t>
        </is>
      </c>
      <c r="H710" t="inlineStr">
        <is>
          <t>ART</t>
        </is>
      </c>
      <c r="I710" t="inlineStr"/>
      <c r="J710" t="inlineStr"/>
      <c r="K710" t="inlineStr"/>
      <c r="L710" t="inlineStr">
        <is>
          <t>CS 1-1</t>
        </is>
      </c>
      <c r="M710" t="inlineStr"/>
      <c r="N710">
        <f>C710&amp;"|"&amp;D710</f>
        <v/>
      </c>
      <c r="O710">
        <f>COUNTIF($N$2:N710,N710)</f>
        <v/>
      </c>
      <c r="P710">
        <f>N710&amp;"|"&amp;O710</f>
        <v/>
      </c>
      <c r="Q710">
        <f>C710&amp;"|"&amp;D710&amp;"|"&amp;A710</f>
        <v/>
      </c>
    </row>
    <row r="711">
      <c r="A711" t="n">
        <v>42</v>
      </c>
      <c r="B711" t="inlineStr">
        <is>
          <t>Quiñones Cabezas Marcos Vidal</t>
        </is>
      </c>
      <c r="C711" t="inlineStr">
        <is>
          <t>JUEVES</t>
        </is>
      </c>
      <c r="D711" t="n">
        <v>4</v>
      </c>
      <c r="E711" t="n">
        <v>2</v>
      </c>
      <c r="F711" t="inlineStr">
        <is>
          <t>CLASE</t>
        </is>
      </c>
      <c r="G711" t="inlineStr">
        <is>
          <t>CS102</t>
        </is>
      </c>
      <c r="H711" t="inlineStr">
        <is>
          <t>TEI</t>
        </is>
      </c>
      <c r="I711" t="inlineStr"/>
      <c r="J711" t="inlineStr"/>
      <c r="K711" t="inlineStr"/>
      <c r="L711" t="inlineStr">
        <is>
          <t>CS 1-2</t>
        </is>
      </c>
      <c r="M711" t="inlineStr"/>
      <c r="N711">
        <f>C711&amp;"|"&amp;D711</f>
        <v/>
      </c>
      <c r="O711">
        <f>COUNTIF($N$2:N711,N711)</f>
        <v/>
      </c>
      <c r="P711">
        <f>N711&amp;"|"&amp;O711</f>
        <v/>
      </c>
      <c r="Q711">
        <f>C711&amp;"|"&amp;D711&amp;"|"&amp;A711</f>
        <v/>
      </c>
    </row>
    <row r="712">
      <c r="A712" t="n">
        <v>9</v>
      </c>
      <c r="B712" t="inlineStr">
        <is>
          <t>Castillo Angulo Martha Cecilia</t>
        </is>
      </c>
      <c r="C712" t="inlineStr">
        <is>
          <t>JUEVES</t>
        </is>
      </c>
      <c r="D712" t="n">
        <v>4</v>
      </c>
      <c r="E712" t="n">
        <v>2</v>
      </c>
      <c r="F712" t="inlineStr">
        <is>
          <t>CLASE</t>
        </is>
      </c>
      <c r="G712" t="inlineStr">
        <is>
          <t>CS201</t>
        </is>
      </c>
      <c r="H712" t="inlineStr">
        <is>
          <t>ETR</t>
        </is>
      </c>
      <c r="I712" t="inlineStr"/>
      <c r="J712" t="inlineStr">
        <is>
          <t>Ética / Religión (alternan cada semana)</t>
        </is>
      </c>
      <c r="K712" t="inlineStr"/>
      <c r="L712" t="inlineStr">
        <is>
          <t>CS 2-1</t>
        </is>
      </c>
      <c r="M712" t="inlineStr">
        <is>
          <t>Ética / Religión (alternan cada semana)</t>
        </is>
      </c>
      <c r="N712">
        <f>C712&amp;"|"&amp;D712</f>
        <v/>
      </c>
      <c r="O712">
        <f>COUNTIF($N$2:N712,N712)</f>
        <v/>
      </c>
      <c r="P712">
        <f>N712&amp;"|"&amp;O712</f>
        <v/>
      </c>
      <c r="Q712">
        <f>C712&amp;"|"&amp;D712&amp;"|"&amp;A712</f>
        <v/>
      </c>
    </row>
    <row r="713">
      <c r="A713" t="n">
        <v>51</v>
      </c>
      <c r="B713" t="inlineStr">
        <is>
          <t>Valverde Montaño María Teresa</t>
        </is>
      </c>
      <c r="C713" t="inlineStr">
        <is>
          <t>JUEVES</t>
        </is>
      </c>
      <c r="D713" t="n">
        <v>4</v>
      </c>
      <c r="E713" t="n">
        <v>2</v>
      </c>
      <c r="F713" t="inlineStr">
        <is>
          <t>CLASE</t>
        </is>
      </c>
      <c r="G713" t="inlineStr">
        <is>
          <t>CS202</t>
        </is>
      </c>
      <c r="H713" t="inlineStr">
        <is>
          <t>CAS</t>
        </is>
      </c>
      <c r="I713" t="inlineStr"/>
      <c r="J713" t="inlineStr"/>
      <c r="K713" t="inlineStr"/>
      <c r="L713" t="inlineStr">
        <is>
          <t>CS 2-2</t>
        </is>
      </c>
      <c r="M713" t="inlineStr"/>
      <c r="N713">
        <f>C713&amp;"|"&amp;D713</f>
        <v/>
      </c>
      <c r="O713">
        <f>COUNTIF($N$2:N713,N713)</f>
        <v/>
      </c>
      <c r="P713">
        <f>N713&amp;"|"&amp;O713</f>
        <v/>
      </c>
      <c r="Q713">
        <f>C713&amp;"|"&amp;D713&amp;"|"&amp;A713</f>
        <v/>
      </c>
    </row>
    <row r="714">
      <c r="A714" t="n">
        <v>3</v>
      </c>
      <c r="B714" t="inlineStr">
        <is>
          <t>Arboleda Ortiz Luz América</t>
        </is>
      </c>
      <c r="C714" t="inlineStr">
        <is>
          <t>JUEVES</t>
        </is>
      </c>
      <c r="D714" t="n">
        <v>4</v>
      </c>
      <c r="E714" t="n">
        <v>2</v>
      </c>
      <c r="F714" t="inlineStr">
        <is>
          <t>ENFASIS</t>
        </is>
      </c>
      <c r="G714" t="inlineStr"/>
      <c r="H714" t="inlineStr">
        <is>
          <t>ART</t>
        </is>
      </c>
      <c r="I714" t="inlineStr">
        <is>
          <t>1101</t>
        </is>
      </c>
      <c r="J714" t="inlineStr">
        <is>
          <t>EQUIPO DE 4: cada docente atiende un grupo de estudiantes en su área</t>
        </is>
      </c>
      <c r="K714" t="inlineStr">
        <is>
          <t>Montaño Anchico Favio Héctor (CAS); Ramírez Guerra Jimmy Eduardo (ERD); Villota Rubio Héctor Hugo (CNA)</t>
        </is>
      </c>
      <c r="L714" t="inlineStr">
        <is>
          <t>ÉNFASIS 11°-1</t>
        </is>
      </c>
      <c r="M714" t="inlineStr">
        <is>
          <t>EQUIPO DE 4: cada docente atiende un grupo de estudiantes en su área · Con: Montaño Anchico Favio Héctor (CAS); Ramírez Guerra Jimmy Eduardo (ERD); Villota Rubio Héctor Hugo (CNA)</t>
        </is>
      </c>
      <c r="N714">
        <f>C714&amp;"|"&amp;D714</f>
        <v/>
      </c>
      <c r="O714">
        <f>COUNTIF($N$2:N714,N714)</f>
        <v/>
      </c>
      <c r="P714">
        <f>N714&amp;"|"&amp;O714</f>
        <v/>
      </c>
      <c r="Q714">
        <f>C714&amp;"|"&amp;D714&amp;"|"&amp;A714</f>
        <v/>
      </c>
    </row>
    <row r="715">
      <c r="A715" t="n">
        <v>30</v>
      </c>
      <c r="B715" t="inlineStr">
        <is>
          <t>Montaño Anchico Favio Héctor</t>
        </is>
      </c>
      <c r="C715" t="inlineStr">
        <is>
          <t>JUEVES</t>
        </is>
      </c>
      <c r="D715" t="n">
        <v>4</v>
      </c>
      <c r="E715" t="n">
        <v>2</v>
      </c>
      <c r="F715" t="inlineStr">
        <is>
          <t>ENFASIS</t>
        </is>
      </c>
      <c r="G715" t="inlineStr"/>
      <c r="H715" t="inlineStr">
        <is>
          <t>CAS</t>
        </is>
      </c>
      <c r="I715" t="inlineStr">
        <is>
          <t>1101</t>
        </is>
      </c>
      <c r="J715" t="inlineStr">
        <is>
          <t>EQUIPO DE 4: cada docente atiende un grupo de estudiantes en su área</t>
        </is>
      </c>
      <c r="K715" t="inlineStr">
        <is>
          <t>Arboleda Ortiz Luz América (ART); Ramírez Guerra Jimmy Eduardo (ERD); Villota Rubio Héctor Hugo (CNA)</t>
        </is>
      </c>
      <c r="L715" t="inlineStr">
        <is>
          <t>ÉNFASIS 11°-1</t>
        </is>
      </c>
      <c r="M715" t="inlineStr">
        <is>
          <t>EQUIPO DE 4: cada docente atiende un grupo de estudiantes en su área · Con: Arboleda Ortiz Luz América (ART); Ramírez Guerra Jimmy Eduardo (ERD); Villota Rubio Héctor Hugo (CNA)</t>
        </is>
      </c>
      <c r="N715">
        <f>C715&amp;"|"&amp;D715</f>
        <v/>
      </c>
      <c r="O715">
        <f>COUNTIF($N$2:N715,N715)</f>
        <v/>
      </c>
      <c r="P715">
        <f>N715&amp;"|"&amp;O715</f>
        <v/>
      </c>
      <c r="Q715">
        <f>C715&amp;"|"&amp;D715&amp;"|"&amp;A715</f>
        <v/>
      </c>
    </row>
    <row r="716">
      <c r="A716" t="n">
        <v>43</v>
      </c>
      <c r="B716" t="inlineStr">
        <is>
          <t>Ramírez Guerra Jimmy Eduardo</t>
        </is>
      </c>
      <c r="C716" t="inlineStr">
        <is>
          <t>JUEVES</t>
        </is>
      </c>
      <c r="D716" t="n">
        <v>4</v>
      </c>
      <c r="E716" t="n">
        <v>2</v>
      </c>
      <c r="F716" t="inlineStr">
        <is>
          <t>ENFASIS</t>
        </is>
      </c>
      <c r="G716" t="inlineStr"/>
      <c r="H716" t="inlineStr">
        <is>
          <t>ERD</t>
        </is>
      </c>
      <c r="I716" t="inlineStr">
        <is>
          <t>1101</t>
        </is>
      </c>
      <c r="J716" t="inlineStr">
        <is>
          <t>EQUIPO DE 4: cada docente atiende un grupo de estudiantes en su área</t>
        </is>
      </c>
      <c r="K716" t="inlineStr">
        <is>
          <t>Arboleda Ortiz Luz América (ART); Montaño Anchico Favio Héctor (CAS); Villota Rubio Héctor Hugo (CNA)</t>
        </is>
      </c>
      <c r="L716" t="inlineStr">
        <is>
          <t>ÉNFASIS 11°-1</t>
        </is>
      </c>
      <c r="M716" t="inlineStr">
        <is>
          <t>EQUIPO DE 4: cada docente atiende un grupo de estudiantes en su área · Con: Arboleda Ortiz Luz América (ART); Montaño Anchico Favio Héctor (CAS); Villota Rubio Héctor Hugo (CNA)</t>
        </is>
      </c>
      <c r="N716">
        <f>C716&amp;"|"&amp;D716</f>
        <v/>
      </c>
      <c r="O716">
        <f>COUNTIF($N$2:N716,N716)</f>
        <v/>
      </c>
      <c r="P716">
        <f>N716&amp;"|"&amp;O716</f>
        <v/>
      </c>
      <c r="Q716">
        <f>C716&amp;"|"&amp;D716&amp;"|"&amp;A716</f>
        <v/>
      </c>
    </row>
    <row r="717">
      <c r="A717" t="n">
        <v>53</v>
      </c>
      <c r="B717" t="inlineStr">
        <is>
          <t>Villota Rubio Héctor Hugo</t>
        </is>
      </c>
      <c r="C717" t="inlineStr">
        <is>
          <t>JUEVES</t>
        </is>
      </c>
      <c r="D717" t="n">
        <v>4</v>
      </c>
      <c r="E717" t="n">
        <v>2</v>
      </c>
      <c r="F717" t="inlineStr">
        <is>
          <t>ENFASIS</t>
        </is>
      </c>
      <c r="G717" t="inlineStr"/>
      <c r="H717" t="inlineStr">
        <is>
          <t>CNA</t>
        </is>
      </c>
      <c r="I717" t="inlineStr">
        <is>
          <t>1101</t>
        </is>
      </c>
      <c r="J717" t="inlineStr">
        <is>
          <t>EQUIPO DE 4: cada docente atiende un grupo de estudiantes en su área</t>
        </is>
      </c>
      <c r="K717" t="inlineStr">
        <is>
          <t>Arboleda Ortiz Luz América (ART); Montaño Anchico Favio Héctor (CAS); Ramírez Guerra Jimmy Eduardo (ERD)</t>
        </is>
      </c>
      <c r="L717" t="inlineStr">
        <is>
          <t>ÉNFASIS 11°-1</t>
        </is>
      </c>
      <c r="M717" t="inlineStr">
        <is>
          <t>EQUIPO DE 4: cada docente atiende un grupo de estudiantes en su área · Con: Arboleda Ortiz Luz América (ART); Montaño Anchico Favio Héctor (CAS); Ramírez Guerra Jimmy Eduardo (ERD)</t>
        </is>
      </c>
      <c r="N717">
        <f>C717&amp;"|"&amp;D717</f>
        <v/>
      </c>
      <c r="O717">
        <f>COUNTIF($N$2:N717,N717)</f>
        <v/>
      </c>
      <c r="P717">
        <f>N717&amp;"|"&amp;O717</f>
        <v/>
      </c>
      <c r="Q717">
        <f>C717&amp;"|"&amp;D717&amp;"|"&amp;A717</f>
        <v/>
      </c>
    </row>
    <row r="718">
      <c r="A718" t="n">
        <v>20</v>
      </c>
      <c r="B718" t="inlineStr">
        <is>
          <t>García Gobea Saydi Magali</t>
        </is>
      </c>
      <c r="C718" t="inlineStr">
        <is>
          <t>JUEVES</t>
        </is>
      </c>
      <c r="D718" t="n">
        <v>5</v>
      </c>
      <c r="E718" t="n">
        <v>3</v>
      </c>
      <c r="F718" t="inlineStr">
        <is>
          <t>CLASE</t>
        </is>
      </c>
      <c r="G718" t="inlineStr">
        <is>
          <t>0601</t>
        </is>
      </c>
      <c r="H718" t="inlineStr">
        <is>
          <t>CSI</t>
        </is>
      </c>
      <c r="I718" t="inlineStr"/>
      <c r="J718" t="inlineStr">
        <is>
          <t>Sociales / Inglés (alternan cada semana)</t>
        </is>
      </c>
      <c r="K718" t="inlineStr"/>
      <c r="L718" t="inlineStr">
        <is>
          <t>6°-1</t>
        </is>
      </c>
      <c r="M718" t="inlineStr">
        <is>
          <t>Sociales / Inglés (alternan cada semana)</t>
        </is>
      </c>
      <c r="N718">
        <f>C718&amp;"|"&amp;D718</f>
        <v/>
      </c>
      <c r="O718">
        <f>COUNTIF($N$2:N718,N718)</f>
        <v/>
      </c>
      <c r="P718">
        <f>N718&amp;"|"&amp;O718</f>
        <v/>
      </c>
      <c r="Q718">
        <f>C718&amp;"|"&amp;D718&amp;"|"&amp;A718</f>
        <v/>
      </c>
    </row>
    <row r="719">
      <c r="A719" t="n">
        <v>42</v>
      </c>
      <c r="B719" t="inlineStr">
        <is>
          <t>Quiñones Cabezas Marcos Vidal</t>
        </is>
      </c>
      <c r="C719" t="inlineStr">
        <is>
          <t>JUEVES</t>
        </is>
      </c>
      <c r="D719" t="n">
        <v>5</v>
      </c>
      <c r="E719" t="n">
        <v>3</v>
      </c>
      <c r="F719" t="inlineStr">
        <is>
          <t>CLASE</t>
        </is>
      </c>
      <c r="G719" t="inlineStr">
        <is>
          <t>0602</t>
        </is>
      </c>
      <c r="H719" t="inlineStr">
        <is>
          <t>MAT</t>
        </is>
      </c>
      <c r="I719" t="inlineStr"/>
      <c r="J719" t="inlineStr"/>
      <c r="K719" t="inlineStr"/>
      <c r="L719" t="inlineStr">
        <is>
          <t>6°-2</t>
        </is>
      </c>
      <c r="M719" t="inlineStr"/>
      <c r="N719">
        <f>C719&amp;"|"&amp;D719</f>
        <v/>
      </c>
      <c r="O719">
        <f>COUNTIF($N$2:N719,N719)</f>
        <v/>
      </c>
      <c r="P719">
        <f>N719&amp;"|"&amp;O719</f>
        <v/>
      </c>
      <c r="Q719">
        <f>C719&amp;"|"&amp;D719&amp;"|"&amp;A719</f>
        <v/>
      </c>
    </row>
    <row r="720">
      <c r="A720" t="n">
        <v>1</v>
      </c>
      <c r="B720" t="inlineStr">
        <is>
          <t>Aguirre Riascos Jorge Andrés</t>
        </is>
      </c>
      <c r="C720" t="inlineStr">
        <is>
          <t>JUEVES</t>
        </is>
      </c>
      <c r="D720" t="n">
        <v>5</v>
      </c>
      <c r="E720" t="n">
        <v>3</v>
      </c>
      <c r="F720" t="inlineStr">
        <is>
          <t>CLASE</t>
        </is>
      </c>
      <c r="G720" t="inlineStr">
        <is>
          <t>0701</t>
        </is>
      </c>
      <c r="H720" t="inlineStr">
        <is>
          <t>TEI</t>
        </is>
      </c>
      <c r="I720" t="inlineStr"/>
      <c r="J720" t="inlineStr"/>
      <c r="K720" t="inlineStr"/>
      <c r="L720" t="inlineStr">
        <is>
          <t>7°-1</t>
        </is>
      </c>
      <c r="M720" t="inlineStr"/>
      <c r="N720">
        <f>C720&amp;"|"&amp;D720</f>
        <v/>
      </c>
      <c r="O720">
        <f>COUNTIF($N$2:N720,N720)</f>
        <v/>
      </c>
      <c r="P720">
        <f>N720&amp;"|"&amp;O720</f>
        <v/>
      </c>
      <c r="Q720">
        <f>C720&amp;"|"&amp;D720&amp;"|"&amp;A720</f>
        <v/>
      </c>
    </row>
    <row r="721">
      <c r="A721" t="n">
        <v>4</v>
      </c>
      <c r="B721" t="inlineStr">
        <is>
          <t>Arizala Castro Roberto Carlos</t>
        </is>
      </c>
      <c r="C721" t="inlineStr">
        <is>
          <t>JUEVES</t>
        </is>
      </c>
      <c r="D721" t="n">
        <v>5</v>
      </c>
      <c r="E721" t="n">
        <v>3</v>
      </c>
      <c r="F721" t="inlineStr">
        <is>
          <t>CLASE</t>
        </is>
      </c>
      <c r="G721" t="inlineStr">
        <is>
          <t>0702</t>
        </is>
      </c>
      <c r="H721" t="inlineStr">
        <is>
          <t>ERD</t>
        </is>
      </c>
      <c r="I721" t="inlineStr"/>
      <c r="J721" t="inlineStr"/>
      <c r="K721" t="inlineStr"/>
      <c r="L721" t="inlineStr">
        <is>
          <t>7°-2</t>
        </is>
      </c>
      <c r="M721" t="inlineStr"/>
      <c r="N721">
        <f>C721&amp;"|"&amp;D721</f>
        <v/>
      </c>
      <c r="O721">
        <f>COUNTIF($N$2:N721,N721)</f>
        <v/>
      </c>
      <c r="P721">
        <f>N721&amp;"|"&amp;O721</f>
        <v/>
      </c>
      <c r="Q721">
        <f>C721&amp;"|"&amp;D721&amp;"|"&amp;A721</f>
        <v/>
      </c>
    </row>
    <row r="722">
      <c r="A722" t="n">
        <v>10</v>
      </c>
      <c r="B722" t="inlineStr">
        <is>
          <t>Castillo Cuero Daira Eneida</t>
        </is>
      </c>
      <c r="C722" t="inlineStr">
        <is>
          <t>JUEVES</t>
        </is>
      </c>
      <c r="D722" t="n">
        <v>5</v>
      </c>
      <c r="E722" t="n">
        <v>3</v>
      </c>
      <c r="F722" t="inlineStr">
        <is>
          <t>CLASE</t>
        </is>
      </c>
      <c r="G722" t="inlineStr">
        <is>
          <t>0703</t>
        </is>
      </c>
      <c r="H722" t="inlineStr">
        <is>
          <t>CAS</t>
        </is>
      </c>
      <c r="I722" t="inlineStr"/>
      <c r="J722" t="inlineStr"/>
      <c r="K722" t="inlineStr"/>
      <c r="L722" t="inlineStr">
        <is>
          <t>7°-3</t>
        </is>
      </c>
      <c r="M722" t="inlineStr"/>
      <c r="N722">
        <f>C722&amp;"|"&amp;D722</f>
        <v/>
      </c>
      <c r="O722">
        <f>COUNTIF($N$2:N722,N722)</f>
        <v/>
      </c>
      <c r="P722">
        <f>N722&amp;"|"&amp;O722</f>
        <v/>
      </c>
      <c r="Q722">
        <f>C722&amp;"|"&amp;D722&amp;"|"&amp;A722</f>
        <v/>
      </c>
    </row>
    <row r="723">
      <c r="A723" t="n">
        <v>9</v>
      </c>
      <c r="B723" t="inlineStr">
        <is>
          <t>Castillo Angulo Martha Cecilia</t>
        </is>
      </c>
      <c r="C723" t="inlineStr">
        <is>
          <t>JUEVES</t>
        </is>
      </c>
      <c r="D723" t="n">
        <v>5</v>
      </c>
      <c r="E723" t="n">
        <v>3</v>
      </c>
      <c r="F723" t="inlineStr">
        <is>
          <t>CLASE</t>
        </is>
      </c>
      <c r="G723" t="inlineStr">
        <is>
          <t>0802</t>
        </is>
      </c>
      <c r="H723" t="inlineStr">
        <is>
          <t>ETR</t>
        </is>
      </c>
      <c r="I723" t="inlineStr"/>
      <c r="J723" t="inlineStr">
        <is>
          <t>Ética / Religión (alternan cada semana)</t>
        </is>
      </c>
      <c r="K723" t="inlineStr"/>
      <c r="L723" t="inlineStr">
        <is>
          <t>8°-2</t>
        </is>
      </c>
      <c r="M723" t="inlineStr">
        <is>
          <t>Ética / Religión (alternan cada semana)</t>
        </is>
      </c>
      <c r="N723">
        <f>C723&amp;"|"&amp;D723</f>
        <v/>
      </c>
      <c r="O723">
        <f>COUNTIF($N$2:N723,N723)</f>
        <v/>
      </c>
      <c r="P723">
        <f>N723&amp;"|"&amp;O723</f>
        <v/>
      </c>
      <c r="Q723">
        <f>C723&amp;"|"&amp;D723&amp;"|"&amp;A723</f>
        <v/>
      </c>
    </row>
    <row r="724">
      <c r="A724" t="n">
        <v>25</v>
      </c>
      <c r="B724" t="inlineStr">
        <is>
          <t>Lemos Guancha Miriam</t>
        </is>
      </c>
      <c r="C724" t="inlineStr">
        <is>
          <t>JUEVES</t>
        </is>
      </c>
      <c r="D724" t="n">
        <v>5</v>
      </c>
      <c r="E724" t="n">
        <v>3</v>
      </c>
      <c r="F724" t="inlineStr">
        <is>
          <t>CLASE</t>
        </is>
      </c>
      <c r="G724" t="inlineStr">
        <is>
          <t>0901</t>
        </is>
      </c>
      <c r="H724" t="inlineStr">
        <is>
          <t>CNA</t>
        </is>
      </c>
      <c r="I724" t="inlineStr"/>
      <c r="J724" t="inlineStr"/>
      <c r="K724" t="inlineStr"/>
      <c r="L724" t="inlineStr">
        <is>
          <t>9°-1</t>
        </is>
      </c>
      <c r="M724" t="inlineStr"/>
      <c r="N724">
        <f>C724&amp;"|"&amp;D724</f>
        <v/>
      </c>
      <c r="O724">
        <f>COUNTIF($N$2:N724,N724)</f>
        <v/>
      </c>
      <c r="P724">
        <f>N724&amp;"|"&amp;O724</f>
        <v/>
      </c>
      <c r="Q724">
        <f>C724&amp;"|"&amp;D724&amp;"|"&amp;A724</f>
        <v/>
      </c>
    </row>
    <row r="725">
      <c r="A725" t="n">
        <v>22</v>
      </c>
      <c r="B725" t="inlineStr">
        <is>
          <t>González Castillo Jólmer Jimy</t>
        </is>
      </c>
      <c r="C725" t="inlineStr">
        <is>
          <t>JUEVES</t>
        </is>
      </c>
      <c r="D725" t="n">
        <v>5</v>
      </c>
      <c r="E725" t="n">
        <v>3</v>
      </c>
      <c r="F725" t="inlineStr">
        <is>
          <t>CLASE</t>
        </is>
      </c>
      <c r="G725" t="inlineStr">
        <is>
          <t>0902</t>
        </is>
      </c>
      <c r="H725" t="inlineStr">
        <is>
          <t>ERD</t>
        </is>
      </c>
      <c r="I725" t="inlineStr"/>
      <c r="J725" t="inlineStr"/>
      <c r="K725" t="inlineStr"/>
      <c r="L725" t="inlineStr">
        <is>
          <t>9°-2</t>
        </is>
      </c>
      <c r="M725" t="inlineStr"/>
      <c r="N725">
        <f>C725&amp;"|"&amp;D725</f>
        <v/>
      </c>
      <c r="O725">
        <f>COUNTIF($N$2:N725,N725)</f>
        <v/>
      </c>
      <c r="P725">
        <f>N725&amp;"|"&amp;O725</f>
        <v/>
      </c>
      <c r="Q725">
        <f>C725&amp;"|"&amp;D725&amp;"|"&amp;A725</f>
        <v/>
      </c>
    </row>
    <row r="726">
      <c r="A726" t="n">
        <v>49</v>
      </c>
      <c r="B726" t="inlineStr">
        <is>
          <t>Valencia Marínez Saidy Eufemia</t>
        </is>
      </c>
      <c r="C726" t="inlineStr">
        <is>
          <t>JUEVES</t>
        </is>
      </c>
      <c r="D726" t="n">
        <v>5</v>
      </c>
      <c r="E726" t="n">
        <v>3</v>
      </c>
      <c r="F726" t="inlineStr">
        <is>
          <t>CLASE</t>
        </is>
      </c>
      <c r="G726" t="inlineStr">
        <is>
          <t>1001</t>
        </is>
      </c>
      <c r="H726" t="inlineStr">
        <is>
          <t>ART</t>
        </is>
      </c>
      <c r="I726" t="inlineStr"/>
      <c r="J726" t="inlineStr"/>
      <c r="K726" t="inlineStr"/>
      <c r="L726" t="inlineStr">
        <is>
          <t>10°-1</t>
        </is>
      </c>
      <c r="M726" t="inlineStr"/>
      <c r="N726">
        <f>C726&amp;"|"&amp;D726</f>
        <v/>
      </c>
      <c r="O726">
        <f>COUNTIF($N$2:N726,N726)</f>
        <v/>
      </c>
      <c r="P726">
        <f>N726&amp;"|"&amp;O726</f>
        <v/>
      </c>
      <c r="Q726">
        <f>C726&amp;"|"&amp;D726&amp;"|"&amp;A726</f>
        <v/>
      </c>
    </row>
    <row r="727">
      <c r="A727" t="n">
        <v>53</v>
      </c>
      <c r="B727" t="inlineStr">
        <is>
          <t>Villota Rubio Héctor Hugo</t>
        </is>
      </c>
      <c r="C727" t="inlineStr">
        <is>
          <t>JUEVES</t>
        </is>
      </c>
      <c r="D727" t="n">
        <v>5</v>
      </c>
      <c r="E727" t="n">
        <v>3</v>
      </c>
      <c r="F727" t="inlineStr">
        <is>
          <t>CLASE</t>
        </is>
      </c>
      <c r="G727" t="inlineStr">
        <is>
          <t>1101</t>
        </is>
      </c>
      <c r="H727" t="inlineStr">
        <is>
          <t>CNA</t>
        </is>
      </c>
      <c r="I727" t="inlineStr"/>
      <c r="J727" t="inlineStr"/>
      <c r="K727" t="inlineStr"/>
      <c r="L727" t="inlineStr">
        <is>
          <t>11°-1</t>
        </is>
      </c>
      <c r="M727" t="inlineStr"/>
      <c r="N727">
        <f>C727&amp;"|"&amp;D727</f>
        <v/>
      </c>
      <c r="O727">
        <f>COUNTIF($N$2:N727,N727)</f>
        <v/>
      </c>
      <c r="P727">
        <f>N727&amp;"|"&amp;O727</f>
        <v/>
      </c>
      <c r="Q727">
        <f>C727&amp;"|"&amp;D727&amp;"|"&amp;A727</f>
        <v/>
      </c>
    </row>
    <row r="728">
      <c r="A728" t="n">
        <v>43</v>
      </c>
      <c r="B728" t="inlineStr">
        <is>
          <t>Ramírez Guerra Jimmy Eduardo</t>
        </is>
      </c>
      <c r="C728" t="inlineStr">
        <is>
          <t>JUEVES</t>
        </is>
      </c>
      <c r="D728" t="n">
        <v>5</v>
      </c>
      <c r="E728" t="n">
        <v>3</v>
      </c>
      <c r="F728" t="inlineStr">
        <is>
          <t>CLASE</t>
        </is>
      </c>
      <c r="G728" t="inlineStr">
        <is>
          <t>1102</t>
        </is>
      </c>
      <c r="H728" t="inlineStr">
        <is>
          <t>ERD</t>
        </is>
      </c>
      <c r="I728" t="inlineStr"/>
      <c r="J728" t="inlineStr"/>
      <c r="K728" t="inlineStr"/>
      <c r="L728" t="inlineStr">
        <is>
          <t>11°-2</t>
        </is>
      </c>
      <c r="M728" t="inlineStr"/>
      <c r="N728">
        <f>C728&amp;"|"&amp;D728</f>
        <v/>
      </c>
      <c r="O728">
        <f>COUNTIF($N$2:N728,N728)</f>
        <v/>
      </c>
      <c r="P728">
        <f>N728&amp;"|"&amp;O728</f>
        <v/>
      </c>
      <c r="Q728">
        <f>C728&amp;"|"&amp;D728&amp;"|"&amp;A728</f>
        <v/>
      </c>
    </row>
    <row r="729">
      <c r="A729" t="n">
        <v>16</v>
      </c>
      <c r="B729" t="inlineStr">
        <is>
          <t>Cuero Rincón Hernando Jesús</t>
        </is>
      </c>
      <c r="C729" t="inlineStr">
        <is>
          <t>JUEVES</t>
        </is>
      </c>
      <c r="D729" t="n">
        <v>5</v>
      </c>
      <c r="E729" t="n">
        <v>3</v>
      </c>
      <c r="F729" t="inlineStr">
        <is>
          <t>CLASE</t>
        </is>
      </c>
      <c r="G729" t="inlineStr">
        <is>
          <t>CS101</t>
        </is>
      </c>
      <c r="H729" t="inlineStr">
        <is>
          <t>CAS</t>
        </is>
      </c>
      <c r="I729" t="inlineStr"/>
      <c r="J729" t="inlineStr"/>
      <c r="K729" t="inlineStr"/>
      <c r="L729" t="inlineStr">
        <is>
          <t>CS 1-1</t>
        </is>
      </c>
      <c r="M729" t="inlineStr"/>
      <c r="N729">
        <f>C729&amp;"|"&amp;D729</f>
        <v/>
      </c>
      <c r="O729">
        <f>COUNTIF($N$2:N729,N729)</f>
        <v/>
      </c>
      <c r="P729">
        <f>N729&amp;"|"&amp;O729</f>
        <v/>
      </c>
      <c r="Q729">
        <f>C729&amp;"|"&amp;D729&amp;"|"&amp;A729</f>
        <v/>
      </c>
    </row>
    <row r="730">
      <c r="A730" t="n">
        <v>4</v>
      </c>
      <c r="B730" t="inlineStr">
        <is>
          <t>Arizala Castro Roberto Carlos</t>
        </is>
      </c>
      <c r="C730" t="inlineStr">
        <is>
          <t>JUEVES</t>
        </is>
      </c>
      <c r="D730" t="n">
        <v>5</v>
      </c>
      <c r="E730" t="n">
        <v>3</v>
      </c>
      <c r="F730" t="inlineStr">
        <is>
          <t>CLASE</t>
        </is>
      </c>
      <c r="G730" t="inlineStr">
        <is>
          <t>CS102</t>
        </is>
      </c>
      <c r="H730" t="inlineStr">
        <is>
          <t>CNA</t>
        </is>
      </c>
      <c r="I730" t="inlineStr"/>
      <c r="J730" t="inlineStr"/>
      <c r="K730" t="inlineStr"/>
      <c r="L730" t="inlineStr">
        <is>
          <t>CS 1-2</t>
        </is>
      </c>
      <c r="M730" t="inlineStr"/>
      <c r="N730">
        <f>C730&amp;"|"&amp;D730</f>
        <v/>
      </c>
      <c r="O730">
        <f>COUNTIF($N$2:N730,N730)</f>
        <v/>
      </c>
      <c r="P730">
        <f>N730&amp;"|"&amp;O730</f>
        <v/>
      </c>
      <c r="Q730">
        <f>C730&amp;"|"&amp;D730&amp;"|"&amp;A730</f>
        <v/>
      </c>
    </row>
    <row r="731">
      <c r="A731" t="n">
        <v>35</v>
      </c>
      <c r="B731" t="inlineStr">
        <is>
          <t>Ortiz Araujo Adiela Carlota</t>
        </is>
      </c>
      <c r="C731" t="inlineStr">
        <is>
          <t>JUEVES</t>
        </is>
      </c>
      <c r="D731" t="n">
        <v>5</v>
      </c>
      <c r="E731" t="n">
        <v>3</v>
      </c>
      <c r="F731" t="inlineStr">
        <is>
          <t>CLASE</t>
        </is>
      </c>
      <c r="G731" t="inlineStr">
        <is>
          <t>CS201</t>
        </is>
      </c>
      <c r="H731" t="inlineStr">
        <is>
          <t>CSI</t>
        </is>
      </c>
      <c r="I731" t="inlineStr"/>
      <c r="J731" t="inlineStr">
        <is>
          <t>Sociales / Inglés (alternan cada semana)</t>
        </is>
      </c>
      <c r="K731" t="inlineStr"/>
      <c r="L731" t="inlineStr">
        <is>
          <t>CS 2-1</t>
        </is>
      </c>
      <c r="M731" t="inlineStr">
        <is>
          <t>Sociales / Inglés (alternan cada semana)</t>
        </is>
      </c>
      <c r="N731">
        <f>C731&amp;"|"&amp;D731</f>
        <v/>
      </c>
      <c r="O731">
        <f>COUNTIF($N$2:N731,N731)</f>
        <v/>
      </c>
      <c r="P731">
        <f>N731&amp;"|"&amp;O731</f>
        <v/>
      </c>
      <c r="Q731">
        <f>C731&amp;"|"&amp;D731&amp;"|"&amp;A731</f>
        <v/>
      </c>
    </row>
    <row r="732">
      <c r="A732" t="n">
        <v>19</v>
      </c>
      <c r="B732" t="inlineStr">
        <is>
          <t>Fernández Vélez Alfredo Enrique</t>
        </is>
      </c>
      <c r="C732" t="inlineStr">
        <is>
          <t>JUEVES</t>
        </is>
      </c>
      <c r="D732" t="n">
        <v>5</v>
      </c>
      <c r="E732" t="n">
        <v>3</v>
      </c>
      <c r="F732" t="inlineStr">
        <is>
          <t>ENFASIS</t>
        </is>
      </c>
      <c r="G732" t="inlineStr"/>
      <c r="H732" t="inlineStr">
        <is>
          <t>TEI</t>
        </is>
      </c>
      <c r="I732" t="inlineStr">
        <is>
          <t>0704</t>
        </is>
      </c>
      <c r="J732" t="inlineStr">
        <is>
          <t>PAREJA: comparten el énfasis y alternan por semana</t>
        </is>
      </c>
      <c r="K732" t="inlineStr">
        <is>
          <t>Preciado Torres Oleisa (MAT)</t>
        </is>
      </c>
      <c r="L732" t="inlineStr">
        <is>
          <t>ÉNFASIS 7°-4</t>
        </is>
      </c>
      <c r="M732" t="inlineStr">
        <is>
          <t>PAREJA: comparten el énfasis y alternan por semana · Con: Preciado Torres Oleisa (MAT)</t>
        </is>
      </c>
      <c r="N732">
        <f>C732&amp;"|"&amp;D732</f>
        <v/>
      </c>
      <c r="O732">
        <f>COUNTIF($N$2:N732,N732)</f>
        <v/>
      </c>
      <c r="P732">
        <f>N732&amp;"|"&amp;O732</f>
        <v/>
      </c>
      <c r="Q732">
        <f>C732&amp;"|"&amp;D732&amp;"|"&amp;A732</f>
        <v/>
      </c>
    </row>
    <row r="733">
      <c r="A733" t="n">
        <v>38</v>
      </c>
      <c r="B733" t="inlineStr">
        <is>
          <t>Preciado Torres Oleisa</t>
        </is>
      </c>
      <c r="C733" t="inlineStr">
        <is>
          <t>JUEVES</t>
        </is>
      </c>
      <c r="D733" t="n">
        <v>5</v>
      </c>
      <c r="E733" t="n">
        <v>3</v>
      </c>
      <c r="F733" t="inlineStr">
        <is>
          <t>ENFASIS</t>
        </is>
      </c>
      <c r="G733" t="inlineStr"/>
      <c r="H733" t="inlineStr">
        <is>
          <t>MAT</t>
        </is>
      </c>
      <c r="I733" t="inlineStr">
        <is>
          <t>0704</t>
        </is>
      </c>
      <c r="J733" t="inlineStr">
        <is>
          <t>PAREJA: comparten el énfasis y alternan por semana</t>
        </is>
      </c>
      <c r="K733" t="inlineStr">
        <is>
          <t>Fernández Vélez Alfredo Enrique (TEI)</t>
        </is>
      </c>
      <c r="L733" t="inlineStr">
        <is>
          <t>ÉNFASIS 7°-4</t>
        </is>
      </c>
      <c r="M733" t="inlineStr">
        <is>
          <t>PAREJA: comparten el énfasis y alternan por semana · Con: Fernández Vélez Alfredo Enrique (TEI)</t>
        </is>
      </c>
      <c r="N733">
        <f>C733&amp;"|"&amp;D733</f>
        <v/>
      </c>
      <c r="O733">
        <f>COUNTIF($N$2:N733,N733)</f>
        <v/>
      </c>
      <c r="P733">
        <f>N733&amp;"|"&amp;O733</f>
        <v/>
      </c>
      <c r="Q733">
        <f>C733&amp;"|"&amp;D733&amp;"|"&amp;A733</f>
        <v/>
      </c>
    </row>
    <row r="734">
      <c r="A734" t="n">
        <v>12</v>
      </c>
      <c r="B734" t="inlineStr">
        <is>
          <t>Chillambo Quiñones María Rocío</t>
        </is>
      </c>
      <c r="C734" t="inlineStr">
        <is>
          <t>JUEVES</t>
        </is>
      </c>
      <c r="D734" t="n">
        <v>5</v>
      </c>
      <c r="E734" t="n">
        <v>3</v>
      </c>
      <c r="F734" t="inlineStr">
        <is>
          <t>ENFASIS</t>
        </is>
      </c>
      <c r="G734" t="inlineStr"/>
      <c r="H734" t="inlineStr">
        <is>
          <t>CNA</t>
        </is>
      </c>
      <c r="I734" t="inlineStr">
        <is>
          <t>0801</t>
        </is>
      </c>
      <c r="J734" t="inlineStr">
        <is>
          <t>EQUIPO DE 4: cada docente atiende un grupo de estudiantes en su área</t>
        </is>
      </c>
      <c r="K734" t="inlineStr">
        <is>
          <t>Samaniego Angulo Flor Mireya (ART); Valverde Montaño María Teresa (CAS); Cuero Bamba Berte Levi (ERD)</t>
        </is>
      </c>
      <c r="L734" t="inlineStr">
        <is>
          <t>ÉNFASIS 8°-1</t>
        </is>
      </c>
      <c r="M734" t="inlineStr">
        <is>
          <t>EQUIPO DE 4: cada docente atiende un grupo de estudiantes en su área · Con: Samaniego Angulo Flor Mireya (ART); Valverde Montaño María Teresa (CAS); Cuero Bamba Berte Levi (ERD)</t>
        </is>
      </c>
      <c r="N734">
        <f>C734&amp;"|"&amp;D734</f>
        <v/>
      </c>
      <c r="O734">
        <f>COUNTIF($N$2:N734,N734)</f>
        <v/>
      </c>
      <c r="P734">
        <f>N734&amp;"|"&amp;O734</f>
        <v/>
      </c>
      <c r="Q734">
        <f>C734&amp;"|"&amp;D734&amp;"|"&amp;A734</f>
        <v/>
      </c>
    </row>
    <row r="735">
      <c r="A735" t="n">
        <v>15</v>
      </c>
      <c r="B735" t="inlineStr">
        <is>
          <t>Cuero Bamba Berte Levi</t>
        </is>
      </c>
      <c r="C735" t="inlineStr">
        <is>
          <t>JUEVES</t>
        </is>
      </c>
      <c r="D735" t="n">
        <v>5</v>
      </c>
      <c r="E735" t="n">
        <v>3</v>
      </c>
      <c r="F735" t="inlineStr">
        <is>
          <t>ENFASIS</t>
        </is>
      </c>
      <c r="G735" t="inlineStr"/>
      <c r="H735" t="inlineStr">
        <is>
          <t>ERD</t>
        </is>
      </c>
      <c r="I735" t="inlineStr">
        <is>
          <t>0801</t>
        </is>
      </c>
      <c r="J735" t="inlineStr">
        <is>
          <t>EQUIPO DE 4: cada docente atiende un grupo de estudiantes en su área</t>
        </is>
      </c>
      <c r="K735" t="inlineStr">
        <is>
          <t>Samaniego Angulo Flor Mireya (ART); Valverde Montaño María Teresa (CAS); Chillambo Quiñones María Rocío (CNA)</t>
        </is>
      </c>
      <c r="L735" t="inlineStr">
        <is>
          <t>ÉNFASIS 8°-1</t>
        </is>
      </c>
      <c r="M735" t="inlineStr">
        <is>
          <t>EQUIPO DE 4: cada docente atiende un grupo de estudiantes en su área · Con: Samaniego Angulo Flor Mireya (ART); Valverde Montaño María Teresa (CAS); Chillambo Quiñones María Rocío (CNA)</t>
        </is>
      </c>
      <c r="N735">
        <f>C735&amp;"|"&amp;D735</f>
        <v/>
      </c>
      <c r="O735">
        <f>COUNTIF($N$2:N735,N735)</f>
        <v/>
      </c>
      <c r="P735">
        <f>N735&amp;"|"&amp;O735</f>
        <v/>
      </c>
      <c r="Q735">
        <f>C735&amp;"|"&amp;D735&amp;"|"&amp;A735</f>
        <v/>
      </c>
    </row>
    <row r="736">
      <c r="A736" t="n">
        <v>44</v>
      </c>
      <c r="B736" t="inlineStr">
        <is>
          <t>Samaniego Angulo Flor Mireya</t>
        </is>
      </c>
      <c r="C736" t="inlineStr">
        <is>
          <t>JUEVES</t>
        </is>
      </c>
      <c r="D736" t="n">
        <v>5</v>
      </c>
      <c r="E736" t="n">
        <v>3</v>
      </c>
      <c r="F736" t="inlineStr">
        <is>
          <t>ENFASIS</t>
        </is>
      </c>
      <c r="G736" t="inlineStr"/>
      <c r="H736" t="inlineStr">
        <is>
          <t>ART</t>
        </is>
      </c>
      <c r="I736" t="inlineStr">
        <is>
          <t>0801</t>
        </is>
      </c>
      <c r="J736" t="inlineStr">
        <is>
          <t>EQUIPO DE 4: cada docente atiende un grupo de estudiantes en su área</t>
        </is>
      </c>
      <c r="K736" t="inlineStr">
        <is>
          <t>Valverde Montaño María Teresa (CAS); Cuero Bamba Berte Levi (ERD); Chillambo Quiñones María Rocío (CNA)</t>
        </is>
      </c>
      <c r="L736" t="inlineStr">
        <is>
          <t>ÉNFASIS 8°-1</t>
        </is>
      </c>
      <c r="M736" t="inlineStr">
        <is>
          <t>EQUIPO DE 4: cada docente atiende un grupo de estudiantes en su área · Con: Valverde Montaño María Teresa (CAS); Cuero Bamba Berte Levi (ERD); Chillambo Quiñones María Rocío (CNA)</t>
        </is>
      </c>
      <c r="N736">
        <f>C736&amp;"|"&amp;D736</f>
        <v/>
      </c>
      <c r="O736">
        <f>COUNTIF($N$2:N736,N736)</f>
        <v/>
      </c>
      <c r="P736">
        <f>N736&amp;"|"&amp;O736</f>
        <v/>
      </c>
      <c r="Q736">
        <f>C736&amp;"|"&amp;D736&amp;"|"&amp;A736</f>
        <v/>
      </c>
    </row>
    <row r="737">
      <c r="A737" t="n">
        <v>51</v>
      </c>
      <c r="B737" t="inlineStr">
        <is>
          <t>Valverde Montaño María Teresa</t>
        </is>
      </c>
      <c r="C737" t="inlineStr">
        <is>
          <t>JUEVES</t>
        </is>
      </c>
      <c r="D737" t="n">
        <v>5</v>
      </c>
      <c r="E737" t="n">
        <v>3</v>
      </c>
      <c r="F737" t="inlineStr">
        <is>
          <t>ENFASIS</t>
        </is>
      </c>
      <c r="G737" t="inlineStr"/>
      <c r="H737" t="inlineStr">
        <is>
          <t>CAS</t>
        </is>
      </c>
      <c r="I737" t="inlineStr">
        <is>
          <t>0801</t>
        </is>
      </c>
      <c r="J737" t="inlineStr">
        <is>
          <t>EQUIPO DE 4: cada docente atiende un grupo de estudiantes en su área</t>
        </is>
      </c>
      <c r="K737" t="inlineStr">
        <is>
          <t>Samaniego Angulo Flor Mireya (ART); Cuero Bamba Berte Levi (ERD); Chillambo Quiñones María Rocío (CNA)</t>
        </is>
      </c>
      <c r="L737" t="inlineStr">
        <is>
          <t>ÉNFASIS 8°-1</t>
        </is>
      </c>
      <c r="M737" t="inlineStr">
        <is>
          <t>EQUIPO DE 4: cada docente atiende un grupo de estudiantes en su área · Con: Samaniego Angulo Flor Mireya (ART); Cuero Bamba Berte Levi (ERD); Chillambo Quiñones María Rocío (CNA)</t>
        </is>
      </c>
      <c r="N737">
        <f>C737&amp;"|"&amp;D737</f>
        <v/>
      </c>
      <c r="O737">
        <f>COUNTIF($N$2:N737,N737)</f>
        <v/>
      </c>
      <c r="P737">
        <f>N737&amp;"|"&amp;O737</f>
        <v/>
      </c>
      <c r="Q737">
        <f>C737&amp;"|"&amp;D737&amp;"|"&amp;A737</f>
        <v/>
      </c>
    </row>
    <row r="738">
      <c r="A738" t="n">
        <v>2</v>
      </c>
      <c r="B738" t="inlineStr">
        <is>
          <t>Angulo Lucero Andrés Mauricio</t>
        </is>
      </c>
      <c r="C738" t="inlineStr">
        <is>
          <t>JUEVES</t>
        </is>
      </c>
      <c r="D738" t="n">
        <v>5</v>
      </c>
      <c r="E738" t="n">
        <v>3</v>
      </c>
      <c r="F738" t="inlineStr">
        <is>
          <t>ENFASIS</t>
        </is>
      </c>
      <c r="G738" t="inlineStr"/>
      <c r="H738" t="inlineStr">
        <is>
          <t>TEI</t>
        </is>
      </c>
      <c r="I738" t="inlineStr">
        <is>
          <t>1002</t>
        </is>
      </c>
      <c r="J738" t="inlineStr">
        <is>
          <t>EQUIPO DE 4: cada docente atiende un grupo de estudiantes en su área</t>
        </is>
      </c>
      <c r="K738" t="inlineStr">
        <is>
          <t>Pulgarín Ortiz César Marino (CSI); Montaño Arizala Leidis Claudina (ETR); Villota Rubio Janeth del Carmen (MAT)</t>
        </is>
      </c>
      <c r="L738" t="inlineStr">
        <is>
          <t>ÉNFASIS 10°-2</t>
        </is>
      </c>
      <c r="M738" t="inlineStr">
        <is>
          <t>EQUIPO DE 4: cada docente atiende un grupo de estudiantes en su área · Con: Pulgarín Ortiz César Marino (CSI); Montaño Arizala Leidis Claudina (ETR); Villota Rubio Janeth del Carmen (MAT)</t>
        </is>
      </c>
      <c r="N738">
        <f>C738&amp;"|"&amp;D738</f>
        <v/>
      </c>
      <c r="O738">
        <f>COUNTIF($N$2:N738,N738)</f>
        <v/>
      </c>
      <c r="P738">
        <f>N738&amp;"|"&amp;O738</f>
        <v/>
      </c>
      <c r="Q738">
        <f>C738&amp;"|"&amp;D738&amp;"|"&amp;A738</f>
        <v/>
      </c>
    </row>
    <row r="739">
      <c r="A739" t="n">
        <v>31</v>
      </c>
      <c r="B739" t="inlineStr">
        <is>
          <t>Montaño Arizala Leidis Claudina</t>
        </is>
      </c>
      <c r="C739" t="inlineStr">
        <is>
          <t>JUEVES</t>
        </is>
      </c>
      <c r="D739" t="n">
        <v>5</v>
      </c>
      <c r="E739" t="n">
        <v>3</v>
      </c>
      <c r="F739" t="inlineStr">
        <is>
          <t>ENFASIS</t>
        </is>
      </c>
      <c r="G739" t="inlineStr"/>
      <c r="H739" t="inlineStr">
        <is>
          <t>ETR</t>
        </is>
      </c>
      <c r="I739" t="inlineStr">
        <is>
          <t>1002</t>
        </is>
      </c>
      <c r="J739" t="inlineStr">
        <is>
          <t>EQUIPO DE 4: cada docente atiende un grupo de estudiantes en su área</t>
        </is>
      </c>
      <c r="K739" t="inlineStr">
        <is>
          <t>Pulgarín Ortiz César Marino (CSI); Villota Rubio Janeth del Carmen (MAT); Angulo Lucero Andrés Mauricio (TEI)</t>
        </is>
      </c>
      <c r="L739" t="inlineStr">
        <is>
          <t>ÉNFASIS 10°-2</t>
        </is>
      </c>
      <c r="M739" t="inlineStr">
        <is>
          <t>EQUIPO DE 4: cada docente atiende un grupo de estudiantes en su área · Con: Pulgarín Ortiz César Marino (CSI); Villota Rubio Janeth del Carmen (MAT); Angulo Lucero Andrés Mauricio (TEI)</t>
        </is>
      </c>
      <c r="N739">
        <f>C739&amp;"|"&amp;D739</f>
        <v/>
      </c>
      <c r="O739">
        <f>COUNTIF($N$2:N739,N739)</f>
        <v/>
      </c>
      <c r="P739">
        <f>N739&amp;"|"&amp;O739</f>
        <v/>
      </c>
      <c r="Q739">
        <f>C739&amp;"|"&amp;D739&amp;"|"&amp;A739</f>
        <v/>
      </c>
    </row>
    <row r="740">
      <c r="A740" t="n">
        <v>40</v>
      </c>
      <c r="B740" t="inlineStr">
        <is>
          <t>Pulgarín Ortiz César Marino</t>
        </is>
      </c>
      <c r="C740" t="inlineStr">
        <is>
          <t>JUEVES</t>
        </is>
      </c>
      <c r="D740" t="n">
        <v>5</v>
      </c>
      <c r="E740" t="n">
        <v>3</v>
      </c>
      <c r="F740" t="inlineStr">
        <is>
          <t>ENFASIS</t>
        </is>
      </c>
      <c r="G740" t="inlineStr"/>
      <c r="H740" t="inlineStr">
        <is>
          <t>CSI</t>
        </is>
      </c>
      <c r="I740" t="inlineStr">
        <is>
          <t>1002</t>
        </is>
      </c>
      <c r="J740" t="inlineStr">
        <is>
          <t>EQUIPO DE 4: cada docente atiende un grupo de estudiantes en su área</t>
        </is>
      </c>
      <c r="K740" t="inlineStr">
        <is>
          <t>Montaño Arizala Leidis Claudina (ETR); Villota Rubio Janeth del Carmen (MAT); Angulo Lucero Andrés Mauricio (TEI)</t>
        </is>
      </c>
      <c r="L740" t="inlineStr">
        <is>
          <t>ÉNFASIS 10°-2</t>
        </is>
      </c>
      <c r="M740" t="inlineStr">
        <is>
          <t>EQUIPO DE 4: cada docente atiende un grupo de estudiantes en su área · Con: Montaño Arizala Leidis Claudina (ETR); Villota Rubio Janeth del Carmen (MAT); Angulo Lucero Andrés Mauricio (TEI)</t>
        </is>
      </c>
      <c r="N740">
        <f>C740&amp;"|"&amp;D740</f>
        <v/>
      </c>
      <c r="O740">
        <f>COUNTIF($N$2:N740,N740)</f>
        <v/>
      </c>
      <c r="P740">
        <f>N740&amp;"|"&amp;O740</f>
        <v/>
      </c>
      <c r="Q740">
        <f>C740&amp;"|"&amp;D740&amp;"|"&amp;A740</f>
        <v/>
      </c>
    </row>
    <row r="741">
      <c r="A741" t="n">
        <v>54</v>
      </c>
      <c r="B741" t="inlineStr">
        <is>
          <t>Villota Rubio Janeth del Carmen</t>
        </is>
      </c>
      <c r="C741" t="inlineStr">
        <is>
          <t>JUEVES</t>
        </is>
      </c>
      <c r="D741" t="n">
        <v>5</v>
      </c>
      <c r="E741" t="n">
        <v>3</v>
      </c>
      <c r="F741" t="inlineStr">
        <is>
          <t>ENFASIS</t>
        </is>
      </c>
      <c r="G741" t="inlineStr"/>
      <c r="H741" t="inlineStr">
        <is>
          <t>MAT</t>
        </is>
      </c>
      <c r="I741" t="inlineStr">
        <is>
          <t>1002</t>
        </is>
      </c>
      <c r="J741" t="inlineStr">
        <is>
          <t>EQUIPO DE 4: cada docente atiende un grupo de estudiantes en su área</t>
        </is>
      </c>
      <c r="K741" t="inlineStr">
        <is>
          <t>Pulgarín Ortiz César Marino (CSI); Montaño Arizala Leidis Claudina (ETR); Angulo Lucero Andrés Mauricio (TEI)</t>
        </is>
      </c>
      <c r="L741" t="inlineStr">
        <is>
          <t>ÉNFASIS 10°-2</t>
        </is>
      </c>
      <c r="M741" t="inlineStr">
        <is>
          <t>EQUIPO DE 4: cada docente atiende un grupo de estudiantes en su área · Con: Pulgarín Ortiz César Marino (CSI); Montaño Arizala Leidis Claudina (ETR); Angulo Lucero Andrés Mauricio (TEI)</t>
        </is>
      </c>
      <c r="N741">
        <f>C741&amp;"|"&amp;D741</f>
        <v/>
      </c>
      <c r="O741">
        <f>COUNTIF($N$2:N741,N741)</f>
        <v/>
      </c>
      <c r="P741">
        <f>N741&amp;"|"&amp;O741</f>
        <v/>
      </c>
      <c r="Q741">
        <f>C741&amp;"|"&amp;D741&amp;"|"&amp;A741</f>
        <v/>
      </c>
    </row>
    <row r="742">
      <c r="A742" t="n">
        <v>5</v>
      </c>
      <c r="B742" t="inlineStr">
        <is>
          <t>Bastidas Valencia Zeneida Judith</t>
        </is>
      </c>
      <c r="C742" t="inlineStr">
        <is>
          <t>JUEVES</t>
        </is>
      </c>
      <c r="D742" t="n">
        <v>5</v>
      </c>
      <c r="E742" t="n">
        <v>3</v>
      </c>
      <c r="F742" t="inlineStr">
        <is>
          <t>ENFASIS</t>
        </is>
      </c>
      <c r="G742" t="inlineStr"/>
      <c r="H742" t="inlineStr">
        <is>
          <t>MAT</t>
        </is>
      </c>
      <c r="I742" t="inlineStr">
        <is>
          <t>CS202</t>
        </is>
      </c>
      <c r="J742" t="inlineStr">
        <is>
          <t>EQUIPO DE 4: cada docente atiende un grupo de estudiantes en su área</t>
        </is>
      </c>
      <c r="K742" t="inlineStr">
        <is>
          <t>Betancourth Ocampo Yohana Patricia (CSI); Estacio Estupiñán Rosario (ETR); Mindineros Satizábal John Jáver (TEI)</t>
        </is>
      </c>
      <c r="L742" t="inlineStr">
        <is>
          <t>ÉNFASIS CS 2-2</t>
        </is>
      </c>
      <c r="M742" t="inlineStr">
        <is>
          <t>EQUIPO DE 4: cada docente atiende un grupo de estudiantes en su área · Con: Betancourth Ocampo Yohana Patricia (CSI); Estacio Estupiñán Rosario (ETR); Mindineros Satizábal John Jáver (TEI)</t>
        </is>
      </c>
      <c r="N742">
        <f>C742&amp;"|"&amp;D742</f>
        <v/>
      </c>
      <c r="O742">
        <f>COUNTIF($N$2:N742,N742)</f>
        <v/>
      </c>
      <c r="P742">
        <f>N742&amp;"|"&amp;O742</f>
        <v/>
      </c>
      <c r="Q742">
        <f>C742&amp;"|"&amp;D742&amp;"|"&amp;A742</f>
        <v/>
      </c>
    </row>
    <row r="743">
      <c r="A743" t="n">
        <v>6</v>
      </c>
      <c r="B743" t="inlineStr">
        <is>
          <t>Betancourth Ocampo Yohana Patricia</t>
        </is>
      </c>
      <c r="C743" t="inlineStr">
        <is>
          <t>JUEVES</t>
        </is>
      </c>
      <c r="D743" t="n">
        <v>5</v>
      </c>
      <c r="E743" t="n">
        <v>3</v>
      </c>
      <c r="F743" t="inlineStr">
        <is>
          <t>ENFASIS</t>
        </is>
      </c>
      <c r="G743" t="inlineStr"/>
      <c r="H743" t="inlineStr">
        <is>
          <t>CSI</t>
        </is>
      </c>
      <c r="I743" t="inlineStr">
        <is>
          <t>CS202</t>
        </is>
      </c>
      <c r="J743" t="inlineStr">
        <is>
          <t>EQUIPO DE 4: cada docente atiende un grupo de estudiantes en su área</t>
        </is>
      </c>
      <c r="K743" t="inlineStr">
        <is>
          <t>Estacio Estupiñán Rosario (ETR); Bastidas Valencia Zeneida Judith (MAT); Mindineros Satizábal John Jáver (TEI)</t>
        </is>
      </c>
      <c r="L743" t="inlineStr">
        <is>
          <t>ÉNFASIS CS 2-2</t>
        </is>
      </c>
      <c r="M743" t="inlineStr">
        <is>
          <t>EQUIPO DE 4: cada docente atiende un grupo de estudiantes en su área · Con: Estacio Estupiñán Rosario (ETR); Bastidas Valencia Zeneida Judith (MAT); Mindineros Satizábal John Jáver (TEI)</t>
        </is>
      </c>
      <c r="N743">
        <f>C743&amp;"|"&amp;D743</f>
        <v/>
      </c>
      <c r="O743">
        <f>COUNTIF($N$2:N743,N743)</f>
        <v/>
      </c>
      <c r="P743">
        <f>N743&amp;"|"&amp;O743</f>
        <v/>
      </c>
      <c r="Q743">
        <f>C743&amp;"|"&amp;D743&amp;"|"&amp;A743</f>
        <v/>
      </c>
    </row>
    <row r="744">
      <c r="A744" t="n">
        <v>18</v>
      </c>
      <c r="B744" t="inlineStr">
        <is>
          <t>Estacio Estupiñán Rosario</t>
        </is>
      </c>
      <c r="C744" t="inlineStr">
        <is>
          <t>JUEVES</t>
        </is>
      </c>
      <c r="D744" t="n">
        <v>5</v>
      </c>
      <c r="E744" t="n">
        <v>3</v>
      </c>
      <c r="F744" t="inlineStr">
        <is>
          <t>ENFASIS</t>
        </is>
      </c>
      <c r="G744" t="inlineStr"/>
      <c r="H744" t="inlineStr">
        <is>
          <t>ETR</t>
        </is>
      </c>
      <c r="I744" t="inlineStr">
        <is>
          <t>CS202</t>
        </is>
      </c>
      <c r="J744" t="inlineStr">
        <is>
          <t>EQUIPO DE 4: cada docente atiende un grupo de estudiantes en su área</t>
        </is>
      </c>
      <c r="K744" t="inlineStr">
        <is>
          <t>Betancourth Ocampo Yohana Patricia (CSI); Bastidas Valencia Zeneida Judith (MAT); Mindineros Satizábal John Jáver (TEI)</t>
        </is>
      </c>
      <c r="L744" t="inlineStr">
        <is>
          <t>ÉNFASIS CS 2-2</t>
        </is>
      </c>
      <c r="M744" t="inlineStr">
        <is>
          <t>EQUIPO DE 4: cada docente atiende un grupo de estudiantes en su área · Con: Betancourth Ocampo Yohana Patricia (CSI); Bastidas Valencia Zeneida Judith (MAT); Mindineros Satizábal John Jáver (TEI)</t>
        </is>
      </c>
      <c r="N744">
        <f>C744&amp;"|"&amp;D744</f>
        <v/>
      </c>
      <c r="O744">
        <f>COUNTIF($N$2:N744,N744)</f>
        <v/>
      </c>
      <c r="P744">
        <f>N744&amp;"|"&amp;O744</f>
        <v/>
      </c>
      <c r="Q744">
        <f>C744&amp;"|"&amp;D744&amp;"|"&amp;A744</f>
        <v/>
      </c>
    </row>
    <row r="745">
      <c r="A745" t="n">
        <v>29</v>
      </c>
      <c r="B745" t="inlineStr">
        <is>
          <t>Mindineros Satizábal John Jáver</t>
        </is>
      </c>
      <c r="C745" t="inlineStr">
        <is>
          <t>JUEVES</t>
        </is>
      </c>
      <c r="D745" t="n">
        <v>5</v>
      </c>
      <c r="E745" t="n">
        <v>3</v>
      </c>
      <c r="F745" t="inlineStr">
        <is>
          <t>ENFASIS</t>
        </is>
      </c>
      <c r="G745" t="inlineStr"/>
      <c r="H745" t="inlineStr">
        <is>
          <t>TEI</t>
        </is>
      </c>
      <c r="I745" t="inlineStr">
        <is>
          <t>CS202</t>
        </is>
      </c>
      <c r="J745" t="inlineStr">
        <is>
          <t>EQUIPO DE 4: cada docente atiende un grupo de estudiantes en su área</t>
        </is>
      </c>
      <c r="K745" t="inlineStr">
        <is>
          <t>Betancourth Ocampo Yohana Patricia (CSI); Estacio Estupiñán Rosario (ETR); Bastidas Valencia Zeneida Judith (MAT)</t>
        </is>
      </c>
      <c r="L745" t="inlineStr">
        <is>
          <t>ÉNFASIS CS 2-2</t>
        </is>
      </c>
      <c r="M745" t="inlineStr">
        <is>
          <t>EQUIPO DE 4: cada docente atiende un grupo de estudiantes en su área · Con: Betancourth Ocampo Yohana Patricia (CSI); Estacio Estupiñán Rosario (ETR); Bastidas Valencia Zeneida Judith (MAT)</t>
        </is>
      </c>
      <c r="N745">
        <f>C745&amp;"|"&amp;D745</f>
        <v/>
      </c>
      <c r="O745">
        <f>COUNTIF($N$2:N745,N745)</f>
        <v/>
      </c>
      <c r="P745">
        <f>N745&amp;"|"&amp;O745</f>
        <v/>
      </c>
      <c r="Q745">
        <f>C745&amp;"|"&amp;D745&amp;"|"&amp;A745</f>
        <v/>
      </c>
    </row>
    <row r="746">
      <c r="A746" t="n">
        <v>20</v>
      </c>
      <c r="B746" t="inlineStr">
        <is>
          <t>García Gobea Saydi Magali</t>
        </is>
      </c>
      <c r="C746" t="inlineStr">
        <is>
          <t>JUEVES</t>
        </is>
      </c>
      <c r="D746" t="n">
        <v>6</v>
      </c>
      <c r="E746" t="n">
        <v>3</v>
      </c>
      <c r="F746" t="inlineStr">
        <is>
          <t>CLASE</t>
        </is>
      </c>
      <c r="G746" t="inlineStr">
        <is>
          <t>0601</t>
        </is>
      </c>
      <c r="H746" t="inlineStr">
        <is>
          <t>CSI</t>
        </is>
      </c>
      <c r="I746" t="inlineStr"/>
      <c r="J746" t="inlineStr">
        <is>
          <t>Sociales / Inglés (alternan cada semana)</t>
        </is>
      </c>
      <c r="K746" t="inlineStr"/>
      <c r="L746" t="inlineStr">
        <is>
          <t>6°-1</t>
        </is>
      </c>
      <c r="M746" t="inlineStr">
        <is>
          <t>Sociales / Inglés (alternan cada semana)</t>
        </is>
      </c>
      <c r="N746">
        <f>C746&amp;"|"&amp;D746</f>
        <v/>
      </c>
      <c r="O746">
        <f>COUNTIF($N$2:N746,N746)</f>
        <v/>
      </c>
      <c r="P746">
        <f>N746&amp;"|"&amp;O746</f>
        <v/>
      </c>
      <c r="Q746">
        <f>C746&amp;"|"&amp;D746&amp;"|"&amp;A746</f>
        <v/>
      </c>
    </row>
    <row r="747">
      <c r="A747" t="n">
        <v>42</v>
      </c>
      <c r="B747" t="inlineStr">
        <is>
          <t>Quiñones Cabezas Marcos Vidal</t>
        </is>
      </c>
      <c r="C747" t="inlineStr">
        <is>
          <t>JUEVES</t>
        </is>
      </c>
      <c r="D747" t="n">
        <v>6</v>
      </c>
      <c r="E747" t="n">
        <v>3</v>
      </c>
      <c r="F747" t="inlineStr">
        <is>
          <t>CLASE</t>
        </is>
      </c>
      <c r="G747" t="inlineStr">
        <is>
          <t>0602</t>
        </is>
      </c>
      <c r="H747" t="inlineStr">
        <is>
          <t>MAT</t>
        </is>
      </c>
      <c r="I747" t="inlineStr"/>
      <c r="J747" t="inlineStr"/>
      <c r="K747" t="inlineStr"/>
      <c r="L747" t="inlineStr">
        <is>
          <t>6°-2</t>
        </is>
      </c>
      <c r="M747" t="inlineStr"/>
      <c r="N747">
        <f>C747&amp;"|"&amp;D747</f>
        <v/>
      </c>
      <c r="O747">
        <f>COUNTIF($N$2:N747,N747)</f>
        <v/>
      </c>
      <c r="P747">
        <f>N747&amp;"|"&amp;O747</f>
        <v/>
      </c>
      <c r="Q747">
        <f>C747&amp;"|"&amp;D747&amp;"|"&amp;A747</f>
        <v/>
      </c>
    </row>
    <row r="748">
      <c r="A748" t="n">
        <v>1</v>
      </c>
      <c r="B748" t="inlineStr">
        <is>
          <t>Aguirre Riascos Jorge Andrés</t>
        </is>
      </c>
      <c r="C748" t="inlineStr">
        <is>
          <t>JUEVES</t>
        </is>
      </c>
      <c r="D748" t="n">
        <v>6</v>
      </c>
      <c r="E748" t="n">
        <v>3</v>
      </c>
      <c r="F748" t="inlineStr">
        <is>
          <t>CLASE</t>
        </is>
      </c>
      <c r="G748" t="inlineStr">
        <is>
          <t>0701</t>
        </is>
      </c>
      <c r="H748" t="inlineStr">
        <is>
          <t>TEI</t>
        </is>
      </c>
      <c r="I748" t="inlineStr"/>
      <c r="J748" t="inlineStr"/>
      <c r="K748" t="inlineStr"/>
      <c r="L748" t="inlineStr">
        <is>
          <t>7°-1</t>
        </is>
      </c>
      <c r="M748" t="inlineStr"/>
      <c r="N748">
        <f>C748&amp;"|"&amp;D748</f>
        <v/>
      </c>
      <c r="O748">
        <f>COUNTIF($N$2:N748,N748)</f>
        <v/>
      </c>
      <c r="P748">
        <f>N748&amp;"|"&amp;O748</f>
        <v/>
      </c>
      <c r="Q748">
        <f>C748&amp;"|"&amp;D748&amp;"|"&amp;A748</f>
        <v/>
      </c>
    </row>
    <row r="749">
      <c r="A749" t="n">
        <v>4</v>
      </c>
      <c r="B749" t="inlineStr">
        <is>
          <t>Arizala Castro Roberto Carlos</t>
        </is>
      </c>
      <c r="C749" t="inlineStr">
        <is>
          <t>JUEVES</t>
        </is>
      </c>
      <c r="D749" t="n">
        <v>6</v>
      </c>
      <c r="E749" t="n">
        <v>3</v>
      </c>
      <c r="F749" t="inlineStr">
        <is>
          <t>CLASE</t>
        </is>
      </c>
      <c r="G749" t="inlineStr">
        <is>
          <t>0702</t>
        </is>
      </c>
      <c r="H749" t="inlineStr">
        <is>
          <t>ERD</t>
        </is>
      </c>
      <c r="I749" t="inlineStr"/>
      <c r="J749" t="inlineStr"/>
      <c r="K749" t="inlineStr"/>
      <c r="L749" t="inlineStr">
        <is>
          <t>7°-2</t>
        </is>
      </c>
      <c r="M749" t="inlineStr"/>
      <c r="N749">
        <f>C749&amp;"|"&amp;D749</f>
        <v/>
      </c>
      <c r="O749">
        <f>COUNTIF($N$2:N749,N749)</f>
        <v/>
      </c>
      <c r="P749">
        <f>N749&amp;"|"&amp;O749</f>
        <v/>
      </c>
      <c r="Q749">
        <f>C749&amp;"|"&amp;D749&amp;"|"&amp;A749</f>
        <v/>
      </c>
    </row>
    <row r="750">
      <c r="A750" t="n">
        <v>10</v>
      </c>
      <c r="B750" t="inlineStr">
        <is>
          <t>Castillo Cuero Daira Eneida</t>
        </is>
      </c>
      <c r="C750" t="inlineStr">
        <is>
          <t>JUEVES</t>
        </is>
      </c>
      <c r="D750" t="n">
        <v>6</v>
      </c>
      <c r="E750" t="n">
        <v>3</v>
      </c>
      <c r="F750" t="inlineStr">
        <is>
          <t>CLASE</t>
        </is>
      </c>
      <c r="G750" t="inlineStr">
        <is>
          <t>0703</t>
        </is>
      </c>
      <c r="H750" t="inlineStr">
        <is>
          <t>CAS</t>
        </is>
      </c>
      <c r="I750" t="inlineStr"/>
      <c r="J750" t="inlineStr"/>
      <c r="K750" t="inlineStr"/>
      <c r="L750" t="inlineStr">
        <is>
          <t>7°-3</t>
        </is>
      </c>
      <c r="M750" t="inlineStr"/>
      <c r="N750">
        <f>C750&amp;"|"&amp;D750</f>
        <v/>
      </c>
      <c r="O750">
        <f>COUNTIF($N$2:N750,N750)</f>
        <v/>
      </c>
      <c r="P750">
        <f>N750&amp;"|"&amp;O750</f>
        <v/>
      </c>
      <c r="Q750">
        <f>C750&amp;"|"&amp;D750&amp;"|"&amp;A750</f>
        <v/>
      </c>
    </row>
    <row r="751">
      <c r="A751" t="n">
        <v>9</v>
      </c>
      <c r="B751" t="inlineStr">
        <is>
          <t>Castillo Angulo Martha Cecilia</t>
        </is>
      </c>
      <c r="C751" t="inlineStr">
        <is>
          <t>JUEVES</t>
        </is>
      </c>
      <c r="D751" t="n">
        <v>6</v>
      </c>
      <c r="E751" t="n">
        <v>3</v>
      </c>
      <c r="F751" t="inlineStr">
        <is>
          <t>CLASE</t>
        </is>
      </c>
      <c r="G751" t="inlineStr">
        <is>
          <t>0802</t>
        </is>
      </c>
      <c r="H751" t="inlineStr">
        <is>
          <t>ETR</t>
        </is>
      </c>
      <c r="I751" t="inlineStr"/>
      <c r="J751" t="inlineStr">
        <is>
          <t>Ética / Religión (alternan cada semana)</t>
        </is>
      </c>
      <c r="K751" t="inlineStr"/>
      <c r="L751" t="inlineStr">
        <is>
          <t>8°-2</t>
        </is>
      </c>
      <c r="M751" t="inlineStr">
        <is>
          <t>Ética / Religión (alternan cada semana)</t>
        </is>
      </c>
      <c r="N751">
        <f>C751&amp;"|"&amp;D751</f>
        <v/>
      </c>
      <c r="O751">
        <f>COUNTIF($N$2:N751,N751)</f>
        <v/>
      </c>
      <c r="P751">
        <f>N751&amp;"|"&amp;O751</f>
        <v/>
      </c>
      <c r="Q751">
        <f>C751&amp;"|"&amp;D751&amp;"|"&amp;A751</f>
        <v/>
      </c>
    </row>
    <row r="752">
      <c r="A752" t="n">
        <v>25</v>
      </c>
      <c r="B752" t="inlineStr">
        <is>
          <t>Lemos Guancha Miriam</t>
        </is>
      </c>
      <c r="C752" t="inlineStr">
        <is>
          <t>JUEVES</t>
        </is>
      </c>
      <c r="D752" t="n">
        <v>6</v>
      </c>
      <c r="E752" t="n">
        <v>3</v>
      </c>
      <c r="F752" t="inlineStr">
        <is>
          <t>CLASE</t>
        </is>
      </c>
      <c r="G752" t="inlineStr">
        <is>
          <t>0901</t>
        </is>
      </c>
      <c r="H752" t="inlineStr">
        <is>
          <t>CNA</t>
        </is>
      </c>
      <c r="I752" t="inlineStr"/>
      <c r="J752" t="inlineStr"/>
      <c r="K752" t="inlineStr"/>
      <c r="L752" t="inlineStr">
        <is>
          <t>9°-1</t>
        </is>
      </c>
      <c r="M752" t="inlineStr"/>
      <c r="N752">
        <f>C752&amp;"|"&amp;D752</f>
        <v/>
      </c>
      <c r="O752">
        <f>COUNTIF($N$2:N752,N752)</f>
        <v/>
      </c>
      <c r="P752">
        <f>N752&amp;"|"&amp;O752</f>
        <v/>
      </c>
      <c r="Q752">
        <f>C752&amp;"|"&amp;D752&amp;"|"&amp;A752</f>
        <v/>
      </c>
    </row>
    <row r="753">
      <c r="A753" t="n">
        <v>22</v>
      </c>
      <c r="B753" t="inlineStr">
        <is>
          <t>González Castillo Jólmer Jimy</t>
        </is>
      </c>
      <c r="C753" t="inlineStr">
        <is>
          <t>JUEVES</t>
        </is>
      </c>
      <c r="D753" t="n">
        <v>6</v>
      </c>
      <c r="E753" t="n">
        <v>3</v>
      </c>
      <c r="F753" t="inlineStr">
        <is>
          <t>CLASE</t>
        </is>
      </c>
      <c r="G753" t="inlineStr">
        <is>
          <t>0902</t>
        </is>
      </c>
      <c r="H753" t="inlineStr">
        <is>
          <t>ERD</t>
        </is>
      </c>
      <c r="I753" t="inlineStr"/>
      <c r="J753" t="inlineStr"/>
      <c r="K753" t="inlineStr"/>
      <c r="L753" t="inlineStr">
        <is>
          <t>9°-2</t>
        </is>
      </c>
      <c r="M753" t="inlineStr"/>
      <c r="N753">
        <f>C753&amp;"|"&amp;D753</f>
        <v/>
      </c>
      <c r="O753">
        <f>COUNTIF($N$2:N753,N753)</f>
        <v/>
      </c>
      <c r="P753">
        <f>N753&amp;"|"&amp;O753</f>
        <v/>
      </c>
      <c r="Q753">
        <f>C753&amp;"|"&amp;D753&amp;"|"&amp;A753</f>
        <v/>
      </c>
    </row>
    <row r="754">
      <c r="A754" t="n">
        <v>49</v>
      </c>
      <c r="B754" t="inlineStr">
        <is>
          <t>Valencia Marínez Saidy Eufemia</t>
        </is>
      </c>
      <c r="C754" t="inlineStr">
        <is>
          <t>JUEVES</t>
        </is>
      </c>
      <c r="D754" t="n">
        <v>6</v>
      </c>
      <c r="E754" t="n">
        <v>3</v>
      </c>
      <c r="F754" t="inlineStr">
        <is>
          <t>CLASE</t>
        </is>
      </c>
      <c r="G754" t="inlineStr">
        <is>
          <t>1001</t>
        </is>
      </c>
      <c r="H754" t="inlineStr">
        <is>
          <t>ART</t>
        </is>
      </c>
      <c r="I754" t="inlineStr"/>
      <c r="J754" t="inlineStr"/>
      <c r="K754" t="inlineStr"/>
      <c r="L754" t="inlineStr">
        <is>
          <t>10°-1</t>
        </is>
      </c>
      <c r="M754" t="inlineStr"/>
      <c r="N754">
        <f>C754&amp;"|"&amp;D754</f>
        <v/>
      </c>
      <c r="O754">
        <f>COUNTIF($N$2:N754,N754)</f>
        <v/>
      </c>
      <c r="P754">
        <f>N754&amp;"|"&amp;O754</f>
        <v/>
      </c>
      <c r="Q754">
        <f>C754&amp;"|"&amp;D754&amp;"|"&amp;A754</f>
        <v/>
      </c>
    </row>
    <row r="755">
      <c r="A755" t="n">
        <v>53</v>
      </c>
      <c r="B755" t="inlineStr">
        <is>
          <t>Villota Rubio Héctor Hugo</t>
        </is>
      </c>
      <c r="C755" t="inlineStr">
        <is>
          <t>JUEVES</t>
        </is>
      </c>
      <c r="D755" t="n">
        <v>6</v>
      </c>
      <c r="E755" t="n">
        <v>3</v>
      </c>
      <c r="F755" t="inlineStr">
        <is>
          <t>CLASE</t>
        </is>
      </c>
      <c r="G755" t="inlineStr">
        <is>
          <t>1101</t>
        </is>
      </c>
      <c r="H755" t="inlineStr">
        <is>
          <t>CNA</t>
        </is>
      </c>
      <c r="I755" t="inlineStr"/>
      <c r="J755" t="inlineStr"/>
      <c r="K755" t="inlineStr"/>
      <c r="L755" t="inlineStr">
        <is>
          <t>11°-1</t>
        </is>
      </c>
      <c r="M755" t="inlineStr"/>
      <c r="N755">
        <f>C755&amp;"|"&amp;D755</f>
        <v/>
      </c>
      <c r="O755">
        <f>COUNTIF($N$2:N755,N755)</f>
        <v/>
      </c>
      <c r="P755">
        <f>N755&amp;"|"&amp;O755</f>
        <v/>
      </c>
      <c r="Q755">
        <f>C755&amp;"|"&amp;D755&amp;"|"&amp;A755</f>
        <v/>
      </c>
    </row>
    <row r="756">
      <c r="A756" t="n">
        <v>43</v>
      </c>
      <c r="B756" t="inlineStr">
        <is>
          <t>Ramírez Guerra Jimmy Eduardo</t>
        </is>
      </c>
      <c r="C756" t="inlineStr">
        <is>
          <t>JUEVES</t>
        </is>
      </c>
      <c r="D756" t="n">
        <v>6</v>
      </c>
      <c r="E756" t="n">
        <v>3</v>
      </c>
      <c r="F756" t="inlineStr">
        <is>
          <t>CLASE</t>
        </is>
      </c>
      <c r="G756" t="inlineStr">
        <is>
          <t>1102</t>
        </is>
      </c>
      <c r="H756" t="inlineStr">
        <is>
          <t>ERD</t>
        </is>
      </c>
      <c r="I756" t="inlineStr"/>
      <c r="J756" t="inlineStr"/>
      <c r="K756" t="inlineStr"/>
      <c r="L756" t="inlineStr">
        <is>
          <t>11°-2</t>
        </is>
      </c>
      <c r="M756" t="inlineStr"/>
      <c r="N756">
        <f>C756&amp;"|"&amp;D756</f>
        <v/>
      </c>
      <c r="O756">
        <f>COUNTIF($N$2:N756,N756)</f>
        <v/>
      </c>
      <c r="P756">
        <f>N756&amp;"|"&amp;O756</f>
        <v/>
      </c>
      <c r="Q756">
        <f>C756&amp;"|"&amp;D756&amp;"|"&amp;A756</f>
        <v/>
      </c>
    </row>
    <row r="757">
      <c r="A757" t="n">
        <v>16</v>
      </c>
      <c r="B757" t="inlineStr">
        <is>
          <t>Cuero Rincón Hernando Jesús</t>
        </is>
      </c>
      <c r="C757" t="inlineStr">
        <is>
          <t>JUEVES</t>
        </is>
      </c>
      <c r="D757" t="n">
        <v>6</v>
      </c>
      <c r="E757" t="n">
        <v>3</v>
      </c>
      <c r="F757" t="inlineStr">
        <is>
          <t>CLASE</t>
        </is>
      </c>
      <c r="G757" t="inlineStr">
        <is>
          <t>CS101</t>
        </is>
      </c>
      <c r="H757" t="inlineStr">
        <is>
          <t>CAS</t>
        </is>
      </c>
      <c r="I757" t="inlineStr"/>
      <c r="J757" t="inlineStr"/>
      <c r="K757" t="inlineStr"/>
      <c r="L757" t="inlineStr">
        <is>
          <t>CS 1-1</t>
        </is>
      </c>
      <c r="M757" t="inlineStr"/>
      <c r="N757">
        <f>C757&amp;"|"&amp;D757</f>
        <v/>
      </c>
      <c r="O757">
        <f>COUNTIF($N$2:N757,N757)</f>
        <v/>
      </c>
      <c r="P757">
        <f>N757&amp;"|"&amp;O757</f>
        <v/>
      </c>
      <c r="Q757">
        <f>C757&amp;"|"&amp;D757&amp;"|"&amp;A757</f>
        <v/>
      </c>
    </row>
    <row r="758">
      <c r="A758" t="n">
        <v>4</v>
      </c>
      <c r="B758" t="inlineStr">
        <is>
          <t>Arizala Castro Roberto Carlos</t>
        </is>
      </c>
      <c r="C758" t="inlineStr">
        <is>
          <t>JUEVES</t>
        </is>
      </c>
      <c r="D758" t="n">
        <v>6</v>
      </c>
      <c r="E758" t="n">
        <v>3</v>
      </c>
      <c r="F758" t="inlineStr">
        <is>
          <t>CLASE</t>
        </is>
      </c>
      <c r="G758" t="inlineStr">
        <is>
          <t>CS102</t>
        </is>
      </c>
      <c r="H758" t="inlineStr">
        <is>
          <t>CNA</t>
        </is>
      </c>
      <c r="I758" t="inlineStr"/>
      <c r="J758" t="inlineStr"/>
      <c r="K758" t="inlineStr"/>
      <c r="L758" t="inlineStr">
        <is>
          <t>CS 1-2</t>
        </is>
      </c>
      <c r="M758" t="inlineStr"/>
      <c r="N758">
        <f>C758&amp;"|"&amp;D758</f>
        <v/>
      </c>
      <c r="O758">
        <f>COUNTIF($N$2:N758,N758)</f>
        <v/>
      </c>
      <c r="P758">
        <f>N758&amp;"|"&amp;O758</f>
        <v/>
      </c>
      <c r="Q758">
        <f>C758&amp;"|"&amp;D758&amp;"|"&amp;A758</f>
        <v/>
      </c>
    </row>
    <row r="759">
      <c r="A759" t="n">
        <v>35</v>
      </c>
      <c r="B759" t="inlineStr">
        <is>
          <t>Ortiz Araujo Adiela Carlota</t>
        </is>
      </c>
      <c r="C759" t="inlineStr">
        <is>
          <t>JUEVES</t>
        </is>
      </c>
      <c r="D759" t="n">
        <v>6</v>
      </c>
      <c r="E759" t="n">
        <v>3</v>
      </c>
      <c r="F759" t="inlineStr">
        <is>
          <t>CLASE</t>
        </is>
      </c>
      <c r="G759" t="inlineStr">
        <is>
          <t>CS201</t>
        </is>
      </c>
      <c r="H759" t="inlineStr">
        <is>
          <t>CSI</t>
        </is>
      </c>
      <c r="I759" t="inlineStr"/>
      <c r="J759" t="inlineStr">
        <is>
          <t>Sociales / Inglés (alternan cada semana)</t>
        </is>
      </c>
      <c r="K759" t="inlineStr"/>
      <c r="L759" t="inlineStr">
        <is>
          <t>CS 2-1</t>
        </is>
      </c>
      <c r="M759" t="inlineStr">
        <is>
          <t>Sociales / Inglés (alternan cada semana)</t>
        </is>
      </c>
      <c r="N759">
        <f>C759&amp;"|"&amp;D759</f>
        <v/>
      </c>
      <c r="O759">
        <f>COUNTIF($N$2:N759,N759)</f>
        <v/>
      </c>
      <c r="P759">
        <f>N759&amp;"|"&amp;O759</f>
        <v/>
      </c>
      <c r="Q759">
        <f>C759&amp;"|"&amp;D759&amp;"|"&amp;A759</f>
        <v/>
      </c>
    </row>
    <row r="760">
      <c r="A760" t="n">
        <v>19</v>
      </c>
      <c r="B760" t="inlineStr">
        <is>
          <t>Fernández Vélez Alfredo Enrique</t>
        </is>
      </c>
      <c r="C760" t="inlineStr">
        <is>
          <t>JUEVES</t>
        </is>
      </c>
      <c r="D760" t="n">
        <v>6</v>
      </c>
      <c r="E760" t="n">
        <v>3</v>
      </c>
      <c r="F760" t="inlineStr">
        <is>
          <t>ENFASIS</t>
        </is>
      </c>
      <c r="G760" t="inlineStr"/>
      <c r="H760" t="inlineStr">
        <is>
          <t>TEI</t>
        </is>
      </c>
      <c r="I760" t="inlineStr">
        <is>
          <t>0704</t>
        </is>
      </c>
      <c r="J760" t="inlineStr">
        <is>
          <t>PAREJA: comparten el énfasis y alternan por semana</t>
        </is>
      </c>
      <c r="K760" t="inlineStr">
        <is>
          <t>Preciado Torres Oleisa (MAT)</t>
        </is>
      </c>
      <c r="L760" t="inlineStr">
        <is>
          <t>ÉNFASIS 7°-4</t>
        </is>
      </c>
      <c r="M760" t="inlineStr">
        <is>
          <t>PAREJA: comparten el énfasis y alternan por semana · Con: Preciado Torres Oleisa (MAT)</t>
        </is>
      </c>
      <c r="N760">
        <f>C760&amp;"|"&amp;D760</f>
        <v/>
      </c>
      <c r="O760">
        <f>COUNTIF($N$2:N760,N760)</f>
        <v/>
      </c>
      <c r="P760">
        <f>N760&amp;"|"&amp;O760</f>
        <v/>
      </c>
      <c r="Q760">
        <f>C760&amp;"|"&amp;D760&amp;"|"&amp;A760</f>
        <v/>
      </c>
    </row>
    <row r="761">
      <c r="A761" t="n">
        <v>38</v>
      </c>
      <c r="B761" t="inlineStr">
        <is>
          <t>Preciado Torres Oleisa</t>
        </is>
      </c>
      <c r="C761" t="inlineStr">
        <is>
          <t>JUEVES</t>
        </is>
      </c>
      <c r="D761" t="n">
        <v>6</v>
      </c>
      <c r="E761" t="n">
        <v>3</v>
      </c>
      <c r="F761" t="inlineStr">
        <is>
          <t>ENFASIS</t>
        </is>
      </c>
      <c r="G761" t="inlineStr"/>
      <c r="H761" t="inlineStr">
        <is>
          <t>MAT</t>
        </is>
      </c>
      <c r="I761" t="inlineStr">
        <is>
          <t>0704</t>
        </is>
      </c>
      <c r="J761" t="inlineStr">
        <is>
          <t>PAREJA: comparten el énfasis y alternan por semana</t>
        </is>
      </c>
      <c r="K761" t="inlineStr">
        <is>
          <t>Fernández Vélez Alfredo Enrique (TEI)</t>
        </is>
      </c>
      <c r="L761" t="inlineStr">
        <is>
          <t>ÉNFASIS 7°-4</t>
        </is>
      </c>
      <c r="M761" t="inlineStr">
        <is>
          <t>PAREJA: comparten el énfasis y alternan por semana · Con: Fernández Vélez Alfredo Enrique (TEI)</t>
        </is>
      </c>
      <c r="N761">
        <f>C761&amp;"|"&amp;D761</f>
        <v/>
      </c>
      <c r="O761">
        <f>COUNTIF($N$2:N761,N761)</f>
        <v/>
      </c>
      <c r="P761">
        <f>N761&amp;"|"&amp;O761</f>
        <v/>
      </c>
      <c r="Q761">
        <f>C761&amp;"|"&amp;D761&amp;"|"&amp;A761</f>
        <v/>
      </c>
    </row>
    <row r="762">
      <c r="A762" t="n">
        <v>12</v>
      </c>
      <c r="B762" t="inlineStr">
        <is>
          <t>Chillambo Quiñones María Rocío</t>
        </is>
      </c>
      <c r="C762" t="inlineStr">
        <is>
          <t>JUEVES</t>
        </is>
      </c>
      <c r="D762" t="n">
        <v>6</v>
      </c>
      <c r="E762" t="n">
        <v>3</v>
      </c>
      <c r="F762" t="inlineStr">
        <is>
          <t>ENFASIS</t>
        </is>
      </c>
      <c r="G762" t="inlineStr"/>
      <c r="H762" t="inlineStr">
        <is>
          <t>CNA</t>
        </is>
      </c>
      <c r="I762" t="inlineStr">
        <is>
          <t>0801</t>
        </is>
      </c>
      <c r="J762" t="inlineStr">
        <is>
          <t>EQUIPO DE 4: cada docente atiende un grupo de estudiantes en su área</t>
        </is>
      </c>
      <c r="K762" t="inlineStr">
        <is>
          <t>Samaniego Angulo Flor Mireya (ART); Valverde Montaño María Teresa (CAS); Cuero Bamba Berte Levi (ERD)</t>
        </is>
      </c>
      <c r="L762" t="inlineStr">
        <is>
          <t>ÉNFASIS 8°-1</t>
        </is>
      </c>
      <c r="M762" t="inlineStr">
        <is>
          <t>EQUIPO DE 4: cada docente atiende un grupo de estudiantes en su área · Con: Samaniego Angulo Flor Mireya (ART); Valverde Montaño María Teresa (CAS); Cuero Bamba Berte Levi (ERD)</t>
        </is>
      </c>
      <c r="N762">
        <f>C762&amp;"|"&amp;D762</f>
        <v/>
      </c>
      <c r="O762">
        <f>COUNTIF($N$2:N762,N762)</f>
        <v/>
      </c>
      <c r="P762">
        <f>N762&amp;"|"&amp;O762</f>
        <v/>
      </c>
      <c r="Q762">
        <f>C762&amp;"|"&amp;D762&amp;"|"&amp;A762</f>
        <v/>
      </c>
    </row>
    <row r="763">
      <c r="A763" t="n">
        <v>15</v>
      </c>
      <c r="B763" t="inlineStr">
        <is>
          <t>Cuero Bamba Berte Levi</t>
        </is>
      </c>
      <c r="C763" t="inlineStr">
        <is>
          <t>JUEVES</t>
        </is>
      </c>
      <c r="D763" t="n">
        <v>6</v>
      </c>
      <c r="E763" t="n">
        <v>3</v>
      </c>
      <c r="F763" t="inlineStr">
        <is>
          <t>ENFASIS</t>
        </is>
      </c>
      <c r="G763" t="inlineStr"/>
      <c r="H763" t="inlineStr">
        <is>
          <t>ERD</t>
        </is>
      </c>
      <c r="I763" t="inlineStr">
        <is>
          <t>0801</t>
        </is>
      </c>
      <c r="J763" t="inlineStr">
        <is>
          <t>EQUIPO DE 4: cada docente atiende un grupo de estudiantes en su área</t>
        </is>
      </c>
      <c r="K763" t="inlineStr">
        <is>
          <t>Samaniego Angulo Flor Mireya (ART); Valverde Montaño María Teresa (CAS); Chillambo Quiñones María Rocío (CNA)</t>
        </is>
      </c>
      <c r="L763" t="inlineStr">
        <is>
          <t>ÉNFASIS 8°-1</t>
        </is>
      </c>
      <c r="M763" t="inlineStr">
        <is>
          <t>EQUIPO DE 4: cada docente atiende un grupo de estudiantes en su área · Con: Samaniego Angulo Flor Mireya (ART); Valverde Montaño María Teresa (CAS); Chillambo Quiñones María Rocío (CNA)</t>
        </is>
      </c>
      <c r="N763">
        <f>C763&amp;"|"&amp;D763</f>
        <v/>
      </c>
      <c r="O763">
        <f>COUNTIF($N$2:N763,N763)</f>
        <v/>
      </c>
      <c r="P763">
        <f>N763&amp;"|"&amp;O763</f>
        <v/>
      </c>
      <c r="Q763">
        <f>C763&amp;"|"&amp;D763&amp;"|"&amp;A763</f>
        <v/>
      </c>
    </row>
    <row r="764">
      <c r="A764" t="n">
        <v>44</v>
      </c>
      <c r="B764" t="inlineStr">
        <is>
          <t>Samaniego Angulo Flor Mireya</t>
        </is>
      </c>
      <c r="C764" t="inlineStr">
        <is>
          <t>JUEVES</t>
        </is>
      </c>
      <c r="D764" t="n">
        <v>6</v>
      </c>
      <c r="E764" t="n">
        <v>3</v>
      </c>
      <c r="F764" t="inlineStr">
        <is>
          <t>ENFASIS</t>
        </is>
      </c>
      <c r="G764" t="inlineStr"/>
      <c r="H764" t="inlineStr">
        <is>
          <t>ART</t>
        </is>
      </c>
      <c r="I764" t="inlineStr">
        <is>
          <t>0801</t>
        </is>
      </c>
      <c r="J764" t="inlineStr">
        <is>
          <t>EQUIPO DE 4: cada docente atiende un grupo de estudiantes en su área</t>
        </is>
      </c>
      <c r="K764" t="inlineStr">
        <is>
          <t>Valverde Montaño María Teresa (CAS); Cuero Bamba Berte Levi (ERD); Chillambo Quiñones María Rocío (CNA)</t>
        </is>
      </c>
      <c r="L764" t="inlineStr">
        <is>
          <t>ÉNFASIS 8°-1</t>
        </is>
      </c>
      <c r="M764" t="inlineStr">
        <is>
          <t>EQUIPO DE 4: cada docente atiende un grupo de estudiantes en su área · Con: Valverde Montaño María Teresa (CAS); Cuero Bamba Berte Levi (ERD); Chillambo Quiñones María Rocío (CNA)</t>
        </is>
      </c>
      <c r="N764">
        <f>C764&amp;"|"&amp;D764</f>
        <v/>
      </c>
      <c r="O764">
        <f>COUNTIF($N$2:N764,N764)</f>
        <v/>
      </c>
      <c r="P764">
        <f>N764&amp;"|"&amp;O764</f>
        <v/>
      </c>
      <c r="Q764">
        <f>C764&amp;"|"&amp;D764&amp;"|"&amp;A764</f>
        <v/>
      </c>
    </row>
    <row r="765">
      <c r="A765" t="n">
        <v>51</v>
      </c>
      <c r="B765" t="inlineStr">
        <is>
          <t>Valverde Montaño María Teresa</t>
        </is>
      </c>
      <c r="C765" t="inlineStr">
        <is>
          <t>JUEVES</t>
        </is>
      </c>
      <c r="D765" t="n">
        <v>6</v>
      </c>
      <c r="E765" t="n">
        <v>3</v>
      </c>
      <c r="F765" t="inlineStr">
        <is>
          <t>ENFASIS</t>
        </is>
      </c>
      <c r="G765" t="inlineStr"/>
      <c r="H765" t="inlineStr">
        <is>
          <t>CAS</t>
        </is>
      </c>
      <c r="I765" t="inlineStr">
        <is>
          <t>0801</t>
        </is>
      </c>
      <c r="J765" t="inlineStr">
        <is>
          <t>EQUIPO DE 4: cada docente atiende un grupo de estudiantes en su área</t>
        </is>
      </c>
      <c r="K765" t="inlineStr">
        <is>
          <t>Samaniego Angulo Flor Mireya (ART); Cuero Bamba Berte Levi (ERD); Chillambo Quiñones María Rocío (CNA)</t>
        </is>
      </c>
      <c r="L765" t="inlineStr">
        <is>
          <t>ÉNFASIS 8°-1</t>
        </is>
      </c>
      <c r="M765" t="inlineStr">
        <is>
          <t>EQUIPO DE 4: cada docente atiende un grupo de estudiantes en su área · Con: Samaniego Angulo Flor Mireya (ART); Cuero Bamba Berte Levi (ERD); Chillambo Quiñones María Rocío (CNA)</t>
        </is>
      </c>
      <c r="N765">
        <f>C765&amp;"|"&amp;D765</f>
        <v/>
      </c>
      <c r="O765">
        <f>COUNTIF($N$2:N765,N765)</f>
        <v/>
      </c>
      <c r="P765">
        <f>N765&amp;"|"&amp;O765</f>
        <v/>
      </c>
      <c r="Q765">
        <f>C765&amp;"|"&amp;D765&amp;"|"&amp;A765</f>
        <v/>
      </c>
    </row>
    <row r="766">
      <c r="A766" t="n">
        <v>2</v>
      </c>
      <c r="B766" t="inlineStr">
        <is>
          <t>Angulo Lucero Andrés Mauricio</t>
        </is>
      </c>
      <c r="C766" t="inlineStr">
        <is>
          <t>JUEVES</t>
        </is>
      </c>
      <c r="D766" t="n">
        <v>6</v>
      </c>
      <c r="E766" t="n">
        <v>3</v>
      </c>
      <c r="F766" t="inlineStr">
        <is>
          <t>ENFASIS</t>
        </is>
      </c>
      <c r="G766" t="inlineStr"/>
      <c r="H766" t="inlineStr">
        <is>
          <t>TEI</t>
        </is>
      </c>
      <c r="I766" t="inlineStr">
        <is>
          <t>1002</t>
        </is>
      </c>
      <c r="J766" t="inlineStr">
        <is>
          <t>EQUIPO DE 4: cada docente atiende un grupo de estudiantes en su área</t>
        </is>
      </c>
      <c r="K766" t="inlineStr">
        <is>
          <t>Pulgarín Ortiz César Marino (CSI); Montaño Arizala Leidis Claudina (ETR); Villota Rubio Janeth del Carmen (MAT)</t>
        </is>
      </c>
      <c r="L766" t="inlineStr">
        <is>
          <t>ÉNFASIS 10°-2</t>
        </is>
      </c>
      <c r="M766" t="inlineStr">
        <is>
          <t>EQUIPO DE 4: cada docente atiende un grupo de estudiantes en su área · Con: Pulgarín Ortiz César Marino (CSI); Montaño Arizala Leidis Claudina (ETR); Villota Rubio Janeth del Carmen (MAT)</t>
        </is>
      </c>
      <c r="N766">
        <f>C766&amp;"|"&amp;D766</f>
        <v/>
      </c>
      <c r="O766">
        <f>COUNTIF($N$2:N766,N766)</f>
        <v/>
      </c>
      <c r="P766">
        <f>N766&amp;"|"&amp;O766</f>
        <v/>
      </c>
      <c r="Q766">
        <f>C766&amp;"|"&amp;D766&amp;"|"&amp;A766</f>
        <v/>
      </c>
    </row>
    <row r="767">
      <c r="A767" t="n">
        <v>31</v>
      </c>
      <c r="B767" t="inlineStr">
        <is>
          <t>Montaño Arizala Leidis Claudina</t>
        </is>
      </c>
      <c r="C767" t="inlineStr">
        <is>
          <t>JUEVES</t>
        </is>
      </c>
      <c r="D767" t="n">
        <v>6</v>
      </c>
      <c r="E767" t="n">
        <v>3</v>
      </c>
      <c r="F767" t="inlineStr">
        <is>
          <t>ENFASIS</t>
        </is>
      </c>
      <c r="G767" t="inlineStr"/>
      <c r="H767" t="inlineStr">
        <is>
          <t>ETR</t>
        </is>
      </c>
      <c r="I767" t="inlineStr">
        <is>
          <t>1002</t>
        </is>
      </c>
      <c r="J767" t="inlineStr">
        <is>
          <t>EQUIPO DE 4: cada docente atiende un grupo de estudiantes en su área</t>
        </is>
      </c>
      <c r="K767" t="inlineStr">
        <is>
          <t>Pulgarín Ortiz César Marino (CSI); Villota Rubio Janeth del Carmen (MAT); Angulo Lucero Andrés Mauricio (TEI)</t>
        </is>
      </c>
      <c r="L767" t="inlineStr">
        <is>
          <t>ÉNFASIS 10°-2</t>
        </is>
      </c>
      <c r="M767" t="inlineStr">
        <is>
          <t>EQUIPO DE 4: cada docente atiende un grupo de estudiantes en su área · Con: Pulgarín Ortiz César Marino (CSI); Villota Rubio Janeth del Carmen (MAT); Angulo Lucero Andrés Mauricio (TEI)</t>
        </is>
      </c>
      <c r="N767">
        <f>C767&amp;"|"&amp;D767</f>
        <v/>
      </c>
      <c r="O767">
        <f>COUNTIF($N$2:N767,N767)</f>
        <v/>
      </c>
      <c r="P767">
        <f>N767&amp;"|"&amp;O767</f>
        <v/>
      </c>
      <c r="Q767">
        <f>C767&amp;"|"&amp;D767&amp;"|"&amp;A767</f>
        <v/>
      </c>
    </row>
    <row r="768">
      <c r="A768" t="n">
        <v>40</v>
      </c>
      <c r="B768" t="inlineStr">
        <is>
          <t>Pulgarín Ortiz César Marino</t>
        </is>
      </c>
      <c r="C768" t="inlineStr">
        <is>
          <t>JUEVES</t>
        </is>
      </c>
      <c r="D768" t="n">
        <v>6</v>
      </c>
      <c r="E768" t="n">
        <v>3</v>
      </c>
      <c r="F768" t="inlineStr">
        <is>
          <t>ENFASIS</t>
        </is>
      </c>
      <c r="G768" t="inlineStr"/>
      <c r="H768" t="inlineStr">
        <is>
          <t>CSI</t>
        </is>
      </c>
      <c r="I768" t="inlineStr">
        <is>
          <t>1002</t>
        </is>
      </c>
      <c r="J768" t="inlineStr">
        <is>
          <t>EQUIPO DE 4: cada docente atiende un grupo de estudiantes en su área</t>
        </is>
      </c>
      <c r="K768" t="inlineStr">
        <is>
          <t>Montaño Arizala Leidis Claudina (ETR); Villota Rubio Janeth del Carmen (MAT); Angulo Lucero Andrés Mauricio (TEI)</t>
        </is>
      </c>
      <c r="L768" t="inlineStr">
        <is>
          <t>ÉNFASIS 10°-2</t>
        </is>
      </c>
      <c r="M768" t="inlineStr">
        <is>
          <t>EQUIPO DE 4: cada docente atiende un grupo de estudiantes en su área · Con: Montaño Arizala Leidis Claudina (ETR); Villota Rubio Janeth del Carmen (MAT); Angulo Lucero Andrés Mauricio (TEI)</t>
        </is>
      </c>
      <c r="N768">
        <f>C768&amp;"|"&amp;D768</f>
        <v/>
      </c>
      <c r="O768">
        <f>COUNTIF($N$2:N768,N768)</f>
        <v/>
      </c>
      <c r="P768">
        <f>N768&amp;"|"&amp;O768</f>
        <v/>
      </c>
      <c r="Q768">
        <f>C768&amp;"|"&amp;D768&amp;"|"&amp;A768</f>
        <v/>
      </c>
    </row>
    <row r="769">
      <c r="A769" t="n">
        <v>54</v>
      </c>
      <c r="B769" t="inlineStr">
        <is>
          <t>Villota Rubio Janeth del Carmen</t>
        </is>
      </c>
      <c r="C769" t="inlineStr">
        <is>
          <t>JUEVES</t>
        </is>
      </c>
      <c r="D769" t="n">
        <v>6</v>
      </c>
      <c r="E769" t="n">
        <v>3</v>
      </c>
      <c r="F769" t="inlineStr">
        <is>
          <t>ENFASIS</t>
        </is>
      </c>
      <c r="G769" t="inlineStr"/>
      <c r="H769" t="inlineStr">
        <is>
          <t>MAT</t>
        </is>
      </c>
      <c r="I769" t="inlineStr">
        <is>
          <t>1002</t>
        </is>
      </c>
      <c r="J769" t="inlineStr">
        <is>
          <t>EQUIPO DE 4: cada docente atiende un grupo de estudiantes en su área</t>
        </is>
      </c>
      <c r="K769" t="inlineStr">
        <is>
          <t>Pulgarín Ortiz César Marino (CSI); Montaño Arizala Leidis Claudina (ETR); Angulo Lucero Andrés Mauricio (TEI)</t>
        </is>
      </c>
      <c r="L769" t="inlineStr">
        <is>
          <t>ÉNFASIS 10°-2</t>
        </is>
      </c>
      <c r="M769" t="inlineStr">
        <is>
          <t>EQUIPO DE 4: cada docente atiende un grupo de estudiantes en su área · Con: Pulgarín Ortiz César Marino (CSI); Montaño Arizala Leidis Claudina (ETR); Angulo Lucero Andrés Mauricio (TEI)</t>
        </is>
      </c>
      <c r="N769">
        <f>C769&amp;"|"&amp;D769</f>
        <v/>
      </c>
      <c r="O769">
        <f>COUNTIF($N$2:N769,N769)</f>
        <v/>
      </c>
      <c r="P769">
        <f>N769&amp;"|"&amp;O769</f>
        <v/>
      </c>
      <c r="Q769">
        <f>C769&amp;"|"&amp;D769&amp;"|"&amp;A769</f>
        <v/>
      </c>
    </row>
    <row r="770">
      <c r="A770" t="n">
        <v>5</v>
      </c>
      <c r="B770" t="inlineStr">
        <is>
          <t>Bastidas Valencia Zeneida Judith</t>
        </is>
      </c>
      <c r="C770" t="inlineStr">
        <is>
          <t>JUEVES</t>
        </is>
      </c>
      <c r="D770" t="n">
        <v>6</v>
      </c>
      <c r="E770" t="n">
        <v>3</v>
      </c>
      <c r="F770" t="inlineStr">
        <is>
          <t>ENFASIS</t>
        </is>
      </c>
      <c r="G770" t="inlineStr"/>
      <c r="H770" t="inlineStr">
        <is>
          <t>MAT</t>
        </is>
      </c>
      <c r="I770" t="inlineStr">
        <is>
          <t>CS202</t>
        </is>
      </c>
      <c r="J770" t="inlineStr">
        <is>
          <t>EQUIPO DE 4: cada docente atiende un grupo de estudiantes en su área</t>
        </is>
      </c>
      <c r="K770" t="inlineStr">
        <is>
          <t>Betancourth Ocampo Yohana Patricia (CSI); Estacio Estupiñán Rosario (ETR); Mindineros Satizábal John Jáver (TEI)</t>
        </is>
      </c>
      <c r="L770" t="inlineStr">
        <is>
          <t>ÉNFASIS CS 2-2</t>
        </is>
      </c>
      <c r="M770" t="inlineStr">
        <is>
          <t>EQUIPO DE 4: cada docente atiende un grupo de estudiantes en su área · Con: Betancourth Ocampo Yohana Patricia (CSI); Estacio Estupiñán Rosario (ETR); Mindineros Satizábal John Jáver (TEI)</t>
        </is>
      </c>
      <c r="N770">
        <f>C770&amp;"|"&amp;D770</f>
        <v/>
      </c>
      <c r="O770">
        <f>COUNTIF($N$2:N770,N770)</f>
        <v/>
      </c>
      <c r="P770">
        <f>N770&amp;"|"&amp;O770</f>
        <v/>
      </c>
      <c r="Q770">
        <f>C770&amp;"|"&amp;D770&amp;"|"&amp;A770</f>
        <v/>
      </c>
    </row>
    <row r="771">
      <c r="A771" t="n">
        <v>6</v>
      </c>
      <c r="B771" t="inlineStr">
        <is>
          <t>Betancourth Ocampo Yohana Patricia</t>
        </is>
      </c>
      <c r="C771" t="inlineStr">
        <is>
          <t>JUEVES</t>
        </is>
      </c>
      <c r="D771" t="n">
        <v>6</v>
      </c>
      <c r="E771" t="n">
        <v>3</v>
      </c>
      <c r="F771" t="inlineStr">
        <is>
          <t>ENFASIS</t>
        </is>
      </c>
      <c r="G771" t="inlineStr"/>
      <c r="H771" t="inlineStr">
        <is>
          <t>CSI</t>
        </is>
      </c>
      <c r="I771" t="inlineStr">
        <is>
          <t>CS202</t>
        </is>
      </c>
      <c r="J771" t="inlineStr">
        <is>
          <t>EQUIPO DE 4: cada docente atiende un grupo de estudiantes en su área</t>
        </is>
      </c>
      <c r="K771" t="inlineStr">
        <is>
          <t>Estacio Estupiñán Rosario (ETR); Bastidas Valencia Zeneida Judith (MAT); Mindineros Satizábal John Jáver (TEI)</t>
        </is>
      </c>
      <c r="L771" t="inlineStr">
        <is>
          <t>ÉNFASIS CS 2-2</t>
        </is>
      </c>
      <c r="M771" t="inlineStr">
        <is>
          <t>EQUIPO DE 4: cada docente atiende un grupo de estudiantes en su área · Con: Estacio Estupiñán Rosario (ETR); Bastidas Valencia Zeneida Judith (MAT); Mindineros Satizábal John Jáver (TEI)</t>
        </is>
      </c>
      <c r="N771">
        <f>C771&amp;"|"&amp;D771</f>
        <v/>
      </c>
      <c r="O771">
        <f>COUNTIF($N$2:N771,N771)</f>
        <v/>
      </c>
      <c r="P771">
        <f>N771&amp;"|"&amp;O771</f>
        <v/>
      </c>
      <c r="Q771">
        <f>C771&amp;"|"&amp;D771&amp;"|"&amp;A771</f>
        <v/>
      </c>
    </row>
    <row r="772">
      <c r="A772" t="n">
        <v>18</v>
      </c>
      <c r="B772" t="inlineStr">
        <is>
          <t>Estacio Estupiñán Rosario</t>
        </is>
      </c>
      <c r="C772" t="inlineStr">
        <is>
          <t>JUEVES</t>
        </is>
      </c>
      <c r="D772" t="n">
        <v>6</v>
      </c>
      <c r="E772" t="n">
        <v>3</v>
      </c>
      <c r="F772" t="inlineStr">
        <is>
          <t>ENFASIS</t>
        </is>
      </c>
      <c r="G772" t="inlineStr"/>
      <c r="H772" t="inlineStr">
        <is>
          <t>ETR</t>
        </is>
      </c>
      <c r="I772" t="inlineStr">
        <is>
          <t>CS202</t>
        </is>
      </c>
      <c r="J772" t="inlineStr">
        <is>
          <t>EQUIPO DE 4: cada docente atiende un grupo de estudiantes en su área</t>
        </is>
      </c>
      <c r="K772" t="inlineStr">
        <is>
          <t>Betancourth Ocampo Yohana Patricia (CSI); Bastidas Valencia Zeneida Judith (MAT); Mindineros Satizábal John Jáver (TEI)</t>
        </is>
      </c>
      <c r="L772" t="inlineStr">
        <is>
          <t>ÉNFASIS CS 2-2</t>
        </is>
      </c>
      <c r="M772" t="inlineStr">
        <is>
          <t>EQUIPO DE 4: cada docente atiende un grupo de estudiantes en su área · Con: Betancourth Ocampo Yohana Patricia (CSI); Bastidas Valencia Zeneida Judith (MAT); Mindineros Satizábal John Jáver (TEI)</t>
        </is>
      </c>
      <c r="N772">
        <f>C772&amp;"|"&amp;D772</f>
        <v/>
      </c>
      <c r="O772">
        <f>COUNTIF($N$2:N772,N772)</f>
        <v/>
      </c>
      <c r="P772">
        <f>N772&amp;"|"&amp;O772</f>
        <v/>
      </c>
      <c r="Q772">
        <f>C772&amp;"|"&amp;D772&amp;"|"&amp;A772</f>
        <v/>
      </c>
    </row>
    <row r="773">
      <c r="A773" t="n">
        <v>29</v>
      </c>
      <c r="B773" t="inlineStr">
        <is>
          <t>Mindineros Satizábal John Jáver</t>
        </is>
      </c>
      <c r="C773" t="inlineStr">
        <is>
          <t>JUEVES</t>
        </is>
      </c>
      <c r="D773" t="n">
        <v>6</v>
      </c>
      <c r="E773" t="n">
        <v>3</v>
      </c>
      <c r="F773" t="inlineStr">
        <is>
          <t>ENFASIS</t>
        </is>
      </c>
      <c r="G773" t="inlineStr"/>
      <c r="H773" t="inlineStr">
        <is>
          <t>TEI</t>
        </is>
      </c>
      <c r="I773" t="inlineStr">
        <is>
          <t>CS202</t>
        </is>
      </c>
      <c r="J773" t="inlineStr">
        <is>
          <t>EQUIPO DE 4: cada docente atiende un grupo de estudiantes en su área</t>
        </is>
      </c>
      <c r="K773" t="inlineStr">
        <is>
          <t>Betancourth Ocampo Yohana Patricia (CSI); Estacio Estupiñán Rosario (ETR); Bastidas Valencia Zeneida Judith (MAT)</t>
        </is>
      </c>
      <c r="L773" t="inlineStr">
        <is>
          <t>ÉNFASIS CS 2-2</t>
        </is>
      </c>
      <c r="M773" t="inlineStr">
        <is>
          <t>EQUIPO DE 4: cada docente atiende un grupo de estudiantes en su área · Con: Betancourth Ocampo Yohana Patricia (CSI); Estacio Estupiñán Rosario (ETR); Bastidas Valencia Zeneida Judith (MAT)</t>
        </is>
      </c>
      <c r="N773">
        <f>C773&amp;"|"&amp;D773</f>
        <v/>
      </c>
      <c r="O773">
        <f>COUNTIF($N$2:N773,N773)</f>
        <v/>
      </c>
      <c r="P773">
        <f>N773&amp;"|"&amp;O773</f>
        <v/>
      </c>
      <c r="Q773">
        <f>C773&amp;"|"&amp;D773&amp;"|"&amp;A773</f>
        <v/>
      </c>
    </row>
    <row r="774">
      <c r="A774" t="n">
        <v>8</v>
      </c>
      <c r="B774" t="inlineStr">
        <is>
          <t>Casanova Quiñones Yoli del Carmen</t>
        </is>
      </c>
      <c r="C774" t="inlineStr">
        <is>
          <t>JUEVES</t>
        </is>
      </c>
      <c r="D774" t="n">
        <v>7</v>
      </c>
      <c r="E774" t="n">
        <v>4</v>
      </c>
      <c r="F774" t="inlineStr">
        <is>
          <t>CLASE</t>
        </is>
      </c>
      <c r="G774" t="inlineStr">
        <is>
          <t>0701</t>
        </is>
      </c>
      <c r="H774" t="inlineStr">
        <is>
          <t>ETR</t>
        </is>
      </c>
      <c r="I774" t="inlineStr"/>
      <c r="J774" t="inlineStr">
        <is>
          <t>Ética / Religión (alternan cada semana)</t>
        </is>
      </c>
      <c r="K774" t="inlineStr"/>
      <c r="L774" t="inlineStr">
        <is>
          <t>7°-1</t>
        </is>
      </c>
      <c r="M774" t="inlineStr">
        <is>
          <t>Ética / Religión (alternan cada semana)</t>
        </is>
      </c>
      <c r="N774">
        <f>C774&amp;"|"&amp;D774</f>
        <v/>
      </c>
      <c r="O774">
        <f>COUNTIF($N$2:N774,N774)</f>
        <v/>
      </c>
      <c r="P774">
        <f>N774&amp;"|"&amp;O774</f>
        <v/>
      </c>
      <c r="Q774">
        <f>C774&amp;"|"&amp;D774&amp;"|"&amp;A774</f>
        <v/>
      </c>
    </row>
    <row r="775">
      <c r="A775" t="n">
        <v>41</v>
      </c>
      <c r="B775" t="inlineStr">
        <is>
          <t>Quintero Ramírez María del Carmen</t>
        </is>
      </c>
      <c r="C775" t="inlineStr">
        <is>
          <t>JUEVES</t>
        </is>
      </c>
      <c r="D775" t="n">
        <v>7</v>
      </c>
      <c r="E775" t="n">
        <v>4</v>
      </c>
      <c r="F775" t="inlineStr">
        <is>
          <t>CLASE</t>
        </is>
      </c>
      <c r="G775" t="inlineStr">
        <is>
          <t>0702</t>
        </is>
      </c>
      <c r="H775" t="inlineStr">
        <is>
          <t>CSI</t>
        </is>
      </c>
      <c r="I775" t="inlineStr"/>
      <c r="J775" t="inlineStr">
        <is>
          <t>Sociales / Inglés (alternan cada semana)</t>
        </is>
      </c>
      <c r="K775" t="inlineStr"/>
      <c r="L775" t="inlineStr">
        <is>
          <t>7°-2</t>
        </is>
      </c>
      <c r="M775" t="inlineStr">
        <is>
          <t>Sociales / Inglés (alternan cada semana)</t>
        </is>
      </c>
      <c r="N775">
        <f>C775&amp;"|"&amp;D775</f>
        <v/>
      </c>
      <c r="O775">
        <f>COUNTIF($N$2:N775,N775)</f>
        <v/>
      </c>
      <c r="P775">
        <f>N775&amp;"|"&amp;O775</f>
        <v/>
      </c>
      <c r="Q775">
        <f>C775&amp;"|"&amp;D775&amp;"|"&amp;A775</f>
        <v/>
      </c>
    </row>
    <row r="776">
      <c r="A776" t="n">
        <v>1</v>
      </c>
      <c r="B776" t="inlineStr">
        <is>
          <t>Aguirre Riascos Jorge Andrés</t>
        </is>
      </c>
      <c r="C776" t="inlineStr">
        <is>
          <t>JUEVES</t>
        </is>
      </c>
      <c r="D776" t="n">
        <v>7</v>
      </c>
      <c r="E776" t="n">
        <v>4</v>
      </c>
      <c r="F776" t="inlineStr">
        <is>
          <t>CLASE</t>
        </is>
      </c>
      <c r="G776" t="inlineStr">
        <is>
          <t>0703</t>
        </is>
      </c>
      <c r="H776" t="inlineStr">
        <is>
          <t>TEI</t>
        </is>
      </c>
      <c r="I776" t="inlineStr"/>
      <c r="J776" t="inlineStr"/>
      <c r="K776" t="inlineStr"/>
      <c r="L776" t="inlineStr">
        <is>
          <t>7°-3</t>
        </is>
      </c>
      <c r="M776" t="inlineStr"/>
      <c r="N776">
        <f>C776&amp;"|"&amp;D776</f>
        <v/>
      </c>
      <c r="O776">
        <f>COUNTIF($N$2:N776,N776)</f>
        <v/>
      </c>
      <c r="P776">
        <f>N776&amp;"|"&amp;O776</f>
        <v/>
      </c>
      <c r="Q776">
        <f>C776&amp;"|"&amp;D776&amp;"|"&amp;A776</f>
        <v/>
      </c>
    </row>
    <row r="777">
      <c r="A777" t="n">
        <v>52</v>
      </c>
      <c r="B777" t="inlineStr">
        <is>
          <t>Vásquez Valencia Segundo Leoncio</t>
        </is>
      </c>
      <c r="C777" t="inlineStr">
        <is>
          <t>JUEVES</t>
        </is>
      </c>
      <c r="D777" t="n">
        <v>7</v>
      </c>
      <c r="E777" t="n">
        <v>4</v>
      </c>
      <c r="F777" t="inlineStr">
        <is>
          <t>CLASE</t>
        </is>
      </c>
      <c r="G777" t="inlineStr">
        <is>
          <t>0704</t>
        </is>
      </c>
      <c r="H777" t="inlineStr">
        <is>
          <t>MAT</t>
        </is>
      </c>
      <c r="I777" t="inlineStr"/>
      <c r="J777" t="inlineStr"/>
      <c r="K777" t="inlineStr"/>
      <c r="L777" t="inlineStr">
        <is>
          <t>7°-4</t>
        </is>
      </c>
      <c r="M777" t="inlineStr"/>
      <c r="N777">
        <f>C777&amp;"|"&amp;D777</f>
        <v/>
      </c>
      <c r="O777">
        <f>COUNTIF($N$2:N777,N777)</f>
        <v/>
      </c>
      <c r="P777">
        <f>N777&amp;"|"&amp;O777</f>
        <v/>
      </c>
      <c r="Q777">
        <f>C777&amp;"|"&amp;D777&amp;"|"&amp;A777</f>
        <v/>
      </c>
    </row>
    <row r="778">
      <c r="A778" t="n">
        <v>12</v>
      </c>
      <c r="B778" t="inlineStr">
        <is>
          <t>Chillambo Quiñones María Rocío</t>
        </is>
      </c>
      <c r="C778" t="inlineStr">
        <is>
          <t>JUEVES</t>
        </is>
      </c>
      <c r="D778" t="n">
        <v>7</v>
      </c>
      <c r="E778" t="n">
        <v>4</v>
      </c>
      <c r="F778" t="inlineStr">
        <is>
          <t>CLASE</t>
        </is>
      </c>
      <c r="G778" t="inlineStr">
        <is>
          <t>0801</t>
        </is>
      </c>
      <c r="H778" t="inlineStr">
        <is>
          <t>CNA</t>
        </is>
      </c>
      <c r="I778" t="inlineStr"/>
      <c r="J778" t="inlineStr"/>
      <c r="K778" t="inlineStr"/>
      <c r="L778" t="inlineStr">
        <is>
          <t>8°-1</t>
        </is>
      </c>
      <c r="M778" t="inlineStr"/>
      <c r="N778">
        <f>C778&amp;"|"&amp;D778</f>
        <v/>
      </c>
      <c r="O778">
        <f>COUNTIF($N$2:N778,N778)</f>
        <v/>
      </c>
      <c r="P778">
        <f>N778&amp;"|"&amp;O778</f>
        <v/>
      </c>
      <c r="Q778">
        <f>C778&amp;"|"&amp;D778&amp;"|"&amp;A778</f>
        <v/>
      </c>
    </row>
    <row r="779">
      <c r="A779" t="n">
        <v>29</v>
      </c>
      <c r="B779" t="inlineStr">
        <is>
          <t>Mindineros Satizábal John Jáver</t>
        </is>
      </c>
      <c r="C779" t="inlineStr">
        <is>
          <t>JUEVES</t>
        </is>
      </c>
      <c r="D779" t="n">
        <v>7</v>
      </c>
      <c r="E779" t="n">
        <v>4</v>
      </c>
      <c r="F779" t="inlineStr">
        <is>
          <t>CLASE</t>
        </is>
      </c>
      <c r="G779" t="inlineStr">
        <is>
          <t>0901</t>
        </is>
      </c>
      <c r="H779" t="inlineStr">
        <is>
          <t>TEI</t>
        </is>
      </c>
      <c r="I779" t="inlineStr"/>
      <c r="J779" t="inlineStr"/>
      <c r="K779" t="inlineStr"/>
      <c r="L779" t="inlineStr">
        <is>
          <t>9°-1</t>
        </is>
      </c>
      <c r="M779" t="inlineStr"/>
      <c r="N779">
        <f>C779&amp;"|"&amp;D779</f>
        <v/>
      </c>
      <c r="O779">
        <f>COUNTIF($N$2:N779,N779)</f>
        <v/>
      </c>
      <c r="P779">
        <f>N779&amp;"|"&amp;O779</f>
        <v/>
      </c>
      <c r="Q779">
        <f>C779&amp;"|"&amp;D779&amp;"|"&amp;A779</f>
        <v/>
      </c>
    </row>
    <row r="780">
      <c r="A780" t="n">
        <v>6</v>
      </c>
      <c r="B780" t="inlineStr">
        <is>
          <t>Betancourth Ocampo Yohana Patricia</t>
        </is>
      </c>
      <c r="C780" t="inlineStr">
        <is>
          <t>JUEVES</t>
        </is>
      </c>
      <c r="D780" t="n">
        <v>7</v>
      </c>
      <c r="E780" t="n">
        <v>4</v>
      </c>
      <c r="F780" t="inlineStr">
        <is>
          <t>CLASE</t>
        </is>
      </c>
      <c r="G780" t="inlineStr">
        <is>
          <t>0902</t>
        </is>
      </c>
      <c r="H780" t="inlineStr">
        <is>
          <t>CSI</t>
        </is>
      </c>
      <c r="I780" t="inlineStr"/>
      <c r="J780" t="inlineStr">
        <is>
          <t>Sociales / Inglés (alternan cada semana)</t>
        </is>
      </c>
      <c r="K780" t="inlineStr"/>
      <c r="L780" t="inlineStr">
        <is>
          <t>9°-2</t>
        </is>
      </c>
      <c r="M780" t="inlineStr">
        <is>
          <t>Sociales / Inglés (alternan cada semana)</t>
        </is>
      </c>
      <c r="N780">
        <f>C780&amp;"|"&amp;D780</f>
        <v/>
      </c>
      <c r="O780">
        <f>COUNTIF($N$2:N780,N780)</f>
        <v/>
      </c>
      <c r="P780">
        <f>N780&amp;"|"&amp;O780</f>
        <v/>
      </c>
      <c r="Q780">
        <f>C780&amp;"|"&amp;D780&amp;"|"&amp;A780</f>
        <v/>
      </c>
    </row>
    <row r="781">
      <c r="A781" t="n">
        <v>5</v>
      </c>
      <c r="B781" t="inlineStr">
        <is>
          <t>Bastidas Valencia Zeneida Judith</t>
        </is>
      </c>
      <c r="C781" t="inlineStr">
        <is>
          <t>JUEVES</t>
        </is>
      </c>
      <c r="D781" t="n">
        <v>7</v>
      </c>
      <c r="E781" t="n">
        <v>4</v>
      </c>
      <c r="F781" t="inlineStr">
        <is>
          <t>CLASE</t>
        </is>
      </c>
      <c r="G781" t="inlineStr">
        <is>
          <t>1001</t>
        </is>
      </c>
      <c r="H781" t="inlineStr">
        <is>
          <t>MAT</t>
        </is>
      </c>
      <c r="I781" t="inlineStr"/>
      <c r="J781" t="inlineStr"/>
      <c r="K781" t="inlineStr"/>
      <c r="L781" t="inlineStr">
        <is>
          <t>10°-1</t>
        </is>
      </c>
      <c r="M781" t="inlineStr"/>
      <c r="N781">
        <f>C781&amp;"|"&amp;D781</f>
        <v/>
      </c>
      <c r="O781">
        <f>COUNTIF($N$2:N781,N781)</f>
        <v/>
      </c>
      <c r="P781">
        <f>N781&amp;"|"&amp;O781</f>
        <v/>
      </c>
      <c r="Q781">
        <f>C781&amp;"|"&amp;D781&amp;"|"&amp;A781</f>
        <v/>
      </c>
    </row>
    <row r="782">
      <c r="A782" t="n">
        <v>53</v>
      </c>
      <c r="B782" t="inlineStr">
        <is>
          <t>Villota Rubio Héctor Hugo</t>
        </is>
      </c>
      <c r="C782" t="inlineStr">
        <is>
          <t>JUEVES</t>
        </is>
      </c>
      <c r="D782" t="n">
        <v>7</v>
      </c>
      <c r="E782" t="n">
        <v>4</v>
      </c>
      <c r="F782" t="inlineStr">
        <is>
          <t>CLASE</t>
        </is>
      </c>
      <c r="G782" t="inlineStr">
        <is>
          <t>1002</t>
        </is>
      </c>
      <c r="H782" t="inlineStr">
        <is>
          <t>CNA</t>
        </is>
      </c>
      <c r="I782" t="inlineStr"/>
      <c r="J782" t="inlineStr"/>
      <c r="K782" t="inlineStr"/>
      <c r="L782" t="inlineStr">
        <is>
          <t>10°-2</t>
        </is>
      </c>
      <c r="M782" t="inlineStr"/>
      <c r="N782">
        <f>C782&amp;"|"&amp;D782</f>
        <v/>
      </c>
      <c r="O782">
        <f>COUNTIF($N$2:N782,N782)</f>
        <v/>
      </c>
      <c r="P782">
        <f>N782&amp;"|"&amp;O782</f>
        <v/>
      </c>
      <c r="Q782">
        <f>C782&amp;"|"&amp;D782&amp;"|"&amp;A782</f>
        <v/>
      </c>
    </row>
    <row r="783">
      <c r="A783" t="n">
        <v>54</v>
      </c>
      <c r="B783" t="inlineStr">
        <is>
          <t>Villota Rubio Janeth del Carmen</t>
        </is>
      </c>
      <c r="C783" t="inlineStr">
        <is>
          <t>JUEVES</t>
        </is>
      </c>
      <c r="D783" t="n">
        <v>7</v>
      </c>
      <c r="E783" t="n">
        <v>4</v>
      </c>
      <c r="F783" t="inlineStr">
        <is>
          <t>CLASE</t>
        </is>
      </c>
      <c r="G783" t="inlineStr">
        <is>
          <t>1101</t>
        </is>
      </c>
      <c r="H783" t="inlineStr">
        <is>
          <t>MAT</t>
        </is>
      </c>
      <c r="I783" t="inlineStr"/>
      <c r="J783" t="inlineStr"/>
      <c r="K783" t="inlineStr"/>
      <c r="L783" t="inlineStr">
        <is>
          <t>11°-1</t>
        </is>
      </c>
      <c r="M783" t="inlineStr"/>
      <c r="N783">
        <f>C783&amp;"|"&amp;D783</f>
        <v/>
      </c>
      <c r="O783">
        <f>COUNTIF($N$2:N783,N783)</f>
        <v/>
      </c>
      <c r="P783">
        <f>N783&amp;"|"&amp;O783</f>
        <v/>
      </c>
      <c r="Q783">
        <f>C783&amp;"|"&amp;D783&amp;"|"&amp;A783</f>
        <v/>
      </c>
    </row>
    <row r="784">
      <c r="A784" t="n">
        <v>30</v>
      </c>
      <c r="B784" t="inlineStr">
        <is>
          <t>Montaño Anchico Favio Héctor</t>
        </is>
      </c>
      <c r="C784" t="inlineStr">
        <is>
          <t>JUEVES</t>
        </is>
      </c>
      <c r="D784" t="n">
        <v>7</v>
      </c>
      <c r="E784" t="n">
        <v>4</v>
      </c>
      <c r="F784" t="inlineStr">
        <is>
          <t>CLASE</t>
        </is>
      </c>
      <c r="G784" t="inlineStr">
        <is>
          <t>1102</t>
        </is>
      </c>
      <c r="H784" t="inlineStr">
        <is>
          <t>CAS</t>
        </is>
      </c>
      <c r="I784" t="inlineStr"/>
      <c r="J784" t="inlineStr"/>
      <c r="K784" t="inlineStr"/>
      <c r="L784" t="inlineStr">
        <is>
          <t>11°-2</t>
        </is>
      </c>
      <c r="M784" t="inlineStr"/>
      <c r="N784">
        <f>C784&amp;"|"&amp;D784</f>
        <v/>
      </c>
      <c r="O784">
        <f>COUNTIF($N$2:N784,N784)</f>
        <v/>
      </c>
      <c r="P784">
        <f>N784&amp;"|"&amp;O784</f>
        <v/>
      </c>
      <c r="Q784">
        <f>C784&amp;"|"&amp;D784&amp;"|"&amp;A784</f>
        <v/>
      </c>
    </row>
    <row r="785">
      <c r="A785" t="n">
        <v>20</v>
      </c>
      <c r="B785" t="inlineStr">
        <is>
          <t>García Gobea Saydi Magali</t>
        </is>
      </c>
      <c r="C785" t="inlineStr">
        <is>
          <t>JUEVES</t>
        </is>
      </c>
      <c r="D785" t="n">
        <v>7</v>
      </c>
      <c r="E785" t="n">
        <v>4</v>
      </c>
      <c r="F785" t="inlineStr">
        <is>
          <t>CLASE</t>
        </is>
      </c>
      <c r="G785" t="inlineStr">
        <is>
          <t>CS101</t>
        </is>
      </c>
      <c r="H785" t="inlineStr">
        <is>
          <t>CSI</t>
        </is>
      </c>
      <c r="I785" t="inlineStr"/>
      <c r="J785" t="inlineStr">
        <is>
          <t>Sociales / Inglés (alternan cada semana)</t>
        </is>
      </c>
      <c r="K785" t="inlineStr"/>
      <c r="L785" t="inlineStr">
        <is>
          <t>CS 1-1</t>
        </is>
      </c>
      <c r="M785" t="inlineStr">
        <is>
          <t>Sociales / Inglés (alternan cada semana)</t>
        </is>
      </c>
      <c r="N785">
        <f>C785&amp;"|"&amp;D785</f>
        <v/>
      </c>
      <c r="O785">
        <f>COUNTIF($N$2:N785,N785)</f>
        <v/>
      </c>
      <c r="P785">
        <f>N785&amp;"|"&amp;O785</f>
        <v/>
      </c>
      <c r="Q785">
        <f>C785&amp;"|"&amp;D785&amp;"|"&amp;A785</f>
        <v/>
      </c>
    </row>
    <row r="786">
      <c r="A786" t="n">
        <v>37</v>
      </c>
      <c r="B786" t="inlineStr">
        <is>
          <t>Prado Quiñones Genís Maribel</t>
        </is>
      </c>
      <c r="C786" t="inlineStr">
        <is>
          <t>JUEVES</t>
        </is>
      </c>
      <c r="D786" t="n">
        <v>7</v>
      </c>
      <c r="E786" t="n">
        <v>4</v>
      </c>
      <c r="F786" t="inlineStr">
        <is>
          <t>CLASE</t>
        </is>
      </c>
      <c r="G786" t="inlineStr">
        <is>
          <t>CS102</t>
        </is>
      </c>
      <c r="H786" t="inlineStr">
        <is>
          <t>ART</t>
        </is>
      </c>
      <c r="I786" t="inlineStr"/>
      <c r="J786" t="inlineStr"/>
      <c r="K786" t="inlineStr"/>
      <c r="L786" t="inlineStr">
        <is>
          <t>CS 1-2</t>
        </is>
      </c>
      <c r="M786" t="inlineStr"/>
      <c r="N786">
        <f>C786&amp;"|"&amp;D786</f>
        <v/>
      </c>
      <c r="O786">
        <f>COUNTIF($N$2:N786,N786)</f>
        <v/>
      </c>
      <c r="P786">
        <f>N786&amp;"|"&amp;O786</f>
        <v/>
      </c>
      <c r="Q786">
        <f>C786&amp;"|"&amp;D786&amp;"|"&amp;A786</f>
        <v/>
      </c>
    </row>
    <row r="787">
      <c r="A787" t="n">
        <v>15</v>
      </c>
      <c r="B787" t="inlineStr">
        <is>
          <t>Cuero Bamba Berte Levi</t>
        </is>
      </c>
      <c r="C787" t="inlineStr">
        <is>
          <t>JUEVES</t>
        </is>
      </c>
      <c r="D787" t="n">
        <v>7</v>
      </c>
      <c r="E787" t="n">
        <v>4</v>
      </c>
      <c r="F787" t="inlineStr">
        <is>
          <t>CLASE</t>
        </is>
      </c>
      <c r="G787" t="inlineStr">
        <is>
          <t>CS202</t>
        </is>
      </c>
      <c r="H787" t="inlineStr">
        <is>
          <t>ERD</t>
        </is>
      </c>
      <c r="I787" t="inlineStr"/>
      <c r="J787" t="inlineStr"/>
      <c r="K787" t="inlineStr"/>
      <c r="L787" t="inlineStr">
        <is>
          <t>CS 2-2</t>
        </is>
      </c>
      <c r="M787" t="inlineStr"/>
      <c r="N787">
        <f>C787&amp;"|"&amp;D787</f>
        <v/>
      </c>
      <c r="O787">
        <f>COUNTIF($N$2:N787,N787)</f>
        <v/>
      </c>
      <c r="P787">
        <f>N787&amp;"|"&amp;O787</f>
        <v/>
      </c>
      <c r="Q787">
        <f>C787&amp;"|"&amp;D787&amp;"|"&amp;A787</f>
        <v/>
      </c>
    </row>
    <row r="788">
      <c r="A788" t="n">
        <v>10</v>
      </c>
      <c r="B788" t="inlineStr">
        <is>
          <t>Castillo Cuero Daira Eneida</t>
        </is>
      </c>
      <c r="C788" t="inlineStr">
        <is>
          <t>JUEVES</t>
        </is>
      </c>
      <c r="D788" t="n">
        <v>7</v>
      </c>
      <c r="E788" t="n">
        <v>4</v>
      </c>
      <c r="F788" t="inlineStr">
        <is>
          <t>ENFASIS</t>
        </is>
      </c>
      <c r="G788" t="inlineStr"/>
      <c r="H788" t="inlineStr">
        <is>
          <t>CAS</t>
        </is>
      </c>
      <c r="I788" t="inlineStr">
        <is>
          <t>0601</t>
        </is>
      </c>
      <c r="J788" t="inlineStr">
        <is>
          <t>PAREJA: comparten el énfasis y alternan por semana</t>
        </is>
      </c>
      <c r="K788" t="inlineStr">
        <is>
          <t>Puches Ana Milena (ART)</t>
        </is>
      </c>
      <c r="L788" t="inlineStr">
        <is>
          <t>ÉNFASIS 6°-1</t>
        </is>
      </c>
      <c r="M788" t="inlineStr">
        <is>
          <t>PAREJA: comparten el énfasis y alternan por semana · Con: Puches Ana Milena (ART)</t>
        </is>
      </c>
      <c r="N788">
        <f>C788&amp;"|"&amp;D788</f>
        <v/>
      </c>
      <c r="O788">
        <f>COUNTIF($N$2:N788,N788)</f>
        <v/>
      </c>
      <c r="P788">
        <f>N788&amp;"|"&amp;O788</f>
        <v/>
      </c>
      <c r="Q788">
        <f>C788&amp;"|"&amp;D788&amp;"|"&amp;A788</f>
        <v/>
      </c>
    </row>
    <row r="789">
      <c r="A789" t="n">
        <v>39</v>
      </c>
      <c r="B789" t="inlineStr">
        <is>
          <t>Puches Ana Milena</t>
        </is>
      </c>
      <c r="C789" t="inlineStr">
        <is>
          <t>JUEVES</t>
        </is>
      </c>
      <c r="D789" t="n">
        <v>7</v>
      </c>
      <c r="E789" t="n">
        <v>4</v>
      </c>
      <c r="F789" t="inlineStr">
        <is>
          <t>ENFASIS</t>
        </is>
      </c>
      <c r="G789" t="inlineStr"/>
      <c r="H789" t="inlineStr">
        <is>
          <t>ART</t>
        </is>
      </c>
      <c r="I789" t="inlineStr">
        <is>
          <t>0601</t>
        </is>
      </c>
      <c r="J789" t="inlineStr">
        <is>
          <t>PAREJA: comparten el énfasis y alternan por semana</t>
        </is>
      </c>
      <c r="K789" t="inlineStr">
        <is>
          <t>Castillo Cuero Daira Eneida (CAS)</t>
        </is>
      </c>
      <c r="L789" t="inlineStr">
        <is>
          <t>ÉNFASIS 6°-1</t>
        </is>
      </c>
      <c r="M789" t="inlineStr">
        <is>
          <t>PAREJA: comparten el énfasis y alternan por semana · Con: Castillo Cuero Daira Eneida (CAS)</t>
        </is>
      </c>
      <c r="N789">
        <f>C789&amp;"|"&amp;D789</f>
        <v/>
      </c>
      <c r="O789">
        <f>COUNTIF($N$2:N789,N789)</f>
        <v/>
      </c>
      <c r="P789">
        <f>N789&amp;"|"&amp;O789</f>
        <v/>
      </c>
      <c r="Q789">
        <f>C789&amp;"|"&amp;D789&amp;"|"&amp;A789</f>
        <v/>
      </c>
    </row>
    <row r="790">
      <c r="A790" t="n">
        <v>34</v>
      </c>
      <c r="B790" t="inlineStr">
        <is>
          <t>Ordóñez Tenorio Jaime Marcial</t>
        </is>
      </c>
      <c r="C790" t="inlineStr">
        <is>
          <t>JUEVES</t>
        </is>
      </c>
      <c r="D790" t="n">
        <v>7</v>
      </c>
      <c r="E790" t="n">
        <v>4</v>
      </c>
      <c r="F790" t="inlineStr">
        <is>
          <t>ENFASIS</t>
        </is>
      </c>
      <c r="G790" t="inlineStr"/>
      <c r="H790" t="inlineStr">
        <is>
          <t>CNA</t>
        </is>
      </c>
      <c r="I790" t="inlineStr">
        <is>
          <t>0602</t>
        </is>
      </c>
      <c r="J790" t="inlineStr">
        <is>
          <t>PAREJA: comparten el énfasis y alternan por semana</t>
        </is>
      </c>
      <c r="K790" t="inlineStr">
        <is>
          <t>Armero Dájome Jesús (ERD)</t>
        </is>
      </c>
      <c r="L790" t="inlineStr">
        <is>
          <t>ÉNFASIS 6°-2</t>
        </is>
      </c>
      <c r="M790" t="inlineStr">
        <is>
          <t>PAREJA: comparten el énfasis y alternan por semana · Con: Armero Dájome Jesús (ERD)</t>
        </is>
      </c>
      <c r="N790">
        <f>C790&amp;"|"&amp;D790</f>
        <v/>
      </c>
      <c r="O790">
        <f>COUNTIF($N$2:N790,N790)</f>
        <v/>
      </c>
      <c r="P790">
        <f>N790&amp;"|"&amp;O790</f>
        <v/>
      </c>
      <c r="Q790">
        <f>C790&amp;"|"&amp;D790&amp;"|"&amp;A790</f>
        <v/>
      </c>
    </row>
    <row r="791">
      <c r="A791" t="n">
        <v>4</v>
      </c>
      <c r="B791" t="inlineStr">
        <is>
          <t>Arizala Castro Roberto Carlos</t>
        </is>
      </c>
      <c r="C791" t="inlineStr">
        <is>
          <t>JUEVES</t>
        </is>
      </c>
      <c r="D791" t="n">
        <v>7</v>
      </c>
      <c r="E791" t="n">
        <v>4</v>
      </c>
      <c r="F791" t="inlineStr">
        <is>
          <t>ENFASIS</t>
        </is>
      </c>
      <c r="G791" t="inlineStr"/>
      <c r="H791" t="inlineStr">
        <is>
          <t>ERD</t>
        </is>
      </c>
      <c r="I791" t="inlineStr">
        <is>
          <t>0602</t>
        </is>
      </c>
      <c r="J791" t="inlineStr">
        <is>
          <t>PAREJA: comparten el énfasis y alternan por semana</t>
        </is>
      </c>
      <c r="K791" t="inlineStr">
        <is>
          <t>Ordóñez Tenorio Jaime Marcial (CNA)</t>
        </is>
      </c>
      <c r="L791" t="inlineStr">
        <is>
          <t>ÉNFASIS 6°-2</t>
        </is>
      </c>
      <c r="M791" t="inlineStr">
        <is>
          <t>PAREJA: comparten el énfasis y alternan por semana · Con: Ordóñez Tenorio Jaime Marcial (CNA)</t>
        </is>
      </c>
      <c r="N791">
        <f>C791&amp;"|"&amp;D791</f>
        <v/>
      </c>
      <c r="O791">
        <f>COUNTIF($N$2:N791,N791)</f>
        <v/>
      </c>
      <c r="P791">
        <f>N791&amp;"|"&amp;O791</f>
        <v/>
      </c>
      <c r="Q791">
        <f>C791&amp;"|"&amp;D791&amp;"|"&amp;A791</f>
        <v/>
      </c>
    </row>
    <row r="792">
      <c r="A792" t="n">
        <v>9</v>
      </c>
      <c r="B792" t="inlineStr">
        <is>
          <t>Castillo Angulo Martha Cecilia</t>
        </is>
      </c>
      <c r="C792" t="inlineStr">
        <is>
          <t>JUEVES</t>
        </is>
      </c>
      <c r="D792" t="n">
        <v>7</v>
      </c>
      <c r="E792" t="n">
        <v>4</v>
      </c>
      <c r="F792" t="inlineStr">
        <is>
          <t>ENFASIS</t>
        </is>
      </c>
      <c r="G792" t="inlineStr"/>
      <c r="H792" t="inlineStr">
        <is>
          <t>ETR</t>
        </is>
      </c>
      <c r="I792" t="inlineStr">
        <is>
          <t>0802</t>
        </is>
      </c>
      <c r="J792" t="inlineStr">
        <is>
          <t>PAREJA: comparten el énfasis y alternan por semana</t>
        </is>
      </c>
      <c r="K792" t="inlineStr">
        <is>
          <t>Ortiz Araujo Adiela Carlota (CSI)</t>
        </is>
      </c>
      <c r="L792" t="inlineStr">
        <is>
          <t>ÉNFASIS 8°-2</t>
        </is>
      </c>
      <c r="M792" t="inlineStr">
        <is>
          <t>PAREJA: comparten el énfasis y alternan por semana · Con: Ortiz Araujo Adiela Carlota (CSI)</t>
        </is>
      </c>
      <c r="N792">
        <f>C792&amp;"|"&amp;D792</f>
        <v/>
      </c>
      <c r="O792">
        <f>COUNTIF($N$2:N792,N792)</f>
        <v/>
      </c>
      <c r="P792">
        <f>N792&amp;"|"&amp;O792</f>
        <v/>
      </c>
      <c r="Q792">
        <f>C792&amp;"|"&amp;D792&amp;"|"&amp;A792</f>
        <v/>
      </c>
    </row>
    <row r="793">
      <c r="A793" t="n">
        <v>19</v>
      </c>
      <c r="B793" t="inlineStr">
        <is>
          <t>Fernández Vélez Alfredo Enrique</t>
        </is>
      </c>
      <c r="C793" t="inlineStr">
        <is>
          <t>JUEVES</t>
        </is>
      </c>
      <c r="D793" t="n">
        <v>7</v>
      </c>
      <c r="E793" t="n">
        <v>4</v>
      </c>
      <c r="F793" t="inlineStr">
        <is>
          <t>ENFASIS</t>
        </is>
      </c>
      <c r="G793" t="inlineStr"/>
      <c r="H793" t="inlineStr">
        <is>
          <t>TEI</t>
        </is>
      </c>
      <c r="I793" t="inlineStr">
        <is>
          <t>0802</t>
        </is>
      </c>
      <c r="J793" t="inlineStr">
        <is>
          <t>PAREJA: comparten el énfasis y alternan por semana</t>
        </is>
      </c>
      <c r="K793" t="inlineStr">
        <is>
          <t>Preciado Torres Oleisa (MAT)</t>
        </is>
      </c>
      <c r="L793" t="inlineStr">
        <is>
          <t>ÉNFASIS 8°-2</t>
        </is>
      </c>
      <c r="M793" t="inlineStr">
        <is>
          <t>PAREJA: comparten el énfasis y alternan por semana · Con: Preciado Torres Oleisa (MAT)</t>
        </is>
      </c>
      <c r="N793">
        <f>C793&amp;"|"&amp;D793</f>
        <v/>
      </c>
      <c r="O793">
        <f>COUNTIF($N$2:N793,N793)</f>
        <v/>
      </c>
      <c r="P793">
        <f>N793&amp;"|"&amp;O793</f>
        <v/>
      </c>
      <c r="Q793">
        <f>C793&amp;"|"&amp;D793&amp;"|"&amp;A793</f>
        <v/>
      </c>
    </row>
    <row r="794">
      <c r="A794" t="n">
        <v>35</v>
      </c>
      <c r="B794" t="inlineStr">
        <is>
          <t>Ortiz Araujo Adiela Carlota</t>
        </is>
      </c>
      <c r="C794" t="inlineStr">
        <is>
          <t>JUEVES</t>
        </is>
      </c>
      <c r="D794" t="n">
        <v>7</v>
      </c>
      <c r="E794" t="n">
        <v>4</v>
      </c>
      <c r="F794" t="inlineStr">
        <is>
          <t>ENFASIS</t>
        </is>
      </c>
      <c r="G794" t="inlineStr"/>
      <c r="H794" t="inlineStr">
        <is>
          <t>CSI</t>
        </is>
      </c>
      <c r="I794" t="inlineStr">
        <is>
          <t>0802</t>
        </is>
      </c>
      <c r="J794" t="inlineStr">
        <is>
          <t>PAREJA: comparten el énfasis y alternan por semana</t>
        </is>
      </c>
      <c r="K794" t="inlineStr">
        <is>
          <t>Castillo Angulo Martha Cecilia (ETR)</t>
        </is>
      </c>
      <c r="L794" t="inlineStr">
        <is>
          <t>ÉNFASIS 8°-2</t>
        </is>
      </c>
      <c r="M794" t="inlineStr">
        <is>
          <t>PAREJA: comparten el énfasis y alternan por semana · Con: Castillo Angulo Martha Cecilia (ETR)</t>
        </is>
      </c>
      <c r="N794">
        <f>C794&amp;"|"&amp;D794</f>
        <v/>
      </c>
      <c r="O794">
        <f>COUNTIF($N$2:N794,N794)</f>
        <v/>
      </c>
      <c r="P794">
        <f>N794&amp;"|"&amp;O794</f>
        <v/>
      </c>
      <c r="Q794">
        <f>C794&amp;"|"&amp;D794&amp;"|"&amp;A794</f>
        <v/>
      </c>
    </row>
    <row r="795">
      <c r="A795" t="n">
        <v>38</v>
      </c>
      <c r="B795" t="inlineStr">
        <is>
          <t>Preciado Torres Oleisa</t>
        </is>
      </c>
      <c r="C795" t="inlineStr">
        <is>
          <t>JUEVES</t>
        </is>
      </c>
      <c r="D795" t="n">
        <v>7</v>
      </c>
      <c r="E795" t="n">
        <v>4</v>
      </c>
      <c r="F795" t="inlineStr">
        <is>
          <t>ENFASIS</t>
        </is>
      </c>
      <c r="G795" t="inlineStr"/>
      <c r="H795" t="inlineStr">
        <is>
          <t>MAT</t>
        </is>
      </c>
      <c r="I795" t="inlineStr">
        <is>
          <t>0802</t>
        </is>
      </c>
      <c r="J795" t="inlineStr">
        <is>
          <t>PAREJA: comparten el énfasis y alternan por semana</t>
        </is>
      </c>
      <c r="K795" t="inlineStr">
        <is>
          <t>Fernández Vélez Alfredo Enrique (TEI)</t>
        </is>
      </c>
      <c r="L795" t="inlineStr">
        <is>
          <t>ÉNFASIS 8°-2</t>
        </is>
      </c>
      <c r="M795" t="inlineStr">
        <is>
          <t>PAREJA: comparten el énfasis y alternan por semana · Con: Fernández Vélez Alfredo Enrique (TEI)</t>
        </is>
      </c>
      <c r="N795">
        <f>C795&amp;"|"&amp;D795</f>
        <v/>
      </c>
      <c r="O795">
        <f>COUNTIF($N$2:N795,N795)</f>
        <v/>
      </c>
      <c r="P795">
        <f>N795&amp;"|"&amp;O795</f>
        <v/>
      </c>
      <c r="Q795">
        <f>C795&amp;"|"&amp;D795&amp;"|"&amp;A795</f>
        <v/>
      </c>
    </row>
    <row r="796">
      <c r="A796" t="n">
        <v>22</v>
      </c>
      <c r="B796" t="inlineStr">
        <is>
          <t>González Castillo Jólmer Jimy</t>
        </is>
      </c>
      <c r="C796" t="inlineStr">
        <is>
          <t>JUEVES</t>
        </is>
      </c>
      <c r="D796" t="n">
        <v>7</v>
      </c>
      <c r="E796" t="n">
        <v>4</v>
      </c>
      <c r="F796" t="inlineStr">
        <is>
          <t>ENFASIS</t>
        </is>
      </c>
      <c r="G796" t="inlineStr"/>
      <c r="H796" t="inlineStr">
        <is>
          <t>ERD</t>
        </is>
      </c>
      <c r="I796" t="inlineStr">
        <is>
          <t>CS201</t>
        </is>
      </c>
      <c r="J796" t="inlineStr">
        <is>
          <t>EQUIPO DE 4: cada docente atiende un grupo de estudiantes en su área</t>
        </is>
      </c>
      <c r="K796" t="inlineStr">
        <is>
          <t>Valencia Marínez Saidy Eufemia (ART); Meza Banguera Gladys Alicia (CAS); Lemos Guancha Miriam (CNA)</t>
        </is>
      </c>
      <c r="L796" t="inlineStr">
        <is>
          <t>ÉNFASIS CS 2-1</t>
        </is>
      </c>
      <c r="M796" t="inlineStr">
        <is>
          <t>EQUIPO DE 4: cada docente atiende un grupo de estudiantes en su área · Con: Valencia Marínez Saidy Eufemia (ART); Meza Banguera Gladys Alicia (CAS); Lemos Guancha Miriam (CNA)</t>
        </is>
      </c>
      <c r="N796">
        <f>C796&amp;"|"&amp;D796</f>
        <v/>
      </c>
      <c r="O796">
        <f>COUNTIF($N$2:N796,N796)</f>
        <v/>
      </c>
      <c r="P796">
        <f>N796&amp;"|"&amp;O796</f>
        <v/>
      </c>
      <c r="Q796">
        <f>C796&amp;"|"&amp;D796&amp;"|"&amp;A796</f>
        <v/>
      </c>
    </row>
    <row r="797">
      <c r="A797" t="n">
        <v>25</v>
      </c>
      <c r="B797" t="inlineStr">
        <is>
          <t>Lemos Guancha Miriam</t>
        </is>
      </c>
      <c r="C797" t="inlineStr">
        <is>
          <t>JUEVES</t>
        </is>
      </c>
      <c r="D797" t="n">
        <v>7</v>
      </c>
      <c r="E797" t="n">
        <v>4</v>
      </c>
      <c r="F797" t="inlineStr">
        <is>
          <t>ENFASIS</t>
        </is>
      </c>
      <c r="G797" t="inlineStr"/>
      <c r="H797" t="inlineStr">
        <is>
          <t>CNA</t>
        </is>
      </c>
      <c r="I797" t="inlineStr">
        <is>
          <t>CS201</t>
        </is>
      </c>
      <c r="J797" t="inlineStr">
        <is>
          <t>EQUIPO DE 4: cada docente atiende un grupo de estudiantes en su área</t>
        </is>
      </c>
      <c r="K797" t="inlineStr">
        <is>
          <t>Valencia Marínez Saidy Eufemia (ART); Meza Banguera Gladys Alicia (CAS); González Castillo Jólmer Jimy (ERD)</t>
        </is>
      </c>
      <c r="L797" t="inlineStr">
        <is>
          <t>ÉNFASIS CS 2-1</t>
        </is>
      </c>
      <c r="M797" t="inlineStr">
        <is>
          <t>EQUIPO DE 4: cada docente atiende un grupo de estudiantes en su área · Con: Valencia Marínez Saidy Eufemia (ART); Meza Banguera Gladys Alicia (CAS); González Castillo Jólmer Jimy (ERD)</t>
        </is>
      </c>
      <c r="N797">
        <f>C797&amp;"|"&amp;D797</f>
        <v/>
      </c>
      <c r="O797">
        <f>COUNTIF($N$2:N797,N797)</f>
        <v/>
      </c>
      <c r="P797">
        <f>N797&amp;"|"&amp;O797</f>
        <v/>
      </c>
      <c r="Q797">
        <f>C797&amp;"|"&amp;D797&amp;"|"&amp;A797</f>
        <v/>
      </c>
    </row>
    <row r="798">
      <c r="A798" t="n">
        <v>28</v>
      </c>
      <c r="B798" t="inlineStr">
        <is>
          <t>Meza Banguera Gladys Alicia</t>
        </is>
      </c>
      <c r="C798" t="inlineStr">
        <is>
          <t>JUEVES</t>
        </is>
      </c>
      <c r="D798" t="n">
        <v>7</v>
      </c>
      <c r="E798" t="n">
        <v>4</v>
      </c>
      <c r="F798" t="inlineStr">
        <is>
          <t>ENFASIS</t>
        </is>
      </c>
      <c r="G798" t="inlineStr"/>
      <c r="H798" t="inlineStr">
        <is>
          <t>CAS</t>
        </is>
      </c>
      <c r="I798" t="inlineStr">
        <is>
          <t>CS201</t>
        </is>
      </c>
      <c r="J798" t="inlineStr">
        <is>
          <t>EQUIPO DE 4: cada docente atiende un grupo de estudiantes en su área</t>
        </is>
      </c>
      <c r="K798" t="inlineStr">
        <is>
          <t>Valencia Marínez Saidy Eufemia (ART); González Castillo Jólmer Jimy (ERD); Lemos Guancha Miriam (CNA)</t>
        </is>
      </c>
      <c r="L798" t="inlineStr">
        <is>
          <t>ÉNFASIS CS 2-1</t>
        </is>
      </c>
      <c r="M798" t="inlineStr">
        <is>
          <t>EQUIPO DE 4: cada docente atiende un grupo de estudiantes en su área · Con: Valencia Marínez Saidy Eufemia (ART); González Castillo Jólmer Jimy (ERD); Lemos Guancha Miriam (CNA)</t>
        </is>
      </c>
      <c r="N798">
        <f>C798&amp;"|"&amp;D798</f>
        <v/>
      </c>
      <c r="O798">
        <f>COUNTIF($N$2:N798,N798)</f>
        <v/>
      </c>
      <c r="P798">
        <f>N798&amp;"|"&amp;O798</f>
        <v/>
      </c>
      <c r="Q798">
        <f>C798&amp;"|"&amp;D798&amp;"|"&amp;A798</f>
        <v/>
      </c>
    </row>
    <row r="799">
      <c r="A799" t="n">
        <v>49</v>
      </c>
      <c r="B799" t="inlineStr">
        <is>
          <t>Valencia Marínez Saidy Eufemia</t>
        </is>
      </c>
      <c r="C799" t="inlineStr">
        <is>
          <t>JUEVES</t>
        </is>
      </c>
      <c r="D799" t="n">
        <v>7</v>
      </c>
      <c r="E799" t="n">
        <v>4</v>
      </c>
      <c r="F799" t="inlineStr">
        <is>
          <t>ENFASIS</t>
        </is>
      </c>
      <c r="G799" t="inlineStr"/>
      <c r="H799" t="inlineStr">
        <is>
          <t>ART</t>
        </is>
      </c>
      <c r="I799" t="inlineStr">
        <is>
          <t>CS201</t>
        </is>
      </c>
      <c r="J799" t="inlineStr">
        <is>
          <t>EQUIPO DE 4: cada docente atiende un grupo de estudiantes en su área</t>
        </is>
      </c>
      <c r="K799" t="inlineStr">
        <is>
          <t>Meza Banguera Gladys Alicia (CAS); González Castillo Jólmer Jimy (ERD); Lemos Guancha Miriam (CNA)</t>
        </is>
      </c>
      <c r="L799" t="inlineStr">
        <is>
          <t>ÉNFASIS CS 2-1</t>
        </is>
      </c>
      <c r="M799" t="inlineStr">
        <is>
          <t>EQUIPO DE 4: cada docente atiende un grupo de estudiantes en su área · Con: Meza Banguera Gladys Alicia (CAS); González Castillo Jólmer Jimy (ERD); Lemos Guancha Miriam (CNA)</t>
        </is>
      </c>
      <c r="N799">
        <f>C799&amp;"|"&amp;D799</f>
        <v/>
      </c>
      <c r="O799">
        <f>COUNTIF($N$2:N799,N799)</f>
        <v/>
      </c>
      <c r="P799">
        <f>N799&amp;"|"&amp;O799</f>
        <v/>
      </c>
      <c r="Q799">
        <f>C799&amp;"|"&amp;D799&amp;"|"&amp;A799</f>
        <v/>
      </c>
    </row>
    <row r="800">
      <c r="A800" t="n">
        <v>8</v>
      </c>
      <c r="B800" t="inlineStr">
        <is>
          <t>Casanova Quiñones Yoli del Carmen</t>
        </is>
      </c>
      <c r="C800" t="inlineStr">
        <is>
          <t>JUEVES</t>
        </is>
      </c>
      <c r="D800" t="n">
        <v>8</v>
      </c>
      <c r="E800" t="n">
        <v>4</v>
      </c>
      <c r="F800" t="inlineStr">
        <is>
          <t>CLASE</t>
        </is>
      </c>
      <c r="G800" t="inlineStr">
        <is>
          <t>0701</t>
        </is>
      </c>
      <c r="H800" t="inlineStr">
        <is>
          <t>ETR</t>
        </is>
      </c>
      <c r="I800" t="inlineStr"/>
      <c r="J800" t="inlineStr">
        <is>
          <t>Ética / Religión (alternan cada semana)</t>
        </is>
      </c>
      <c r="K800" t="inlineStr"/>
      <c r="L800" t="inlineStr">
        <is>
          <t>7°-1</t>
        </is>
      </c>
      <c r="M800" t="inlineStr">
        <is>
          <t>Ética / Religión (alternan cada semana)</t>
        </is>
      </c>
      <c r="N800">
        <f>C800&amp;"|"&amp;D800</f>
        <v/>
      </c>
      <c r="O800">
        <f>COUNTIF($N$2:N800,N800)</f>
        <v/>
      </c>
      <c r="P800">
        <f>N800&amp;"|"&amp;O800</f>
        <v/>
      </c>
      <c r="Q800">
        <f>C800&amp;"|"&amp;D800&amp;"|"&amp;A800</f>
        <v/>
      </c>
    </row>
    <row r="801">
      <c r="A801" t="n">
        <v>41</v>
      </c>
      <c r="B801" t="inlineStr">
        <is>
          <t>Quintero Ramírez María del Carmen</t>
        </is>
      </c>
      <c r="C801" t="inlineStr">
        <is>
          <t>JUEVES</t>
        </is>
      </c>
      <c r="D801" t="n">
        <v>8</v>
      </c>
      <c r="E801" t="n">
        <v>4</v>
      </c>
      <c r="F801" t="inlineStr">
        <is>
          <t>CLASE</t>
        </is>
      </c>
      <c r="G801" t="inlineStr">
        <is>
          <t>0702</t>
        </is>
      </c>
      <c r="H801" t="inlineStr">
        <is>
          <t>CSI</t>
        </is>
      </c>
      <c r="I801" t="inlineStr"/>
      <c r="J801" t="inlineStr">
        <is>
          <t>Sociales / Inglés (alternan cada semana)</t>
        </is>
      </c>
      <c r="K801" t="inlineStr"/>
      <c r="L801" t="inlineStr">
        <is>
          <t>7°-2</t>
        </is>
      </c>
      <c r="M801" t="inlineStr">
        <is>
          <t>Sociales / Inglés (alternan cada semana)</t>
        </is>
      </c>
      <c r="N801">
        <f>C801&amp;"|"&amp;D801</f>
        <v/>
      </c>
      <c r="O801">
        <f>COUNTIF($N$2:N801,N801)</f>
        <v/>
      </c>
      <c r="P801">
        <f>N801&amp;"|"&amp;O801</f>
        <v/>
      </c>
      <c r="Q801">
        <f>C801&amp;"|"&amp;D801&amp;"|"&amp;A801</f>
        <v/>
      </c>
    </row>
    <row r="802">
      <c r="A802" t="n">
        <v>1</v>
      </c>
      <c r="B802" t="inlineStr">
        <is>
          <t>Aguirre Riascos Jorge Andrés</t>
        </is>
      </c>
      <c r="C802" t="inlineStr">
        <is>
          <t>JUEVES</t>
        </is>
      </c>
      <c r="D802" t="n">
        <v>8</v>
      </c>
      <c r="E802" t="n">
        <v>4</v>
      </c>
      <c r="F802" t="inlineStr">
        <is>
          <t>CLASE</t>
        </is>
      </c>
      <c r="G802" t="inlineStr">
        <is>
          <t>0703</t>
        </is>
      </c>
      <c r="H802" t="inlineStr">
        <is>
          <t>TEI</t>
        </is>
      </c>
      <c r="I802" t="inlineStr"/>
      <c r="J802" t="inlineStr"/>
      <c r="K802" t="inlineStr"/>
      <c r="L802" t="inlineStr">
        <is>
          <t>7°-3</t>
        </is>
      </c>
      <c r="M802" t="inlineStr"/>
      <c r="N802">
        <f>C802&amp;"|"&amp;D802</f>
        <v/>
      </c>
      <c r="O802">
        <f>COUNTIF($N$2:N802,N802)</f>
        <v/>
      </c>
      <c r="P802">
        <f>N802&amp;"|"&amp;O802</f>
        <v/>
      </c>
      <c r="Q802">
        <f>C802&amp;"|"&amp;D802&amp;"|"&amp;A802</f>
        <v/>
      </c>
    </row>
    <row r="803">
      <c r="A803" t="n">
        <v>52</v>
      </c>
      <c r="B803" t="inlineStr">
        <is>
          <t>Vásquez Valencia Segundo Leoncio</t>
        </is>
      </c>
      <c r="C803" t="inlineStr">
        <is>
          <t>JUEVES</t>
        </is>
      </c>
      <c r="D803" t="n">
        <v>8</v>
      </c>
      <c r="E803" t="n">
        <v>4</v>
      </c>
      <c r="F803" t="inlineStr">
        <is>
          <t>CLASE</t>
        </is>
      </c>
      <c r="G803" t="inlineStr">
        <is>
          <t>0704</t>
        </is>
      </c>
      <c r="H803" t="inlineStr">
        <is>
          <t>MAT</t>
        </is>
      </c>
      <c r="I803" t="inlineStr"/>
      <c r="J803" t="inlineStr"/>
      <c r="K803" t="inlineStr"/>
      <c r="L803" t="inlineStr">
        <is>
          <t>7°-4</t>
        </is>
      </c>
      <c r="M803" t="inlineStr"/>
      <c r="N803">
        <f>C803&amp;"|"&amp;D803</f>
        <v/>
      </c>
      <c r="O803">
        <f>COUNTIF($N$2:N803,N803)</f>
        <v/>
      </c>
      <c r="P803">
        <f>N803&amp;"|"&amp;O803</f>
        <v/>
      </c>
      <c r="Q803">
        <f>C803&amp;"|"&amp;D803&amp;"|"&amp;A803</f>
        <v/>
      </c>
    </row>
    <row r="804">
      <c r="A804" t="n">
        <v>12</v>
      </c>
      <c r="B804" t="inlineStr">
        <is>
          <t>Chillambo Quiñones María Rocío</t>
        </is>
      </c>
      <c r="C804" t="inlineStr">
        <is>
          <t>JUEVES</t>
        </is>
      </c>
      <c r="D804" t="n">
        <v>8</v>
      </c>
      <c r="E804" t="n">
        <v>4</v>
      </c>
      <c r="F804" t="inlineStr">
        <is>
          <t>CLASE</t>
        </is>
      </c>
      <c r="G804" t="inlineStr">
        <is>
          <t>0801</t>
        </is>
      </c>
      <c r="H804" t="inlineStr">
        <is>
          <t>CNA</t>
        </is>
      </c>
      <c r="I804" t="inlineStr"/>
      <c r="J804" t="inlineStr"/>
      <c r="K804" t="inlineStr"/>
      <c r="L804" t="inlineStr">
        <is>
          <t>8°-1</t>
        </is>
      </c>
      <c r="M804" t="inlineStr"/>
      <c r="N804">
        <f>C804&amp;"|"&amp;D804</f>
        <v/>
      </c>
      <c r="O804">
        <f>COUNTIF($N$2:N804,N804)</f>
        <v/>
      </c>
      <c r="P804">
        <f>N804&amp;"|"&amp;O804</f>
        <v/>
      </c>
      <c r="Q804">
        <f>C804&amp;"|"&amp;D804&amp;"|"&amp;A804</f>
        <v/>
      </c>
    </row>
    <row r="805">
      <c r="A805" t="n">
        <v>29</v>
      </c>
      <c r="B805" t="inlineStr">
        <is>
          <t>Mindineros Satizábal John Jáver</t>
        </is>
      </c>
      <c r="C805" t="inlineStr">
        <is>
          <t>JUEVES</t>
        </is>
      </c>
      <c r="D805" t="n">
        <v>8</v>
      </c>
      <c r="E805" t="n">
        <v>4</v>
      </c>
      <c r="F805" t="inlineStr">
        <is>
          <t>CLASE</t>
        </is>
      </c>
      <c r="G805" t="inlineStr">
        <is>
          <t>0901</t>
        </is>
      </c>
      <c r="H805" t="inlineStr">
        <is>
          <t>TEI</t>
        </is>
      </c>
      <c r="I805" t="inlineStr"/>
      <c r="J805" t="inlineStr"/>
      <c r="K805" t="inlineStr"/>
      <c r="L805" t="inlineStr">
        <is>
          <t>9°-1</t>
        </is>
      </c>
      <c r="M805" t="inlineStr"/>
      <c r="N805">
        <f>C805&amp;"|"&amp;D805</f>
        <v/>
      </c>
      <c r="O805">
        <f>COUNTIF($N$2:N805,N805)</f>
        <v/>
      </c>
      <c r="P805">
        <f>N805&amp;"|"&amp;O805</f>
        <v/>
      </c>
      <c r="Q805">
        <f>C805&amp;"|"&amp;D805&amp;"|"&amp;A805</f>
        <v/>
      </c>
    </row>
    <row r="806">
      <c r="A806" t="n">
        <v>6</v>
      </c>
      <c r="B806" t="inlineStr">
        <is>
          <t>Betancourth Ocampo Yohana Patricia</t>
        </is>
      </c>
      <c r="C806" t="inlineStr">
        <is>
          <t>JUEVES</t>
        </is>
      </c>
      <c r="D806" t="n">
        <v>8</v>
      </c>
      <c r="E806" t="n">
        <v>4</v>
      </c>
      <c r="F806" t="inlineStr">
        <is>
          <t>CLASE</t>
        </is>
      </c>
      <c r="G806" t="inlineStr">
        <is>
          <t>0902</t>
        </is>
      </c>
      <c r="H806" t="inlineStr">
        <is>
          <t>CSI</t>
        </is>
      </c>
      <c r="I806" t="inlineStr"/>
      <c r="J806" t="inlineStr">
        <is>
          <t>Sociales / Inglés (alternan cada semana)</t>
        </is>
      </c>
      <c r="K806" t="inlineStr"/>
      <c r="L806" t="inlineStr">
        <is>
          <t>9°-2</t>
        </is>
      </c>
      <c r="M806" t="inlineStr">
        <is>
          <t>Sociales / Inglés (alternan cada semana)</t>
        </is>
      </c>
      <c r="N806">
        <f>C806&amp;"|"&amp;D806</f>
        <v/>
      </c>
      <c r="O806">
        <f>COUNTIF($N$2:N806,N806)</f>
        <v/>
      </c>
      <c r="P806">
        <f>N806&amp;"|"&amp;O806</f>
        <v/>
      </c>
      <c r="Q806">
        <f>C806&amp;"|"&amp;D806&amp;"|"&amp;A806</f>
        <v/>
      </c>
    </row>
    <row r="807">
      <c r="A807" t="n">
        <v>5</v>
      </c>
      <c r="B807" t="inlineStr">
        <is>
          <t>Bastidas Valencia Zeneida Judith</t>
        </is>
      </c>
      <c r="C807" t="inlineStr">
        <is>
          <t>JUEVES</t>
        </is>
      </c>
      <c r="D807" t="n">
        <v>8</v>
      </c>
      <c r="E807" t="n">
        <v>4</v>
      </c>
      <c r="F807" t="inlineStr">
        <is>
          <t>CLASE</t>
        </is>
      </c>
      <c r="G807" t="inlineStr">
        <is>
          <t>1001</t>
        </is>
      </c>
      <c r="H807" t="inlineStr">
        <is>
          <t>MAT</t>
        </is>
      </c>
      <c r="I807" t="inlineStr"/>
      <c r="J807" t="inlineStr"/>
      <c r="K807" t="inlineStr"/>
      <c r="L807" t="inlineStr">
        <is>
          <t>10°-1</t>
        </is>
      </c>
      <c r="M807" t="inlineStr"/>
      <c r="N807">
        <f>C807&amp;"|"&amp;D807</f>
        <v/>
      </c>
      <c r="O807">
        <f>COUNTIF($N$2:N807,N807)</f>
        <v/>
      </c>
      <c r="P807">
        <f>N807&amp;"|"&amp;O807</f>
        <v/>
      </c>
      <c r="Q807">
        <f>C807&amp;"|"&amp;D807&amp;"|"&amp;A807</f>
        <v/>
      </c>
    </row>
    <row r="808">
      <c r="A808" t="n">
        <v>53</v>
      </c>
      <c r="B808" t="inlineStr">
        <is>
          <t>Villota Rubio Héctor Hugo</t>
        </is>
      </c>
      <c r="C808" t="inlineStr">
        <is>
          <t>JUEVES</t>
        </is>
      </c>
      <c r="D808" t="n">
        <v>8</v>
      </c>
      <c r="E808" t="n">
        <v>4</v>
      </c>
      <c r="F808" t="inlineStr">
        <is>
          <t>CLASE</t>
        </is>
      </c>
      <c r="G808" t="inlineStr">
        <is>
          <t>1002</t>
        </is>
      </c>
      <c r="H808" t="inlineStr">
        <is>
          <t>CNA</t>
        </is>
      </c>
      <c r="I808" t="inlineStr"/>
      <c r="J808" t="inlineStr"/>
      <c r="K808" t="inlineStr"/>
      <c r="L808" t="inlineStr">
        <is>
          <t>10°-2</t>
        </is>
      </c>
      <c r="M808" t="inlineStr"/>
      <c r="N808">
        <f>C808&amp;"|"&amp;D808</f>
        <v/>
      </c>
      <c r="O808">
        <f>COUNTIF($N$2:N808,N808)</f>
        <v/>
      </c>
      <c r="P808">
        <f>N808&amp;"|"&amp;O808</f>
        <v/>
      </c>
      <c r="Q808">
        <f>C808&amp;"|"&amp;D808&amp;"|"&amp;A808</f>
        <v/>
      </c>
    </row>
    <row r="809">
      <c r="A809" t="n">
        <v>54</v>
      </c>
      <c r="B809" t="inlineStr">
        <is>
          <t>Villota Rubio Janeth del Carmen</t>
        </is>
      </c>
      <c r="C809" t="inlineStr">
        <is>
          <t>JUEVES</t>
        </is>
      </c>
      <c r="D809" t="n">
        <v>8</v>
      </c>
      <c r="E809" t="n">
        <v>4</v>
      </c>
      <c r="F809" t="inlineStr">
        <is>
          <t>CLASE</t>
        </is>
      </c>
      <c r="G809" t="inlineStr">
        <is>
          <t>1101</t>
        </is>
      </c>
      <c r="H809" t="inlineStr">
        <is>
          <t>MAT</t>
        </is>
      </c>
      <c r="I809" t="inlineStr"/>
      <c r="J809" t="inlineStr"/>
      <c r="K809" t="inlineStr"/>
      <c r="L809" t="inlineStr">
        <is>
          <t>11°-1</t>
        </is>
      </c>
      <c r="M809" t="inlineStr"/>
      <c r="N809">
        <f>C809&amp;"|"&amp;D809</f>
        <v/>
      </c>
      <c r="O809">
        <f>COUNTIF($N$2:N809,N809)</f>
        <v/>
      </c>
      <c r="P809">
        <f>N809&amp;"|"&amp;O809</f>
        <v/>
      </c>
      <c r="Q809">
        <f>C809&amp;"|"&amp;D809&amp;"|"&amp;A809</f>
        <v/>
      </c>
    </row>
    <row r="810">
      <c r="A810" t="n">
        <v>30</v>
      </c>
      <c r="B810" t="inlineStr">
        <is>
          <t>Montaño Anchico Favio Héctor</t>
        </is>
      </c>
      <c r="C810" t="inlineStr">
        <is>
          <t>JUEVES</t>
        </is>
      </c>
      <c r="D810" t="n">
        <v>8</v>
      </c>
      <c r="E810" t="n">
        <v>4</v>
      </c>
      <c r="F810" t="inlineStr">
        <is>
          <t>CLASE</t>
        </is>
      </c>
      <c r="G810" t="inlineStr">
        <is>
          <t>1102</t>
        </is>
      </c>
      <c r="H810" t="inlineStr">
        <is>
          <t>CAS</t>
        </is>
      </c>
      <c r="I810" t="inlineStr"/>
      <c r="J810" t="inlineStr"/>
      <c r="K810" t="inlineStr"/>
      <c r="L810" t="inlineStr">
        <is>
          <t>11°-2</t>
        </is>
      </c>
      <c r="M810" t="inlineStr"/>
      <c r="N810">
        <f>C810&amp;"|"&amp;D810</f>
        <v/>
      </c>
      <c r="O810">
        <f>COUNTIF($N$2:N810,N810)</f>
        <v/>
      </c>
      <c r="P810">
        <f>N810&amp;"|"&amp;O810</f>
        <v/>
      </c>
      <c r="Q810">
        <f>C810&amp;"|"&amp;D810&amp;"|"&amp;A810</f>
        <v/>
      </c>
    </row>
    <row r="811">
      <c r="A811" t="n">
        <v>20</v>
      </c>
      <c r="B811" t="inlineStr">
        <is>
          <t>García Gobea Saydi Magali</t>
        </is>
      </c>
      <c r="C811" t="inlineStr">
        <is>
          <t>JUEVES</t>
        </is>
      </c>
      <c r="D811" t="n">
        <v>8</v>
      </c>
      <c r="E811" t="n">
        <v>4</v>
      </c>
      <c r="F811" t="inlineStr">
        <is>
          <t>CLASE</t>
        </is>
      </c>
      <c r="G811" t="inlineStr">
        <is>
          <t>CS101</t>
        </is>
      </c>
      <c r="H811" t="inlineStr">
        <is>
          <t>CSI</t>
        </is>
      </c>
      <c r="I811" t="inlineStr"/>
      <c r="J811" t="inlineStr">
        <is>
          <t>Sociales / Inglés (alternan cada semana)</t>
        </is>
      </c>
      <c r="K811" t="inlineStr"/>
      <c r="L811" t="inlineStr">
        <is>
          <t>CS 1-1</t>
        </is>
      </c>
      <c r="M811" t="inlineStr">
        <is>
          <t>Sociales / Inglés (alternan cada semana)</t>
        </is>
      </c>
      <c r="N811">
        <f>C811&amp;"|"&amp;D811</f>
        <v/>
      </c>
      <c r="O811">
        <f>COUNTIF($N$2:N811,N811)</f>
        <v/>
      </c>
      <c r="P811">
        <f>N811&amp;"|"&amp;O811</f>
        <v/>
      </c>
      <c r="Q811">
        <f>C811&amp;"|"&amp;D811&amp;"|"&amp;A811</f>
        <v/>
      </c>
    </row>
    <row r="812">
      <c r="A812" t="n">
        <v>37</v>
      </c>
      <c r="B812" t="inlineStr">
        <is>
          <t>Prado Quiñones Genís Maribel</t>
        </is>
      </c>
      <c r="C812" t="inlineStr">
        <is>
          <t>JUEVES</t>
        </is>
      </c>
      <c r="D812" t="n">
        <v>8</v>
      </c>
      <c r="E812" t="n">
        <v>4</v>
      </c>
      <c r="F812" t="inlineStr">
        <is>
          <t>CLASE</t>
        </is>
      </c>
      <c r="G812" t="inlineStr">
        <is>
          <t>CS102</t>
        </is>
      </c>
      <c r="H812" t="inlineStr">
        <is>
          <t>ART</t>
        </is>
      </c>
      <c r="I812" t="inlineStr"/>
      <c r="J812" t="inlineStr"/>
      <c r="K812" t="inlineStr"/>
      <c r="L812" t="inlineStr">
        <is>
          <t>CS 1-2</t>
        </is>
      </c>
      <c r="M812" t="inlineStr"/>
      <c r="N812">
        <f>C812&amp;"|"&amp;D812</f>
        <v/>
      </c>
      <c r="O812">
        <f>COUNTIF($N$2:N812,N812)</f>
        <v/>
      </c>
      <c r="P812">
        <f>N812&amp;"|"&amp;O812</f>
        <v/>
      </c>
      <c r="Q812">
        <f>C812&amp;"|"&amp;D812&amp;"|"&amp;A812</f>
        <v/>
      </c>
    </row>
    <row r="813">
      <c r="A813" t="n">
        <v>15</v>
      </c>
      <c r="B813" t="inlineStr">
        <is>
          <t>Cuero Bamba Berte Levi</t>
        </is>
      </c>
      <c r="C813" t="inlineStr">
        <is>
          <t>JUEVES</t>
        </is>
      </c>
      <c r="D813" t="n">
        <v>8</v>
      </c>
      <c r="E813" t="n">
        <v>4</v>
      </c>
      <c r="F813" t="inlineStr">
        <is>
          <t>CLASE</t>
        </is>
      </c>
      <c r="G813" t="inlineStr">
        <is>
          <t>CS202</t>
        </is>
      </c>
      <c r="H813" t="inlineStr">
        <is>
          <t>ERD</t>
        </is>
      </c>
      <c r="I813" t="inlineStr"/>
      <c r="J813" t="inlineStr"/>
      <c r="K813" t="inlineStr"/>
      <c r="L813" t="inlineStr">
        <is>
          <t>CS 2-2</t>
        </is>
      </c>
      <c r="M813" t="inlineStr"/>
      <c r="N813">
        <f>C813&amp;"|"&amp;D813</f>
        <v/>
      </c>
      <c r="O813">
        <f>COUNTIF($N$2:N813,N813)</f>
        <v/>
      </c>
      <c r="P813">
        <f>N813&amp;"|"&amp;O813</f>
        <v/>
      </c>
      <c r="Q813">
        <f>C813&amp;"|"&amp;D813&amp;"|"&amp;A813</f>
        <v/>
      </c>
    </row>
    <row r="814">
      <c r="A814" t="n">
        <v>10</v>
      </c>
      <c r="B814" t="inlineStr">
        <is>
          <t>Castillo Cuero Daira Eneida</t>
        </is>
      </c>
      <c r="C814" t="inlineStr">
        <is>
          <t>JUEVES</t>
        </is>
      </c>
      <c r="D814" t="n">
        <v>8</v>
      </c>
      <c r="E814" t="n">
        <v>4</v>
      </c>
      <c r="F814" t="inlineStr">
        <is>
          <t>ENFASIS</t>
        </is>
      </c>
      <c r="G814" t="inlineStr"/>
      <c r="H814" t="inlineStr">
        <is>
          <t>CAS</t>
        </is>
      </c>
      <c r="I814" t="inlineStr">
        <is>
          <t>0601</t>
        </is>
      </c>
      <c r="J814" t="inlineStr">
        <is>
          <t>PAREJA: comparten el énfasis y alternan por semana</t>
        </is>
      </c>
      <c r="K814" t="inlineStr">
        <is>
          <t>Puches Ana Milena (ART)</t>
        </is>
      </c>
      <c r="L814" t="inlineStr">
        <is>
          <t>ÉNFASIS 6°-1</t>
        </is>
      </c>
      <c r="M814" t="inlineStr">
        <is>
          <t>PAREJA: comparten el énfasis y alternan por semana · Con: Puches Ana Milena (ART)</t>
        </is>
      </c>
      <c r="N814">
        <f>C814&amp;"|"&amp;D814</f>
        <v/>
      </c>
      <c r="O814">
        <f>COUNTIF($N$2:N814,N814)</f>
        <v/>
      </c>
      <c r="P814">
        <f>N814&amp;"|"&amp;O814</f>
        <v/>
      </c>
      <c r="Q814">
        <f>C814&amp;"|"&amp;D814&amp;"|"&amp;A814</f>
        <v/>
      </c>
    </row>
    <row r="815">
      <c r="A815" t="n">
        <v>39</v>
      </c>
      <c r="B815" t="inlineStr">
        <is>
          <t>Puches Ana Milena</t>
        </is>
      </c>
      <c r="C815" t="inlineStr">
        <is>
          <t>JUEVES</t>
        </is>
      </c>
      <c r="D815" t="n">
        <v>8</v>
      </c>
      <c r="E815" t="n">
        <v>4</v>
      </c>
      <c r="F815" t="inlineStr">
        <is>
          <t>ENFASIS</t>
        </is>
      </c>
      <c r="G815" t="inlineStr"/>
      <c r="H815" t="inlineStr">
        <is>
          <t>ART</t>
        </is>
      </c>
      <c r="I815" t="inlineStr">
        <is>
          <t>0601</t>
        </is>
      </c>
      <c r="J815" t="inlineStr">
        <is>
          <t>PAREJA: comparten el énfasis y alternan por semana</t>
        </is>
      </c>
      <c r="K815" t="inlineStr">
        <is>
          <t>Castillo Cuero Daira Eneida (CAS)</t>
        </is>
      </c>
      <c r="L815" t="inlineStr">
        <is>
          <t>ÉNFASIS 6°-1</t>
        </is>
      </c>
      <c r="M815" t="inlineStr">
        <is>
          <t>PAREJA: comparten el énfasis y alternan por semana · Con: Castillo Cuero Daira Eneida (CAS)</t>
        </is>
      </c>
      <c r="N815">
        <f>C815&amp;"|"&amp;D815</f>
        <v/>
      </c>
      <c r="O815">
        <f>COUNTIF($N$2:N815,N815)</f>
        <v/>
      </c>
      <c r="P815">
        <f>N815&amp;"|"&amp;O815</f>
        <v/>
      </c>
      <c r="Q815">
        <f>C815&amp;"|"&amp;D815&amp;"|"&amp;A815</f>
        <v/>
      </c>
    </row>
    <row r="816">
      <c r="A816" t="n">
        <v>34</v>
      </c>
      <c r="B816" t="inlineStr">
        <is>
          <t>Ordóñez Tenorio Jaime Marcial</t>
        </is>
      </c>
      <c r="C816" t="inlineStr">
        <is>
          <t>JUEVES</t>
        </is>
      </c>
      <c r="D816" t="n">
        <v>8</v>
      </c>
      <c r="E816" t="n">
        <v>4</v>
      </c>
      <c r="F816" t="inlineStr">
        <is>
          <t>ENFASIS</t>
        </is>
      </c>
      <c r="G816" t="inlineStr"/>
      <c r="H816" t="inlineStr">
        <is>
          <t>CNA</t>
        </is>
      </c>
      <c r="I816" t="inlineStr">
        <is>
          <t>0602</t>
        </is>
      </c>
      <c r="J816" t="inlineStr">
        <is>
          <t>PAREJA: comparten el énfasis y alternan por semana</t>
        </is>
      </c>
      <c r="K816" t="inlineStr">
        <is>
          <t>Armero Dájome Jesús (ERD)</t>
        </is>
      </c>
      <c r="L816" t="inlineStr">
        <is>
          <t>ÉNFASIS 6°-2</t>
        </is>
      </c>
      <c r="M816" t="inlineStr">
        <is>
          <t>PAREJA: comparten el énfasis y alternan por semana · Con: Armero Dájome Jesús (ERD)</t>
        </is>
      </c>
      <c r="N816">
        <f>C816&amp;"|"&amp;D816</f>
        <v/>
      </c>
      <c r="O816">
        <f>COUNTIF($N$2:N816,N816)</f>
        <v/>
      </c>
      <c r="P816">
        <f>N816&amp;"|"&amp;O816</f>
        <v/>
      </c>
      <c r="Q816">
        <f>C816&amp;"|"&amp;D816&amp;"|"&amp;A816</f>
        <v/>
      </c>
    </row>
    <row r="817">
      <c r="A817" t="n">
        <v>4</v>
      </c>
      <c r="B817" t="inlineStr">
        <is>
          <t>Arizala Castro Roberto Carlos</t>
        </is>
      </c>
      <c r="C817" t="inlineStr">
        <is>
          <t>JUEVES</t>
        </is>
      </c>
      <c r="D817" t="n">
        <v>8</v>
      </c>
      <c r="E817" t="n">
        <v>4</v>
      </c>
      <c r="F817" t="inlineStr">
        <is>
          <t>ENFASIS</t>
        </is>
      </c>
      <c r="G817" t="inlineStr"/>
      <c r="H817" t="inlineStr">
        <is>
          <t>ERD</t>
        </is>
      </c>
      <c r="I817" t="inlineStr">
        <is>
          <t>0602</t>
        </is>
      </c>
      <c r="J817" t="inlineStr">
        <is>
          <t>PAREJA: comparten el énfasis y alternan por semana</t>
        </is>
      </c>
      <c r="K817" t="inlineStr">
        <is>
          <t>Ordóñez Tenorio Jaime Marcial (CNA)</t>
        </is>
      </c>
      <c r="L817" t="inlineStr">
        <is>
          <t>ÉNFASIS 6°-2</t>
        </is>
      </c>
      <c r="M817" t="inlineStr">
        <is>
          <t>PAREJA: comparten el énfasis y alternan por semana · Con: Ordóñez Tenorio Jaime Marcial (CNA)</t>
        </is>
      </c>
      <c r="N817">
        <f>C817&amp;"|"&amp;D817</f>
        <v/>
      </c>
      <c r="O817">
        <f>COUNTIF($N$2:N817,N817)</f>
        <v/>
      </c>
      <c r="P817">
        <f>N817&amp;"|"&amp;O817</f>
        <v/>
      </c>
      <c r="Q817">
        <f>C817&amp;"|"&amp;D817&amp;"|"&amp;A817</f>
        <v/>
      </c>
    </row>
    <row r="818">
      <c r="A818" t="n">
        <v>9</v>
      </c>
      <c r="B818" t="inlineStr">
        <is>
          <t>Castillo Angulo Martha Cecilia</t>
        </is>
      </c>
      <c r="C818" t="inlineStr">
        <is>
          <t>JUEVES</t>
        </is>
      </c>
      <c r="D818" t="n">
        <v>8</v>
      </c>
      <c r="E818" t="n">
        <v>4</v>
      </c>
      <c r="F818" t="inlineStr">
        <is>
          <t>ENFASIS</t>
        </is>
      </c>
      <c r="G818" t="inlineStr"/>
      <c r="H818" t="inlineStr">
        <is>
          <t>ETR</t>
        </is>
      </c>
      <c r="I818" t="inlineStr">
        <is>
          <t>0802</t>
        </is>
      </c>
      <c r="J818" t="inlineStr">
        <is>
          <t>PAREJA: comparten el énfasis y alternan por semana</t>
        </is>
      </c>
      <c r="K818" t="inlineStr">
        <is>
          <t>Ortiz Araujo Adiela Carlota (CSI)</t>
        </is>
      </c>
      <c r="L818" t="inlineStr">
        <is>
          <t>ÉNFASIS 8°-2</t>
        </is>
      </c>
      <c r="M818" t="inlineStr">
        <is>
          <t>PAREJA: comparten el énfasis y alternan por semana · Con: Ortiz Araujo Adiela Carlota (CSI)</t>
        </is>
      </c>
      <c r="N818">
        <f>C818&amp;"|"&amp;D818</f>
        <v/>
      </c>
      <c r="O818">
        <f>COUNTIF($N$2:N818,N818)</f>
        <v/>
      </c>
      <c r="P818">
        <f>N818&amp;"|"&amp;O818</f>
        <v/>
      </c>
      <c r="Q818">
        <f>C818&amp;"|"&amp;D818&amp;"|"&amp;A818</f>
        <v/>
      </c>
    </row>
    <row r="819">
      <c r="A819" t="n">
        <v>19</v>
      </c>
      <c r="B819" t="inlineStr">
        <is>
          <t>Fernández Vélez Alfredo Enrique</t>
        </is>
      </c>
      <c r="C819" t="inlineStr">
        <is>
          <t>JUEVES</t>
        </is>
      </c>
      <c r="D819" t="n">
        <v>8</v>
      </c>
      <c r="E819" t="n">
        <v>4</v>
      </c>
      <c r="F819" t="inlineStr">
        <is>
          <t>ENFASIS</t>
        </is>
      </c>
      <c r="G819" t="inlineStr"/>
      <c r="H819" t="inlineStr">
        <is>
          <t>TEI</t>
        </is>
      </c>
      <c r="I819" t="inlineStr">
        <is>
          <t>0802</t>
        </is>
      </c>
      <c r="J819" t="inlineStr">
        <is>
          <t>PAREJA: comparten el énfasis y alternan por semana</t>
        </is>
      </c>
      <c r="K819" t="inlineStr">
        <is>
          <t>Preciado Torres Oleisa (MAT)</t>
        </is>
      </c>
      <c r="L819" t="inlineStr">
        <is>
          <t>ÉNFASIS 8°-2</t>
        </is>
      </c>
      <c r="M819" t="inlineStr">
        <is>
          <t>PAREJA: comparten el énfasis y alternan por semana · Con: Preciado Torres Oleisa (MAT)</t>
        </is>
      </c>
      <c r="N819">
        <f>C819&amp;"|"&amp;D819</f>
        <v/>
      </c>
      <c r="O819">
        <f>COUNTIF($N$2:N819,N819)</f>
        <v/>
      </c>
      <c r="P819">
        <f>N819&amp;"|"&amp;O819</f>
        <v/>
      </c>
      <c r="Q819">
        <f>C819&amp;"|"&amp;D819&amp;"|"&amp;A819</f>
        <v/>
      </c>
    </row>
    <row r="820">
      <c r="A820" t="n">
        <v>35</v>
      </c>
      <c r="B820" t="inlineStr">
        <is>
          <t>Ortiz Araujo Adiela Carlota</t>
        </is>
      </c>
      <c r="C820" t="inlineStr">
        <is>
          <t>JUEVES</t>
        </is>
      </c>
      <c r="D820" t="n">
        <v>8</v>
      </c>
      <c r="E820" t="n">
        <v>4</v>
      </c>
      <c r="F820" t="inlineStr">
        <is>
          <t>ENFASIS</t>
        </is>
      </c>
      <c r="G820" t="inlineStr"/>
      <c r="H820" t="inlineStr">
        <is>
          <t>CSI</t>
        </is>
      </c>
      <c r="I820" t="inlineStr">
        <is>
          <t>0802</t>
        </is>
      </c>
      <c r="J820" t="inlineStr">
        <is>
          <t>PAREJA: comparten el énfasis y alternan por semana</t>
        </is>
      </c>
      <c r="K820" t="inlineStr">
        <is>
          <t>Castillo Angulo Martha Cecilia (ETR)</t>
        </is>
      </c>
      <c r="L820" t="inlineStr">
        <is>
          <t>ÉNFASIS 8°-2</t>
        </is>
      </c>
      <c r="M820" t="inlineStr">
        <is>
          <t>PAREJA: comparten el énfasis y alternan por semana · Con: Castillo Angulo Martha Cecilia (ETR)</t>
        </is>
      </c>
      <c r="N820">
        <f>C820&amp;"|"&amp;D820</f>
        <v/>
      </c>
      <c r="O820">
        <f>COUNTIF($N$2:N820,N820)</f>
        <v/>
      </c>
      <c r="P820">
        <f>N820&amp;"|"&amp;O820</f>
        <v/>
      </c>
      <c r="Q820">
        <f>C820&amp;"|"&amp;D820&amp;"|"&amp;A820</f>
        <v/>
      </c>
    </row>
    <row r="821">
      <c r="A821" t="n">
        <v>38</v>
      </c>
      <c r="B821" t="inlineStr">
        <is>
          <t>Preciado Torres Oleisa</t>
        </is>
      </c>
      <c r="C821" t="inlineStr">
        <is>
          <t>JUEVES</t>
        </is>
      </c>
      <c r="D821" t="n">
        <v>8</v>
      </c>
      <c r="E821" t="n">
        <v>4</v>
      </c>
      <c r="F821" t="inlineStr">
        <is>
          <t>ENFASIS</t>
        </is>
      </c>
      <c r="G821" t="inlineStr"/>
      <c r="H821" t="inlineStr">
        <is>
          <t>MAT</t>
        </is>
      </c>
      <c r="I821" t="inlineStr">
        <is>
          <t>0802</t>
        </is>
      </c>
      <c r="J821" t="inlineStr">
        <is>
          <t>PAREJA: comparten el énfasis y alternan por semana</t>
        </is>
      </c>
      <c r="K821" t="inlineStr">
        <is>
          <t>Fernández Vélez Alfredo Enrique (TEI)</t>
        </is>
      </c>
      <c r="L821" t="inlineStr">
        <is>
          <t>ÉNFASIS 8°-2</t>
        </is>
      </c>
      <c r="M821" t="inlineStr">
        <is>
          <t>PAREJA: comparten el énfasis y alternan por semana · Con: Fernández Vélez Alfredo Enrique (TEI)</t>
        </is>
      </c>
      <c r="N821">
        <f>C821&amp;"|"&amp;D821</f>
        <v/>
      </c>
      <c r="O821">
        <f>COUNTIF($N$2:N821,N821)</f>
        <v/>
      </c>
      <c r="P821">
        <f>N821&amp;"|"&amp;O821</f>
        <v/>
      </c>
      <c r="Q821">
        <f>C821&amp;"|"&amp;D821&amp;"|"&amp;A821</f>
        <v/>
      </c>
    </row>
    <row r="822">
      <c r="A822" t="n">
        <v>22</v>
      </c>
      <c r="B822" t="inlineStr">
        <is>
          <t>González Castillo Jólmer Jimy</t>
        </is>
      </c>
      <c r="C822" t="inlineStr">
        <is>
          <t>JUEVES</t>
        </is>
      </c>
      <c r="D822" t="n">
        <v>8</v>
      </c>
      <c r="E822" t="n">
        <v>4</v>
      </c>
      <c r="F822" t="inlineStr">
        <is>
          <t>ENFASIS</t>
        </is>
      </c>
      <c r="G822" t="inlineStr"/>
      <c r="H822" t="inlineStr">
        <is>
          <t>ERD</t>
        </is>
      </c>
      <c r="I822" t="inlineStr">
        <is>
          <t>CS201</t>
        </is>
      </c>
      <c r="J822" t="inlineStr">
        <is>
          <t>EQUIPO DE 4: cada docente atiende un grupo de estudiantes en su área</t>
        </is>
      </c>
      <c r="K822" t="inlineStr">
        <is>
          <t>Valencia Marínez Saidy Eufemia (ART); Meza Banguera Gladys Alicia (CAS); Lemos Guancha Miriam (CNA)</t>
        </is>
      </c>
      <c r="L822" t="inlineStr">
        <is>
          <t>ÉNFASIS CS 2-1</t>
        </is>
      </c>
      <c r="M822" t="inlineStr">
        <is>
          <t>EQUIPO DE 4: cada docente atiende un grupo de estudiantes en su área · Con: Valencia Marínez Saidy Eufemia (ART); Meza Banguera Gladys Alicia (CAS); Lemos Guancha Miriam (CNA)</t>
        </is>
      </c>
      <c r="N822">
        <f>C822&amp;"|"&amp;D822</f>
        <v/>
      </c>
      <c r="O822">
        <f>COUNTIF($N$2:N822,N822)</f>
        <v/>
      </c>
      <c r="P822">
        <f>N822&amp;"|"&amp;O822</f>
        <v/>
      </c>
      <c r="Q822">
        <f>C822&amp;"|"&amp;D822&amp;"|"&amp;A822</f>
        <v/>
      </c>
    </row>
    <row r="823">
      <c r="A823" t="n">
        <v>25</v>
      </c>
      <c r="B823" t="inlineStr">
        <is>
          <t>Lemos Guancha Miriam</t>
        </is>
      </c>
      <c r="C823" t="inlineStr">
        <is>
          <t>JUEVES</t>
        </is>
      </c>
      <c r="D823" t="n">
        <v>8</v>
      </c>
      <c r="E823" t="n">
        <v>4</v>
      </c>
      <c r="F823" t="inlineStr">
        <is>
          <t>ENFASIS</t>
        </is>
      </c>
      <c r="G823" t="inlineStr"/>
      <c r="H823" t="inlineStr">
        <is>
          <t>CNA</t>
        </is>
      </c>
      <c r="I823" t="inlineStr">
        <is>
          <t>CS201</t>
        </is>
      </c>
      <c r="J823" t="inlineStr">
        <is>
          <t>EQUIPO DE 4: cada docente atiende un grupo de estudiantes en su área</t>
        </is>
      </c>
      <c r="K823" t="inlineStr">
        <is>
          <t>Valencia Marínez Saidy Eufemia (ART); Meza Banguera Gladys Alicia (CAS); González Castillo Jólmer Jimy (ERD)</t>
        </is>
      </c>
      <c r="L823" t="inlineStr">
        <is>
          <t>ÉNFASIS CS 2-1</t>
        </is>
      </c>
      <c r="M823" t="inlineStr">
        <is>
          <t>EQUIPO DE 4: cada docente atiende un grupo de estudiantes en su área · Con: Valencia Marínez Saidy Eufemia (ART); Meza Banguera Gladys Alicia (CAS); González Castillo Jólmer Jimy (ERD)</t>
        </is>
      </c>
      <c r="N823">
        <f>C823&amp;"|"&amp;D823</f>
        <v/>
      </c>
      <c r="O823">
        <f>COUNTIF($N$2:N823,N823)</f>
        <v/>
      </c>
      <c r="P823">
        <f>N823&amp;"|"&amp;O823</f>
        <v/>
      </c>
      <c r="Q823">
        <f>C823&amp;"|"&amp;D823&amp;"|"&amp;A823</f>
        <v/>
      </c>
    </row>
    <row r="824">
      <c r="A824" t="n">
        <v>28</v>
      </c>
      <c r="B824" t="inlineStr">
        <is>
          <t>Meza Banguera Gladys Alicia</t>
        </is>
      </c>
      <c r="C824" t="inlineStr">
        <is>
          <t>JUEVES</t>
        </is>
      </c>
      <c r="D824" t="n">
        <v>8</v>
      </c>
      <c r="E824" t="n">
        <v>4</v>
      </c>
      <c r="F824" t="inlineStr">
        <is>
          <t>ENFASIS</t>
        </is>
      </c>
      <c r="G824" t="inlineStr"/>
      <c r="H824" t="inlineStr">
        <is>
          <t>CAS</t>
        </is>
      </c>
      <c r="I824" t="inlineStr">
        <is>
          <t>CS201</t>
        </is>
      </c>
      <c r="J824" t="inlineStr">
        <is>
          <t>EQUIPO DE 4: cada docente atiende un grupo de estudiantes en su área</t>
        </is>
      </c>
      <c r="K824" t="inlineStr">
        <is>
          <t>Valencia Marínez Saidy Eufemia (ART); González Castillo Jólmer Jimy (ERD); Lemos Guancha Miriam (CNA)</t>
        </is>
      </c>
      <c r="L824" t="inlineStr">
        <is>
          <t>ÉNFASIS CS 2-1</t>
        </is>
      </c>
      <c r="M824" t="inlineStr">
        <is>
          <t>EQUIPO DE 4: cada docente atiende un grupo de estudiantes en su área · Con: Valencia Marínez Saidy Eufemia (ART); González Castillo Jólmer Jimy (ERD); Lemos Guancha Miriam (CNA)</t>
        </is>
      </c>
      <c r="N824">
        <f>C824&amp;"|"&amp;D824</f>
        <v/>
      </c>
      <c r="O824">
        <f>COUNTIF($N$2:N824,N824)</f>
        <v/>
      </c>
      <c r="P824">
        <f>N824&amp;"|"&amp;O824</f>
        <v/>
      </c>
      <c r="Q824">
        <f>C824&amp;"|"&amp;D824&amp;"|"&amp;A824</f>
        <v/>
      </c>
    </row>
    <row r="825">
      <c r="A825" t="n">
        <v>49</v>
      </c>
      <c r="B825" t="inlineStr">
        <is>
          <t>Valencia Marínez Saidy Eufemia</t>
        </is>
      </c>
      <c r="C825" t="inlineStr">
        <is>
          <t>JUEVES</t>
        </is>
      </c>
      <c r="D825" t="n">
        <v>8</v>
      </c>
      <c r="E825" t="n">
        <v>4</v>
      </c>
      <c r="F825" t="inlineStr">
        <is>
          <t>ENFASIS</t>
        </is>
      </c>
      <c r="G825" t="inlineStr"/>
      <c r="H825" t="inlineStr">
        <is>
          <t>ART</t>
        </is>
      </c>
      <c r="I825" t="inlineStr">
        <is>
          <t>CS201</t>
        </is>
      </c>
      <c r="J825" t="inlineStr">
        <is>
          <t>EQUIPO DE 4: cada docente atiende un grupo de estudiantes en su área</t>
        </is>
      </c>
      <c r="K825" t="inlineStr">
        <is>
          <t>Meza Banguera Gladys Alicia (CAS); González Castillo Jólmer Jimy (ERD); Lemos Guancha Miriam (CNA)</t>
        </is>
      </c>
      <c r="L825" t="inlineStr">
        <is>
          <t>ÉNFASIS CS 2-1</t>
        </is>
      </c>
      <c r="M825" t="inlineStr">
        <is>
          <t>EQUIPO DE 4: cada docente atiende un grupo de estudiantes en su área · Con: Meza Banguera Gladys Alicia (CAS); González Castillo Jólmer Jimy (ERD); Lemos Guancha Miriam (CNA)</t>
        </is>
      </c>
      <c r="N825">
        <f>C825&amp;"|"&amp;D825</f>
        <v/>
      </c>
      <c r="O825">
        <f>COUNTIF($N$2:N825,N825)</f>
        <v/>
      </c>
      <c r="P825">
        <f>N825&amp;"|"&amp;O825</f>
        <v/>
      </c>
      <c r="Q825">
        <f>C825&amp;"|"&amp;D825&amp;"|"&amp;A825</f>
        <v/>
      </c>
    </row>
    <row r="826">
      <c r="A826" t="n">
        <v>37</v>
      </c>
      <c r="B826" t="inlineStr">
        <is>
          <t>Prado Quiñones Genís Maribel</t>
        </is>
      </c>
      <c r="C826" t="inlineStr">
        <is>
          <t>VIERNES</t>
        </is>
      </c>
      <c r="D826" t="n">
        <v>1</v>
      </c>
      <c r="E826" t="n">
        <v>1</v>
      </c>
      <c r="F826" t="inlineStr">
        <is>
          <t>CLASE</t>
        </is>
      </c>
      <c r="G826" t="inlineStr">
        <is>
          <t>0601</t>
        </is>
      </c>
      <c r="H826" t="inlineStr">
        <is>
          <t>CNA</t>
        </is>
      </c>
      <c r="I826" t="inlineStr"/>
      <c r="J826" t="inlineStr"/>
      <c r="K826" t="inlineStr"/>
      <c r="L826" t="inlineStr">
        <is>
          <t>6°-1</t>
        </is>
      </c>
      <c r="M826" t="inlineStr"/>
      <c r="N826">
        <f>C826&amp;"|"&amp;D826</f>
        <v/>
      </c>
      <c r="O826">
        <f>COUNTIF($N$2:N826,N826)</f>
        <v/>
      </c>
      <c r="P826">
        <f>N826&amp;"|"&amp;O826</f>
        <v/>
      </c>
      <c r="Q826">
        <f>C826&amp;"|"&amp;D826&amp;"|"&amp;A826</f>
        <v/>
      </c>
    </row>
    <row r="827">
      <c r="A827" t="n">
        <v>42</v>
      </c>
      <c r="B827" t="inlineStr">
        <is>
          <t>Quiñones Cabezas Marcos Vidal</t>
        </is>
      </c>
      <c r="C827" t="inlineStr">
        <is>
          <t>VIERNES</t>
        </is>
      </c>
      <c r="D827" t="n">
        <v>1</v>
      </c>
      <c r="E827" t="n">
        <v>1</v>
      </c>
      <c r="F827" t="inlineStr">
        <is>
          <t>CLASE</t>
        </is>
      </c>
      <c r="G827" t="inlineStr">
        <is>
          <t>0602</t>
        </is>
      </c>
      <c r="H827" t="inlineStr">
        <is>
          <t>MAT</t>
        </is>
      </c>
      <c r="I827" t="inlineStr"/>
      <c r="J827" t="inlineStr"/>
      <c r="K827" t="inlineStr"/>
      <c r="L827" t="inlineStr">
        <is>
          <t>6°-2</t>
        </is>
      </c>
      <c r="M827" t="inlineStr"/>
      <c r="N827">
        <f>C827&amp;"|"&amp;D827</f>
        <v/>
      </c>
      <c r="O827">
        <f>COUNTIF($N$2:N827,N827)</f>
        <v/>
      </c>
      <c r="P827">
        <f>N827&amp;"|"&amp;O827</f>
        <v/>
      </c>
      <c r="Q827">
        <f>C827&amp;"|"&amp;D827&amp;"|"&amp;A827</f>
        <v/>
      </c>
    </row>
    <row r="828">
      <c r="A828" t="n">
        <v>4</v>
      </c>
      <c r="B828" t="inlineStr">
        <is>
          <t>Arizala Castro Roberto Carlos</t>
        </is>
      </c>
      <c r="C828" t="inlineStr">
        <is>
          <t>VIERNES</t>
        </is>
      </c>
      <c r="D828" t="n">
        <v>1</v>
      </c>
      <c r="E828" t="n">
        <v>1</v>
      </c>
      <c r="F828" t="inlineStr">
        <is>
          <t>CLASE</t>
        </is>
      </c>
      <c r="G828" t="inlineStr">
        <is>
          <t>0701</t>
        </is>
      </c>
      <c r="H828" t="inlineStr">
        <is>
          <t>ERD</t>
        </is>
      </c>
      <c r="I828" t="inlineStr"/>
      <c r="J828" t="inlineStr"/>
      <c r="K828" t="inlineStr"/>
      <c r="L828" t="inlineStr">
        <is>
          <t>7°-1</t>
        </is>
      </c>
      <c r="M828" t="inlineStr"/>
      <c r="N828">
        <f>C828&amp;"|"&amp;D828</f>
        <v/>
      </c>
      <c r="O828">
        <f>COUNTIF($N$2:N828,N828)</f>
        <v/>
      </c>
      <c r="P828">
        <f>N828&amp;"|"&amp;O828</f>
        <v/>
      </c>
      <c r="Q828">
        <f>C828&amp;"|"&amp;D828&amp;"|"&amp;A828</f>
        <v/>
      </c>
    </row>
    <row r="829">
      <c r="A829" t="n">
        <v>39</v>
      </c>
      <c r="B829" t="inlineStr">
        <is>
          <t>Puches Ana Milena</t>
        </is>
      </c>
      <c r="C829" t="inlineStr">
        <is>
          <t>VIERNES</t>
        </is>
      </c>
      <c r="D829" t="n">
        <v>1</v>
      </c>
      <c r="E829" t="n">
        <v>1</v>
      </c>
      <c r="F829" t="inlineStr">
        <is>
          <t>CLASE</t>
        </is>
      </c>
      <c r="G829" t="inlineStr">
        <is>
          <t>0702</t>
        </is>
      </c>
      <c r="H829" t="inlineStr">
        <is>
          <t>ART</t>
        </is>
      </c>
      <c r="I829" t="inlineStr"/>
      <c r="J829" t="inlineStr"/>
      <c r="K829" t="inlineStr"/>
      <c r="L829" t="inlineStr">
        <is>
          <t>7°-2</t>
        </is>
      </c>
      <c r="M829" t="inlineStr"/>
      <c r="N829">
        <f>C829&amp;"|"&amp;D829</f>
        <v/>
      </c>
      <c r="O829">
        <f>COUNTIF($N$2:N829,N829)</f>
        <v/>
      </c>
      <c r="P829">
        <f>N829&amp;"|"&amp;O829</f>
        <v/>
      </c>
      <c r="Q829">
        <f>C829&amp;"|"&amp;D829&amp;"|"&amp;A829</f>
        <v/>
      </c>
    </row>
    <row r="830">
      <c r="A830" t="n">
        <v>10</v>
      </c>
      <c r="B830" t="inlineStr">
        <is>
          <t>Castillo Cuero Daira Eneida</t>
        </is>
      </c>
      <c r="C830" t="inlineStr">
        <is>
          <t>VIERNES</t>
        </is>
      </c>
      <c r="D830" t="n">
        <v>1</v>
      </c>
      <c r="E830" t="n">
        <v>1</v>
      </c>
      <c r="F830" t="inlineStr">
        <is>
          <t>CLASE</t>
        </is>
      </c>
      <c r="G830" t="inlineStr">
        <is>
          <t>0703</t>
        </is>
      </c>
      <c r="H830" t="inlineStr">
        <is>
          <t>CAS</t>
        </is>
      </c>
      <c r="I830" t="inlineStr"/>
      <c r="J830" t="inlineStr"/>
      <c r="K830" t="inlineStr"/>
      <c r="L830" t="inlineStr">
        <is>
          <t>7°-3</t>
        </is>
      </c>
      <c r="M830" t="inlineStr"/>
      <c r="N830">
        <f>C830&amp;"|"&amp;D830</f>
        <v/>
      </c>
      <c r="O830">
        <f>COUNTIF($N$2:N830,N830)</f>
        <v/>
      </c>
      <c r="P830">
        <f>N830&amp;"|"&amp;O830</f>
        <v/>
      </c>
      <c r="Q830">
        <f>C830&amp;"|"&amp;D830&amp;"|"&amp;A830</f>
        <v/>
      </c>
    </row>
    <row r="831">
      <c r="A831" t="n">
        <v>34</v>
      </c>
      <c r="B831" t="inlineStr">
        <is>
          <t>Ordóñez Tenorio Jaime Marcial</t>
        </is>
      </c>
      <c r="C831" t="inlineStr">
        <is>
          <t>VIERNES</t>
        </is>
      </c>
      <c r="D831" t="n">
        <v>1</v>
      </c>
      <c r="E831" t="n">
        <v>1</v>
      </c>
      <c r="F831" t="inlineStr">
        <is>
          <t>CLASE</t>
        </is>
      </c>
      <c r="G831" t="inlineStr">
        <is>
          <t>0704</t>
        </is>
      </c>
      <c r="H831" t="inlineStr">
        <is>
          <t>CNA</t>
        </is>
      </c>
      <c r="I831" t="inlineStr"/>
      <c r="J831" t="inlineStr"/>
      <c r="K831" t="inlineStr"/>
      <c r="L831" t="inlineStr">
        <is>
          <t>7°-4</t>
        </is>
      </c>
      <c r="M831" t="inlineStr"/>
      <c r="N831">
        <f>C831&amp;"|"&amp;D831</f>
        <v/>
      </c>
      <c r="O831">
        <f>COUNTIF($N$2:N831,N831)</f>
        <v/>
      </c>
      <c r="P831">
        <f>N831&amp;"|"&amp;O831</f>
        <v/>
      </c>
      <c r="Q831">
        <f>C831&amp;"|"&amp;D831&amp;"|"&amp;A831</f>
        <v/>
      </c>
    </row>
    <row r="832">
      <c r="A832" t="n">
        <v>35</v>
      </c>
      <c r="B832" t="inlineStr">
        <is>
          <t>Ortiz Araujo Adiela Carlota</t>
        </is>
      </c>
      <c r="C832" t="inlineStr">
        <is>
          <t>VIERNES</t>
        </is>
      </c>
      <c r="D832" t="n">
        <v>1</v>
      </c>
      <c r="E832" t="n">
        <v>1</v>
      </c>
      <c r="F832" t="inlineStr">
        <is>
          <t>CLASE</t>
        </is>
      </c>
      <c r="G832" t="inlineStr">
        <is>
          <t>0801</t>
        </is>
      </c>
      <c r="H832" t="inlineStr">
        <is>
          <t>CSI</t>
        </is>
      </c>
      <c r="I832" t="inlineStr"/>
      <c r="J832" t="inlineStr">
        <is>
          <t>Sociales / Inglés (alternan cada semana)</t>
        </is>
      </c>
      <c r="K832" t="inlineStr"/>
      <c r="L832" t="inlineStr">
        <is>
          <t>8°-1</t>
        </is>
      </c>
      <c r="M832" t="inlineStr">
        <is>
          <t>Sociales / Inglés (alternan cada semana)</t>
        </is>
      </c>
      <c r="N832">
        <f>C832&amp;"|"&amp;D832</f>
        <v/>
      </c>
      <c r="O832">
        <f>COUNTIF($N$2:N832,N832)</f>
        <v/>
      </c>
      <c r="P832">
        <f>N832&amp;"|"&amp;O832</f>
        <v/>
      </c>
      <c r="Q832">
        <f>C832&amp;"|"&amp;D832&amp;"|"&amp;A832</f>
        <v/>
      </c>
    </row>
    <row r="833">
      <c r="A833" t="n">
        <v>19</v>
      </c>
      <c r="B833" t="inlineStr">
        <is>
          <t>Fernández Vélez Alfredo Enrique</t>
        </is>
      </c>
      <c r="C833" t="inlineStr">
        <is>
          <t>VIERNES</t>
        </is>
      </c>
      <c r="D833" t="n">
        <v>1</v>
      </c>
      <c r="E833" t="n">
        <v>1</v>
      </c>
      <c r="F833" t="inlineStr">
        <is>
          <t>CLASE</t>
        </is>
      </c>
      <c r="G833" t="inlineStr">
        <is>
          <t>0802</t>
        </is>
      </c>
      <c r="H833" t="inlineStr">
        <is>
          <t>TEI</t>
        </is>
      </c>
      <c r="I833" t="inlineStr"/>
      <c r="J833" t="inlineStr"/>
      <c r="K833" t="inlineStr"/>
      <c r="L833" t="inlineStr">
        <is>
          <t>8°-2</t>
        </is>
      </c>
      <c r="M833" t="inlineStr"/>
      <c r="N833">
        <f>C833&amp;"|"&amp;D833</f>
        <v/>
      </c>
      <c r="O833">
        <f>COUNTIF($N$2:N833,N833)</f>
        <v/>
      </c>
      <c r="P833">
        <f>N833&amp;"|"&amp;O833</f>
        <v/>
      </c>
      <c r="Q833">
        <f>C833&amp;"|"&amp;D833&amp;"|"&amp;A833</f>
        <v/>
      </c>
    </row>
    <row r="834">
      <c r="A834" t="n">
        <v>29</v>
      </c>
      <c r="B834" t="inlineStr">
        <is>
          <t>Mindineros Satizábal John Jáver</t>
        </is>
      </c>
      <c r="C834" t="inlineStr">
        <is>
          <t>VIERNES</t>
        </is>
      </c>
      <c r="D834" t="n">
        <v>1</v>
      </c>
      <c r="E834" t="n">
        <v>1</v>
      </c>
      <c r="F834" t="inlineStr">
        <is>
          <t>CLASE</t>
        </is>
      </c>
      <c r="G834" t="inlineStr">
        <is>
          <t>0901</t>
        </is>
      </c>
      <c r="H834" t="inlineStr">
        <is>
          <t>TEI</t>
        </is>
      </c>
      <c r="I834" t="inlineStr"/>
      <c r="J834" t="inlineStr"/>
      <c r="K834" t="inlineStr"/>
      <c r="L834" t="inlineStr">
        <is>
          <t>9°-1</t>
        </is>
      </c>
      <c r="M834" t="inlineStr"/>
      <c r="N834">
        <f>C834&amp;"|"&amp;D834</f>
        <v/>
      </c>
      <c r="O834">
        <f>COUNTIF($N$2:N834,N834)</f>
        <v/>
      </c>
      <c r="P834">
        <f>N834&amp;"|"&amp;O834</f>
        <v/>
      </c>
      <c r="Q834">
        <f>C834&amp;"|"&amp;D834&amp;"|"&amp;A834</f>
        <v/>
      </c>
    </row>
    <row r="835">
      <c r="A835" t="n">
        <v>18</v>
      </c>
      <c r="B835" t="inlineStr">
        <is>
          <t>Estacio Estupiñán Rosario</t>
        </is>
      </c>
      <c r="C835" t="inlineStr">
        <is>
          <t>VIERNES</t>
        </is>
      </c>
      <c r="D835" t="n">
        <v>1</v>
      </c>
      <c r="E835" t="n">
        <v>1</v>
      </c>
      <c r="F835" t="inlineStr">
        <is>
          <t>CLASE</t>
        </is>
      </c>
      <c r="G835" t="inlineStr">
        <is>
          <t>0902</t>
        </is>
      </c>
      <c r="H835" t="inlineStr">
        <is>
          <t>ETR</t>
        </is>
      </c>
      <c r="I835" t="inlineStr"/>
      <c r="J835" t="inlineStr">
        <is>
          <t>Ética / Religión (alternan cada semana)</t>
        </is>
      </c>
      <c r="K835" t="inlineStr"/>
      <c r="L835" t="inlineStr">
        <is>
          <t>9°-2</t>
        </is>
      </c>
      <c r="M835" t="inlineStr">
        <is>
          <t>Ética / Religión (alternan cada semana)</t>
        </is>
      </c>
      <c r="N835">
        <f>C835&amp;"|"&amp;D835</f>
        <v/>
      </c>
      <c r="O835">
        <f>COUNTIF($N$2:N835,N835)</f>
        <v/>
      </c>
      <c r="P835">
        <f>N835&amp;"|"&amp;O835</f>
        <v/>
      </c>
      <c r="Q835">
        <f>C835&amp;"|"&amp;D835&amp;"|"&amp;A835</f>
        <v/>
      </c>
    </row>
    <row r="836">
      <c r="A836" t="n">
        <v>6</v>
      </c>
      <c r="B836" t="inlineStr">
        <is>
          <t>Betancourth Ocampo Yohana Patricia</t>
        </is>
      </c>
      <c r="C836" t="inlineStr">
        <is>
          <t>VIERNES</t>
        </is>
      </c>
      <c r="D836" t="n">
        <v>1</v>
      </c>
      <c r="E836" t="n">
        <v>1</v>
      </c>
      <c r="F836" t="inlineStr">
        <is>
          <t>CLASE</t>
        </is>
      </c>
      <c r="G836" t="inlineStr">
        <is>
          <t>1001</t>
        </is>
      </c>
      <c r="H836" t="inlineStr">
        <is>
          <t>CSI</t>
        </is>
      </c>
      <c r="I836" t="inlineStr"/>
      <c r="J836" t="inlineStr">
        <is>
          <t>Sociales / Inglés (alternan cada semana)</t>
        </is>
      </c>
      <c r="K836" t="inlineStr"/>
      <c r="L836" t="inlineStr">
        <is>
          <t>10°-1</t>
        </is>
      </c>
      <c r="M836" t="inlineStr">
        <is>
          <t>Sociales / Inglés (alternan cada semana)</t>
        </is>
      </c>
      <c r="N836">
        <f>C836&amp;"|"&amp;D836</f>
        <v/>
      </c>
      <c r="O836">
        <f>COUNTIF($N$2:N836,N836)</f>
        <v/>
      </c>
      <c r="P836">
        <f>N836&amp;"|"&amp;O836</f>
        <v/>
      </c>
      <c r="Q836">
        <f>C836&amp;"|"&amp;D836&amp;"|"&amp;A836</f>
        <v/>
      </c>
    </row>
    <row r="837">
      <c r="A837" t="n">
        <v>3</v>
      </c>
      <c r="B837" t="inlineStr">
        <is>
          <t>Arboleda Ortiz Luz América</t>
        </is>
      </c>
      <c r="C837" t="inlineStr">
        <is>
          <t>VIERNES</t>
        </is>
      </c>
      <c r="D837" t="n">
        <v>1</v>
      </c>
      <c r="E837" t="n">
        <v>1</v>
      </c>
      <c r="F837" t="inlineStr">
        <is>
          <t>CLASE</t>
        </is>
      </c>
      <c r="G837" t="inlineStr">
        <is>
          <t>1002</t>
        </is>
      </c>
      <c r="H837" t="inlineStr">
        <is>
          <t>ART</t>
        </is>
      </c>
      <c r="I837" t="inlineStr"/>
      <c r="J837" t="inlineStr"/>
      <c r="K837" t="inlineStr"/>
      <c r="L837" t="inlineStr">
        <is>
          <t>10°-2</t>
        </is>
      </c>
      <c r="M837" t="inlineStr"/>
      <c r="N837">
        <f>C837&amp;"|"&amp;D837</f>
        <v/>
      </c>
      <c r="O837">
        <f>COUNTIF($N$2:N837,N837)</f>
        <v/>
      </c>
      <c r="P837">
        <f>N837&amp;"|"&amp;O837</f>
        <v/>
      </c>
      <c r="Q837">
        <f>C837&amp;"|"&amp;D837&amp;"|"&amp;A837</f>
        <v/>
      </c>
    </row>
    <row r="838">
      <c r="A838" t="n">
        <v>43</v>
      </c>
      <c r="B838" t="inlineStr">
        <is>
          <t>Ramírez Guerra Jimmy Eduardo</t>
        </is>
      </c>
      <c r="C838" t="inlineStr">
        <is>
          <t>VIERNES</t>
        </is>
      </c>
      <c r="D838" t="n">
        <v>1</v>
      </c>
      <c r="E838" t="n">
        <v>1</v>
      </c>
      <c r="F838" t="inlineStr">
        <is>
          <t>CLASE</t>
        </is>
      </c>
      <c r="G838" t="inlineStr">
        <is>
          <t>1101</t>
        </is>
      </c>
      <c r="H838" t="inlineStr">
        <is>
          <t>ERD</t>
        </is>
      </c>
      <c r="I838" t="inlineStr"/>
      <c r="J838" t="inlineStr"/>
      <c r="K838" t="inlineStr"/>
      <c r="L838" t="inlineStr">
        <is>
          <t>11°-1</t>
        </is>
      </c>
      <c r="M838" t="inlineStr"/>
      <c r="N838">
        <f>C838&amp;"|"&amp;D838</f>
        <v/>
      </c>
      <c r="O838">
        <f>COUNTIF($N$2:N838,N838)</f>
        <v/>
      </c>
      <c r="P838">
        <f>N838&amp;"|"&amp;O838</f>
        <v/>
      </c>
      <c r="Q838">
        <f>C838&amp;"|"&amp;D838&amp;"|"&amp;A838</f>
        <v/>
      </c>
    </row>
    <row r="839">
      <c r="A839" t="n">
        <v>15</v>
      </c>
      <c r="B839" t="inlineStr">
        <is>
          <t>Cuero Bamba Berte Levi</t>
        </is>
      </c>
      <c r="C839" t="inlineStr">
        <is>
          <t>VIERNES</t>
        </is>
      </c>
      <c r="D839" t="n">
        <v>1</v>
      </c>
      <c r="E839" t="n">
        <v>1</v>
      </c>
      <c r="F839" t="inlineStr">
        <is>
          <t>CLASE</t>
        </is>
      </c>
      <c r="G839" t="inlineStr">
        <is>
          <t>CS202</t>
        </is>
      </c>
      <c r="H839" t="inlineStr">
        <is>
          <t>ERD</t>
        </is>
      </c>
      <c r="I839" t="inlineStr"/>
      <c r="J839" t="inlineStr"/>
      <c r="K839" t="inlineStr"/>
      <c r="L839" t="inlineStr">
        <is>
          <t>CS 2-2</t>
        </is>
      </c>
      <c r="M839" t="inlineStr"/>
      <c r="N839">
        <f>C839&amp;"|"&amp;D839</f>
        <v/>
      </c>
      <c r="O839">
        <f>COUNTIF($N$2:N839,N839)</f>
        <v/>
      </c>
      <c r="P839">
        <f>N839&amp;"|"&amp;O839</f>
        <v/>
      </c>
      <c r="Q839">
        <f>C839&amp;"|"&amp;D839&amp;"|"&amp;A839</f>
        <v/>
      </c>
    </row>
    <row r="840">
      <c r="A840" t="n">
        <v>2</v>
      </c>
      <c r="B840" t="inlineStr">
        <is>
          <t>Angulo Lucero Andrés Mauricio</t>
        </is>
      </c>
      <c r="C840" t="inlineStr">
        <is>
          <t>VIERNES</t>
        </is>
      </c>
      <c r="D840" t="n">
        <v>1</v>
      </c>
      <c r="E840" t="n">
        <v>1</v>
      </c>
      <c r="F840" t="inlineStr">
        <is>
          <t>ENFASIS</t>
        </is>
      </c>
      <c r="G840" t="inlineStr"/>
      <c r="H840" t="inlineStr">
        <is>
          <t>TEI</t>
        </is>
      </c>
      <c r="I840" t="inlineStr">
        <is>
          <t>1102</t>
        </is>
      </c>
      <c r="J840" t="inlineStr">
        <is>
          <t>EQUIPO DE 4: cada docente atiende un grupo de estudiantes en su área</t>
        </is>
      </c>
      <c r="K840" t="inlineStr">
        <is>
          <t>Pulgarín Ortiz César Marino (CSI); Montaño Arizala Leidis Claudina (ETR); Villota Rubio Janeth del Carmen (MAT)</t>
        </is>
      </c>
      <c r="L840" t="inlineStr">
        <is>
          <t>ÉNFASIS 11°-2</t>
        </is>
      </c>
      <c r="M840" t="inlineStr">
        <is>
          <t>EQUIPO DE 4: cada docente atiende un grupo de estudiantes en su área · Con: Pulgarín Ortiz César Marino (CSI); Montaño Arizala Leidis Claudina (ETR); Villota Rubio Janeth del Carmen (MAT)</t>
        </is>
      </c>
      <c r="N840">
        <f>C840&amp;"|"&amp;D840</f>
        <v/>
      </c>
      <c r="O840">
        <f>COUNTIF($N$2:N840,N840)</f>
        <v/>
      </c>
      <c r="P840">
        <f>N840&amp;"|"&amp;O840</f>
        <v/>
      </c>
      <c r="Q840">
        <f>C840&amp;"|"&amp;D840&amp;"|"&amp;A840</f>
        <v/>
      </c>
    </row>
    <row r="841">
      <c r="A841" t="n">
        <v>31</v>
      </c>
      <c r="B841" t="inlineStr">
        <is>
          <t>Montaño Arizala Leidis Claudina</t>
        </is>
      </c>
      <c r="C841" t="inlineStr">
        <is>
          <t>VIERNES</t>
        </is>
      </c>
      <c r="D841" t="n">
        <v>1</v>
      </c>
      <c r="E841" t="n">
        <v>1</v>
      </c>
      <c r="F841" t="inlineStr">
        <is>
          <t>ENFASIS</t>
        </is>
      </c>
      <c r="G841" t="inlineStr"/>
      <c r="H841" t="inlineStr">
        <is>
          <t>ETR</t>
        </is>
      </c>
      <c r="I841" t="inlineStr">
        <is>
          <t>1102</t>
        </is>
      </c>
      <c r="J841" t="inlineStr">
        <is>
          <t>EQUIPO DE 4: cada docente atiende un grupo de estudiantes en su área</t>
        </is>
      </c>
      <c r="K841" t="inlineStr">
        <is>
          <t>Pulgarín Ortiz César Marino (CSI); Villota Rubio Janeth del Carmen (MAT); Angulo Lucero Andrés Mauricio (TEI)</t>
        </is>
      </c>
      <c r="L841" t="inlineStr">
        <is>
          <t>ÉNFASIS 11°-2</t>
        </is>
      </c>
      <c r="M841" t="inlineStr">
        <is>
          <t>EQUIPO DE 4: cada docente atiende un grupo de estudiantes en su área · Con: Pulgarín Ortiz César Marino (CSI); Villota Rubio Janeth del Carmen (MAT); Angulo Lucero Andrés Mauricio (TEI)</t>
        </is>
      </c>
      <c r="N841">
        <f>C841&amp;"|"&amp;D841</f>
        <v/>
      </c>
      <c r="O841">
        <f>COUNTIF($N$2:N841,N841)</f>
        <v/>
      </c>
      <c r="P841">
        <f>N841&amp;"|"&amp;O841</f>
        <v/>
      </c>
      <c r="Q841">
        <f>C841&amp;"|"&amp;D841&amp;"|"&amp;A841</f>
        <v/>
      </c>
    </row>
    <row r="842">
      <c r="A842" t="n">
        <v>40</v>
      </c>
      <c r="B842" t="inlineStr">
        <is>
          <t>Pulgarín Ortiz César Marino</t>
        </is>
      </c>
      <c r="C842" t="inlineStr">
        <is>
          <t>VIERNES</t>
        </is>
      </c>
      <c r="D842" t="n">
        <v>1</v>
      </c>
      <c r="E842" t="n">
        <v>1</v>
      </c>
      <c r="F842" t="inlineStr">
        <is>
          <t>ENFASIS</t>
        </is>
      </c>
      <c r="G842" t="inlineStr"/>
      <c r="H842" t="inlineStr">
        <is>
          <t>CSI</t>
        </is>
      </c>
      <c r="I842" t="inlineStr">
        <is>
          <t>1102</t>
        </is>
      </c>
      <c r="J842" t="inlineStr">
        <is>
          <t>EQUIPO DE 4: cada docente atiende un grupo de estudiantes en su área</t>
        </is>
      </c>
      <c r="K842" t="inlineStr">
        <is>
          <t>Montaño Arizala Leidis Claudina (ETR); Villota Rubio Janeth del Carmen (MAT); Angulo Lucero Andrés Mauricio (TEI)</t>
        </is>
      </c>
      <c r="L842" t="inlineStr">
        <is>
          <t>ÉNFASIS 11°-2</t>
        </is>
      </c>
      <c r="M842" t="inlineStr">
        <is>
          <t>EQUIPO DE 4: cada docente atiende un grupo de estudiantes en su área · Con: Montaño Arizala Leidis Claudina (ETR); Villota Rubio Janeth del Carmen (MAT); Angulo Lucero Andrés Mauricio (TEI)</t>
        </is>
      </c>
      <c r="N842">
        <f>C842&amp;"|"&amp;D842</f>
        <v/>
      </c>
      <c r="O842">
        <f>COUNTIF($N$2:N842,N842)</f>
        <v/>
      </c>
      <c r="P842">
        <f>N842&amp;"|"&amp;O842</f>
        <v/>
      </c>
      <c r="Q842">
        <f>C842&amp;"|"&amp;D842&amp;"|"&amp;A842</f>
        <v/>
      </c>
    </row>
    <row r="843">
      <c r="A843" t="n">
        <v>54</v>
      </c>
      <c r="B843" t="inlineStr">
        <is>
          <t>Villota Rubio Janeth del Carmen</t>
        </is>
      </c>
      <c r="C843" t="inlineStr">
        <is>
          <t>VIERNES</t>
        </is>
      </c>
      <c r="D843" t="n">
        <v>1</v>
      </c>
      <c r="E843" t="n">
        <v>1</v>
      </c>
      <c r="F843" t="inlineStr">
        <is>
          <t>ENFASIS</t>
        </is>
      </c>
      <c r="G843" t="inlineStr"/>
      <c r="H843" t="inlineStr">
        <is>
          <t>MAT</t>
        </is>
      </c>
      <c r="I843" t="inlineStr">
        <is>
          <t>1102</t>
        </is>
      </c>
      <c r="J843" t="inlineStr">
        <is>
          <t>EQUIPO DE 4: cada docente atiende un grupo de estudiantes en su área</t>
        </is>
      </c>
      <c r="K843" t="inlineStr">
        <is>
          <t>Pulgarín Ortiz César Marino (CSI); Montaño Arizala Leidis Claudina (ETR); Angulo Lucero Andrés Mauricio (TEI)</t>
        </is>
      </c>
      <c r="L843" t="inlineStr">
        <is>
          <t>ÉNFASIS 11°-2</t>
        </is>
      </c>
      <c r="M843" t="inlineStr">
        <is>
          <t>EQUIPO DE 4: cada docente atiende un grupo de estudiantes en su área · Con: Pulgarín Ortiz César Marino (CSI); Montaño Arizala Leidis Claudina (ETR); Angulo Lucero Andrés Mauricio (TEI)</t>
        </is>
      </c>
      <c r="N843">
        <f>C843&amp;"|"&amp;D843</f>
        <v/>
      </c>
      <c r="O843">
        <f>COUNTIF($N$2:N843,N843)</f>
        <v/>
      </c>
      <c r="P843">
        <f>N843&amp;"|"&amp;O843</f>
        <v/>
      </c>
      <c r="Q843">
        <f>C843&amp;"|"&amp;D843&amp;"|"&amp;A843</f>
        <v/>
      </c>
    </row>
    <row r="844">
      <c r="A844" t="n">
        <v>20</v>
      </c>
      <c r="B844" t="inlineStr">
        <is>
          <t>García Gobea Saydi Magali</t>
        </is>
      </c>
      <c r="C844" t="inlineStr">
        <is>
          <t>VIERNES</t>
        </is>
      </c>
      <c r="D844" t="n">
        <v>1</v>
      </c>
      <c r="E844" t="n">
        <v>1</v>
      </c>
      <c r="F844" t="inlineStr">
        <is>
          <t>ENFASIS</t>
        </is>
      </c>
      <c r="G844" t="inlineStr"/>
      <c r="H844" t="inlineStr">
        <is>
          <t>CSI</t>
        </is>
      </c>
      <c r="I844" t="inlineStr">
        <is>
          <t>CS101</t>
        </is>
      </c>
      <c r="J844" t="inlineStr">
        <is>
          <t>PAREJA: comparten el énfasis y alternan por semana</t>
        </is>
      </c>
      <c r="K844" t="inlineStr">
        <is>
          <t>Lozano Torres Amanda Inés (ETR)</t>
        </is>
      </c>
      <c r="L844" t="inlineStr">
        <is>
          <t>ÉNFASIS CS 1-1</t>
        </is>
      </c>
      <c r="M844" t="inlineStr">
        <is>
          <t>PAREJA: comparten el énfasis y alternan por semana · Con: Lozano Torres Amanda Inés (ETR)</t>
        </is>
      </c>
      <c r="N844">
        <f>C844&amp;"|"&amp;D844</f>
        <v/>
      </c>
      <c r="O844">
        <f>COUNTIF($N$2:N844,N844)</f>
        <v/>
      </c>
      <c r="P844">
        <f>N844&amp;"|"&amp;O844</f>
        <v/>
      </c>
      <c r="Q844">
        <f>C844&amp;"|"&amp;D844&amp;"|"&amp;A844</f>
        <v/>
      </c>
    </row>
    <row r="845">
      <c r="A845" t="n">
        <v>26</v>
      </c>
      <c r="B845" t="inlineStr">
        <is>
          <t>Lozano Torres Amanda Inés</t>
        </is>
      </c>
      <c r="C845" t="inlineStr">
        <is>
          <t>VIERNES</t>
        </is>
      </c>
      <c r="D845" t="n">
        <v>1</v>
      </c>
      <c r="E845" t="n">
        <v>1</v>
      </c>
      <c r="F845" t="inlineStr">
        <is>
          <t>ENFASIS</t>
        </is>
      </c>
      <c r="G845" t="inlineStr"/>
      <c r="H845" t="inlineStr">
        <is>
          <t>ETR</t>
        </is>
      </c>
      <c r="I845" t="inlineStr">
        <is>
          <t>CS101</t>
        </is>
      </c>
      <c r="J845" t="inlineStr">
        <is>
          <t>PAREJA: comparten el énfasis y alternan por semana</t>
        </is>
      </c>
      <c r="K845" t="inlineStr">
        <is>
          <t>García Gobea Saydi Magali (CSI)</t>
        </is>
      </c>
      <c r="L845" t="inlineStr">
        <is>
          <t>ÉNFASIS CS 1-1</t>
        </is>
      </c>
      <c r="M845" t="inlineStr">
        <is>
          <t>PAREJA: comparten el énfasis y alternan por semana · Con: García Gobea Saydi Magali (CSI)</t>
        </is>
      </c>
      <c r="N845">
        <f>C845&amp;"|"&amp;D845</f>
        <v/>
      </c>
      <c r="O845">
        <f>COUNTIF($N$2:N845,N845)</f>
        <v/>
      </c>
      <c r="P845">
        <f>N845&amp;"|"&amp;O845</f>
        <v/>
      </c>
      <c r="Q845">
        <f>C845&amp;"|"&amp;D845&amp;"|"&amp;A845</f>
        <v/>
      </c>
    </row>
    <row r="846">
      <c r="A846" t="n">
        <v>1</v>
      </c>
      <c r="B846" t="inlineStr">
        <is>
          <t>Aguirre Riascos Jorge Andrés</t>
        </is>
      </c>
      <c r="C846" t="inlineStr">
        <is>
          <t>VIERNES</t>
        </is>
      </c>
      <c r="D846" t="n">
        <v>1</v>
      </c>
      <c r="E846" t="n">
        <v>1</v>
      </c>
      <c r="F846" t="inlineStr">
        <is>
          <t>ENFASIS</t>
        </is>
      </c>
      <c r="G846" t="inlineStr"/>
      <c r="H846" t="inlineStr">
        <is>
          <t>TEI</t>
        </is>
      </c>
      <c r="I846" t="inlineStr">
        <is>
          <t>CS102</t>
        </is>
      </c>
      <c r="J846" t="inlineStr">
        <is>
          <t>PAREJA: comparten el énfasis y alternan por semana</t>
        </is>
      </c>
      <c r="K846" t="inlineStr">
        <is>
          <t>Vásquez Valencia Segundo Leoncio (MAT)</t>
        </is>
      </c>
      <c r="L846" t="inlineStr">
        <is>
          <t>ÉNFASIS CS 1-2</t>
        </is>
      </c>
      <c r="M846" t="inlineStr">
        <is>
          <t>PAREJA: comparten el énfasis y alternan por semana · Con: Vásquez Valencia Segundo Leoncio (MAT)</t>
        </is>
      </c>
      <c r="N846">
        <f>C846&amp;"|"&amp;D846</f>
        <v/>
      </c>
      <c r="O846">
        <f>COUNTIF($N$2:N846,N846)</f>
        <v/>
      </c>
      <c r="P846">
        <f>N846&amp;"|"&amp;O846</f>
        <v/>
      </c>
      <c r="Q846">
        <f>C846&amp;"|"&amp;D846&amp;"|"&amp;A846</f>
        <v/>
      </c>
    </row>
    <row r="847">
      <c r="A847" t="n">
        <v>52</v>
      </c>
      <c r="B847" t="inlineStr">
        <is>
          <t>Vásquez Valencia Segundo Leoncio</t>
        </is>
      </c>
      <c r="C847" t="inlineStr">
        <is>
          <t>VIERNES</t>
        </is>
      </c>
      <c r="D847" t="n">
        <v>1</v>
      </c>
      <c r="E847" t="n">
        <v>1</v>
      </c>
      <c r="F847" t="inlineStr">
        <is>
          <t>ENFASIS</t>
        </is>
      </c>
      <c r="G847" t="inlineStr"/>
      <c r="H847" t="inlineStr">
        <is>
          <t>MAT</t>
        </is>
      </c>
      <c r="I847" t="inlineStr">
        <is>
          <t>CS102</t>
        </is>
      </c>
      <c r="J847" t="inlineStr">
        <is>
          <t>PAREJA: comparten el énfasis y alternan por semana</t>
        </is>
      </c>
      <c r="K847" t="inlineStr">
        <is>
          <t>Aguirre Riascos Jorge Andrés (TEI)</t>
        </is>
      </c>
      <c r="L847" t="inlineStr">
        <is>
          <t>ÉNFASIS CS 1-2</t>
        </is>
      </c>
      <c r="M847" t="inlineStr">
        <is>
          <t>PAREJA: comparten el énfasis y alternan por semana · Con: Aguirre Riascos Jorge Andrés (TEI)</t>
        </is>
      </c>
      <c r="N847">
        <f>C847&amp;"|"&amp;D847</f>
        <v/>
      </c>
      <c r="O847">
        <f>COUNTIF($N$2:N847,N847)</f>
        <v/>
      </c>
      <c r="P847">
        <f>N847&amp;"|"&amp;O847</f>
        <v/>
      </c>
      <c r="Q847">
        <f>C847&amp;"|"&amp;D847&amp;"|"&amp;A847</f>
        <v/>
      </c>
    </row>
    <row r="848">
      <c r="A848" t="n">
        <v>22</v>
      </c>
      <c r="B848" t="inlineStr">
        <is>
          <t>González Castillo Jólmer Jimy</t>
        </is>
      </c>
      <c r="C848" t="inlineStr">
        <is>
          <t>VIERNES</t>
        </is>
      </c>
      <c r="D848" t="n">
        <v>1</v>
      </c>
      <c r="E848" t="n">
        <v>1</v>
      </c>
      <c r="F848" t="inlineStr">
        <is>
          <t>ENFASIS</t>
        </is>
      </c>
      <c r="G848" t="inlineStr"/>
      <c r="H848" t="inlineStr">
        <is>
          <t>ERD</t>
        </is>
      </c>
      <c r="I848" t="inlineStr">
        <is>
          <t>CS201</t>
        </is>
      </c>
      <c r="J848" t="inlineStr">
        <is>
          <t>EQUIPO DE 4: cada docente atiende un grupo de estudiantes en su área</t>
        </is>
      </c>
      <c r="K848" t="inlineStr">
        <is>
          <t>Valencia Marínez Saidy Eufemia (ART); Meza Banguera Gladys Alicia (CAS); Lemos Guancha Miriam (CNA)</t>
        </is>
      </c>
      <c r="L848" t="inlineStr">
        <is>
          <t>ÉNFASIS CS 2-1</t>
        </is>
      </c>
      <c r="M848" t="inlineStr">
        <is>
          <t>EQUIPO DE 4: cada docente atiende un grupo de estudiantes en su área · Con: Valencia Marínez Saidy Eufemia (ART); Meza Banguera Gladys Alicia (CAS); Lemos Guancha Miriam (CNA)</t>
        </is>
      </c>
      <c r="N848">
        <f>C848&amp;"|"&amp;D848</f>
        <v/>
      </c>
      <c r="O848">
        <f>COUNTIF($N$2:N848,N848)</f>
        <v/>
      </c>
      <c r="P848">
        <f>N848&amp;"|"&amp;O848</f>
        <v/>
      </c>
      <c r="Q848">
        <f>C848&amp;"|"&amp;D848&amp;"|"&amp;A848</f>
        <v/>
      </c>
    </row>
    <row r="849">
      <c r="A849" t="n">
        <v>25</v>
      </c>
      <c r="B849" t="inlineStr">
        <is>
          <t>Lemos Guancha Miriam</t>
        </is>
      </c>
      <c r="C849" t="inlineStr">
        <is>
          <t>VIERNES</t>
        </is>
      </c>
      <c r="D849" t="n">
        <v>1</v>
      </c>
      <c r="E849" t="n">
        <v>1</v>
      </c>
      <c r="F849" t="inlineStr">
        <is>
          <t>ENFASIS</t>
        </is>
      </c>
      <c r="G849" t="inlineStr"/>
      <c r="H849" t="inlineStr">
        <is>
          <t>CNA</t>
        </is>
      </c>
      <c r="I849" t="inlineStr">
        <is>
          <t>CS201</t>
        </is>
      </c>
      <c r="J849" t="inlineStr">
        <is>
          <t>EQUIPO DE 4: cada docente atiende un grupo de estudiantes en su área</t>
        </is>
      </c>
      <c r="K849" t="inlineStr">
        <is>
          <t>Valencia Marínez Saidy Eufemia (ART); Meza Banguera Gladys Alicia (CAS); González Castillo Jólmer Jimy (ERD)</t>
        </is>
      </c>
      <c r="L849" t="inlineStr">
        <is>
          <t>ÉNFASIS CS 2-1</t>
        </is>
      </c>
      <c r="M849" t="inlineStr">
        <is>
          <t>EQUIPO DE 4: cada docente atiende un grupo de estudiantes en su área · Con: Valencia Marínez Saidy Eufemia (ART); Meza Banguera Gladys Alicia (CAS); González Castillo Jólmer Jimy (ERD)</t>
        </is>
      </c>
      <c r="N849">
        <f>C849&amp;"|"&amp;D849</f>
        <v/>
      </c>
      <c r="O849">
        <f>COUNTIF($N$2:N849,N849)</f>
        <v/>
      </c>
      <c r="P849">
        <f>N849&amp;"|"&amp;O849</f>
        <v/>
      </c>
      <c r="Q849">
        <f>C849&amp;"|"&amp;D849&amp;"|"&amp;A849</f>
        <v/>
      </c>
    </row>
    <row r="850">
      <c r="A850" t="n">
        <v>28</v>
      </c>
      <c r="B850" t="inlineStr">
        <is>
          <t>Meza Banguera Gladys Alicia</t>
        </is>
      </c>
      <c r="C850" t="inlineStr">
        <is>
          <t>VIERNES</t>
        </is>
      </c>
      <c r="D850" t="n">
        <v>1</v>
      </c>
      <c r="E850" t="n">
        <v>1</v>
      </c>
      <c r="F850" t="inlineStr">
        <is>
          <t>ENFASIS</t>
        </is>
      </c>
      <c r="G850" t="inlineStr"/>
      <c r="H850" t="inlineStr">
        <is>
          <t>CAS</t>
        </is>
      </c>
      <c r="I850" t="inlineStr">
        <is>
          <t>CS201</t>
        </is>
      </c>
      <c r="J850" t="inlineStr">
        <is>
          <t>EQUIPO DE 4: cada docente atiende un grupo de estudiantes en su área</t>
        </is>
      </c>
      <c r="K850" t="inlineStr">
        <is>
          <t>Valencia Marínez Saidy Eufemia (ART); González Castillo Jólmer Jimy (ERD); Lemos Guancha Miriam (CNA)</t>
        </is>
      </c>
      <c r="L850" t="inlineStr">
        <is>
          <t>ÉNFASIS CS 2-1</t>
        </is>
      </c>
      <c r="M850" t="inlineStr">
        <is>
          <t>EQUIPO DE 4: cada docente atiende un grupo de estudiantes en su área · Con: Valencia Marínez Saidy Eufemia (ART); González Castillo Jólmer Jimy (ERD); Lemos Guancha Miriam (CNA)</t>
        </is>
      </c>
      <c r="N850">
        <f>C850&amp;"|"&amp;D850</f>
        <v/>
      </c>
      <c r="O850">
        <f>COUNTIF($N$2:N850,N850)</f>
        <v/>
      </c>
      <c r="P850">
        <f>N850&amp;"|"&amp;O850</f>
        <v/>
      </c>
      <c r="Q850">
        <f>C850&amp;"|"&amp;D850&amp;"|"&amp;A850</f>
        <v/>
      </c>
    </row>
    <row r="851">
      <c r="A851" t="n">
        <v>49</v>
      </c>
      <c r="B851" t="inlineStr">
        <is>
          <t>Valencia Marínez Saidy Eufemia</t>
        </is>
      </c>
      <c r="C851" t="inlineStr">
        <is>
          <t>VIERNES</t>
        </is>
      </c>
      <c r="D851" t="n">
        <v>1</v>
      </c>
      <c r="E851" t="n">
        <v>1</v>
      </c>
      <c r="F851" t="inlineStr">
        <is>
          <t>ENFASIS</t>
        </is>
      </c>
      <c r="G851" t="inlineStr"/>
      <c r="H851" t="inlineStr">
        <is>
          <t>ART</t>
        </is>
      </c>
      <c r="I851" t="inlineStr">
        <is>
          <t>CS201</t>
        </is>
      </c>
      <c r="J851" t="inlineStr">
        <is>
          <t>EQUIPO DE 4: cada docente atiende un grupo de estudiantes en su área</t>
        </is>
      </c>
      <c r="K851" t="inlineStr">
        <is>
          <t>Meza Banguera Gladys Alicia (CAS); González Castillo Jólmer Jimy (ERD); Lemos Guancha Miriam (CNA)</t>
        </is>
      </c>
      <c r="L851" t="inlineStr">
        <is>
          <t>ÉNFASIS CS 2-1</t>
        </is>
      </c>
      <c r="M851" t="inlineStr">
        <is>
          <t>EQUIPO DE 4: cada docente atiende un grupo de estudiantes en su área · Con: Meza Banguera Gladys Alicia (CAS); González Castillo Jólmer Jimy (ERD); Lemos Guancha Miriam (CNA)</t>
        </is>
      </c>
      <c r="N851">
        <f>C851&amp;"|"&amp;D851</f>
        <v/>
      </c>
      <c r="O851">
        <f>COUNTIF($N$2:N851,N851)</f>
        <v/>
      </c>
      <c r="P851">
        <f>N851&amp;"|"&amp;O851</f>
        <v/>
      </c>
      <c r="Q851">
        <f>C851&amp;"|"&amp;D851&amp;"|"&amp;A851</f>
        <v/>
      </c>
    </row>
    <row r="852">
      <c r="A852" t="n">
        <v>37</v>
      </c>
      <c r="B852" t="inlineStr">
        <is>
          <t>Prado Quiñones Genís Maribel</t>
        </is>
      </c>
      <c r="C852" t="inlineStr">
        <is>
          <t>VIERNES</t>
        </is>
      </c>
      <c r="D852" t="n">
        <v>2</v>
      </c>
      <c r="E852" t="n">
        <v>1</v>
      </c>
      <c r="F852" t="inlineStr">
        <is>
          <t>CLASE</t>
        </is>
      </c>
      <c r="G852" t="inlineStr">
        <is>
          <t>0601</t>
        </is>
      </c>
      <c r="H852" t="inlineStr">
        <is>
          <t>CNA</t>
        </is>
      </c>
      <c r="I852" t="inlineStr"/>
      <c r="J852" t="inlineStr"/>
      <c r="K852" t="inlineStr"/>
      <c r="L852" t="inlineStr">
        <is>
          <t>6°-1</t>
        </is>
      </c>
      <c r="M852" t="inlineStr"/>
      <c r="N852">
        <f>C852&amp;"|"&amp;D852</f>
        <v/>
      </c>
      <c r="O852">
        <f>COUNTIF($N$2:N852,N852)</f>
        <v/>
      </c>
      <c r="P852">
        <f>N852&amp;"|"&amp;O852</f>
        <v/>
      </c>
      <c r="Q852">
        <f>C852&amp;"|"&amp;D852&amp;"|"&amp;A852</f>
        <v/>
      </c>
    </row>
    <row r="853">
      <c r="A853" t="n">
        <v>42</v>
      </c>
      <c r="B853" t="inlineStr">
        <is>
          <t>Quiñones Cabezas Marcos Vidal</t>
        </is>
      </c>
      <c r="C853" t="inlineStr">
        <is>
          <t>VIERNES</t>
        </is>
      </c>
      <c r="D853" t="n">
        <v>2</v>
      </c>
      <c r="E853" t="n">
        <v>1</v>
      </c>
      <c r="F853" t="inlineStr">
        <is>
          <t>CLASE</t>
        </is>
      </c>
      <c r="G853" t="inlineStr">
        <is>
          <t>0602</t>
        </is>
      </c>
      <c r="H853" t="inlineStr">
        <is>
          <t>MAT</t>
        </is>
      </c>
      <c r="I853" t="inlineStr"/>
      <c r="J853" t="inlineStr"/>
      <c r="K853" t="inlineStr"/>
      <c r="L853" t="inlineStr">
        <is>
          <t>6°-2</t>
        </is>
      </c>
      <c r="M853" t="inlineStr"/>
      <c r="N853">
        <f>C853&amp;"|"&amp;D853</f>
        <v/>
      </c>
      <c r="O853">
        <f>COUNTIF($N$2:N853,N853)</f>
        <v/>
      </c>
      <c r="P853">
        <f>N853&amp;"|"&amp;O853</f>
        <v/>
      </c>
      <c r="Q853">
        <f>C853&amp;"|"&amp;D853&amp;"|"&amp;A853</f>
        <v/>
      </c>
    </row>
    <row r="854">
      <c r="A854" t="n">
        <v>4</v>
      </c>
      <c r="B854" t="inlineStr">
        <is>
          <t>Arizala Castro Roberto Carlos</t>
        </is>
      </c>
      <c r="C854" t="inlineStr">
        <is>
          <t>VIERNES</t>
        </is>
      </c>
      <c r="D854" t="n">
        <v>2</v>
      </c>
      <c r="E854" t="n">
        <v>1</v>
      </c>
      <c r="F854" t="inlineStr">
        <is>
          <t>CLASE</t>
        </is>
      </c>
      <c r="G854" t="inlineStr">
        <is>
          <t>0701</t>
        </is>
      </c>
      <c r="H854" t="inlineStr">
        <is>
          <t>ERD</t>
        </is>
      </c>
      <c r="I854" t="inlineStr"/>
      <c r="J854" t="inlineStr"/>
      <c r="K854" t="inlineStr"/>
      <c r="L854" t="inlineStr">
        <is>
          <t>7°-1</t>
        </is>
      </c>
      <c r="M854" t="inlineStr"/>
      <c r="N854">
        <f>C854&amp;"|"&amp;D854</f>
        <v/>
      </c>
      <c r="O854">
        <f>COUNTIF($N$2:N854,N854)</f>
        <v/>
      </c>
      <c r="P854">
        <f>N854&amp;"|"&amp;O854</f>
        <v/>
      </c>
      <c r="Q854">
        <f>C854&amp;"|"&amp;D854&amp;"|"&amp;A854</f>
        <v/>
      </c>
    </row>
    <row r="855">
      <c r="A855" t="n">
        <v>39</v>
      </c>
      <c r="B855" t="inlineStr">
        <is>
          <t>Puches Ana Milena</t>
        </is>
      </c>
      <c r="C855" t="inlineStr">
        <is>
          <t>VIERNES</t>
        </is>
      </c>
      <c r="D855" t="n">
        <v>2</v>
      </c>
      <c r="E855" t="n">
        <v>1</v>
      </c>
      <c r="F855" t="inlineStr">
        <is>
          <t>CLASE</t>
        </is>
      </c>
      <c r="G855" t="inlineStr">
        <is>
          <t>0702</t>
        </is>
      </c>
      <c r="H855" t="inlineStr">
        <is>
          <t>ART</t>
        </is>
      </c>
      <c r="I855" t="inlineStr"/>
      <c r="J855" t="inlineStr"/>
      <c r="K855" t="inlineStr"/>
      <c r="L855" t="inlineStr">
        <is>
          <t>7°-2</t>
        </is>
      </c>
      <c r="M855" t="inlineStr"/>
      <c r="N855">
        <f>C855&amp;"|"&amp;D855</f>
        <v/>
      </c>
      <c r="O855">
        <f>COUNTIF($N$2:N855,N855)</f>
        <v/>
      </c>
      <c r="P855">
        <f>N855&amp;"|"&amp;O855</f>
        <v/>
      </c>
      <c r="Q855">
        <f>C855&amp;"|"&amp;D855&amp;"|"&amp;A855</f>
        <v/>
      </c>
    </row>
    <row r="856">
      <c r="A856" t="n">
        <v>10</v>
      </c>
      <c r="B856" t="inlineStr">
        <is>
          <t>Castillo Cuero Daira Eneida</t>
        </is>
      </c>
      <c r="C856" t="inlineStr">
        <is>
          <t>VIERNES</t>
        </is>
      </c>
      <c r="D856" t="n">
        <v>2</v>
      </c>
      <c r="E856" t="n">
        <v>1</v>
      </c>
      <c r="F856" t="inlineStr">
        <is>
          <t>CLASE</t>
        </is>
      </c>
      <c r="G856" t="inlineStr">
        <is>
          <t>0703</t>
        </is>
      </c>
      <c r="H856" t="inlineStr">
        <is>
          <t>CAS</t>
        </is>
      </c>
      <c r="I856" t="inlineStr"/>
      <c r="J856" t="inlineStr"/>
      <c r="K856" t="inlineStr"/>
      <c r="L856" t="inlineStr">
        <is>
          <t>7°-3</t>
        </is>
      </c>
      <c r="M856" t="inlineStr"/>
      <c r="N856">
        <f>C856&amp;"|"&amp;D856</f>
        <v/>
      </c>
      <c r="O856">
        <f>COUNTIF($N$2:N856,N856)</f>
        <v/>
      </c>
      <c r="P856">
        <f>N856&amp;"|"&amp;O856</f>
        <v/>
      </c>
      <c r="Q856">
        <f>C856&amp;"|"&amp;D856&amp;"|"&amp;A856</f>
        <v/>
      </c>
    </row>
    <row r="857">
      <c r="A857" t="n">
        <v>34</v>
      </c>
      <c r="B857" t="inlineStr">
        <is>
          <t>Ordóñez Tenorio Jaime Marcial</t>
        </is>
      </c>
      <c r="C857" t="inlineStr">
        <is>
          <t>VIERNES</t>
        </is>
      </c>
      <c r="D857" t="n">
        <v>2</v>
      </c>
      <c r="E857" t="n">
        <v>1</v>
      </c>
      <c r="F857" t="inlineStr">
        <is>
          <t>CLASE</t>
        </is>
      </c>
      <c r="G857" t="inlineStr">
        <is>
          <t>0704</t>
        </is>
      </c>
      <c r="H857" t="inlineStr">
        <is>
          <t>CNA</t>
        </is>
      </c>
      <c r="I857" t="inlineStr"/>
      <c r="J857" t="inlineStr"/>
      <c r="K857" t="inlineStr"/>
      <c r="L857" t="inlineStr">
        <is>
          <t>7°-4</t>
        </is>
      </c>
      <c r="M857" t="inlineStr"/>
      <c r="N857">
        <f>C857&amp;"|"&amp;D857</f>
        <v/>
      </c>
      <c r="O857">
        <f>COUNTIF($N$2:N857,N857)</f>
        <v/>
      </c>
      <c r="P857">
        <f>N857&amp;"|"&amp;O857</f>
        <v/>
      </c>
      <c r="Q857">
        <f>C857&amp;"|"&amp;D857&amp;"|"&amp;A857</f>
        <v/>
      </c>
    </row>
    <row r="858">
      <c r="A858" t="n">
        <v>35</v>
      </c>
      <c r="B858" t="inlineStr">
        <is>
          <t>Ortiz Araujo Adiela Carlota</t>
        </is>
      </c>
      <c r="C858" t="inlineStr">
        <is>
          <t>VIERNES</t>
        </is>
      </c>
      <c r="D858" t="n">
        <v>2</v>
      </c>
      <c r="E858" t="n">
        <v>1</v>
      </c>
      <c r="F858" t="inlineStr">
        <is>
          <t>CLASE</t>
        </is>
      </c>
      <c r="G858" t="inlineStr">
        <is>
          <t>0801</t>
        </is>
      </c>
      <c r="H858" t="inlineStr">
        <is>
          <t>CSI</t>
        </is>
      </c>
      <c r="I858" t="inlineStr"/>
      <c r="J858" t="inlineStr">
        <is>
          <t>Sociales / Inglés (alternan cada semana)</t>
        </is>
      </c>
      <c r="K858" t="inlineStr"/>
      <c r="L858" t="inlineStr">
        <is>
          <t>8°-1</t>
        </is>
      </c>
      <c r="M858" t="inlineStr">
        <is>
          <t>Sociales / Inglés (alternan cada semana)</t>
        </is>
      </c>
      <c r="N858">
        <f>C858&amp;"|"&amp;D858</f>
        <v/>
      </c>
      <c r="O858">
        <f>COUNTIF($N$2:N858,N858)</f>
        <v/>
      </c>
      <c r="P858">
        <f>N858&amp;"|"&amp;O858</f>
        <v/>
      </c>
      <c r="Q858">
        <f>C858&amp;"|"&amp;D858&amp;"|"&amp;A858</f>
        <v/>
      </c>
    </row>
    <row r="859">
      <c r="A859" t="n">
        <v>19</v>
      </c>
      <c r="B859" t="inlineStr">
        <is>
          <t>Fernández Vélez Alfredo Enrique</t>
        </is>
      </c>
      <c r="C859" t="inlineStr">
        <is>
          <t>VIERNES</t>
        </is>
      </c>
      <c r="D859" t="n">
        <v>2</v>
      </c>
      <c r="E859" t="n">
        <v>1</v>
      </c>
      <c r="F859" t="inlineStr">
        <is>
          <t>CLASE</t>
        </is>
      </c>
      <c r="G859" t="inlineStr">
        <is>
          <t>0802</t>
        </is>
      </c>
      <c r="H859" t="inlineStr">
        <is>
          <t>TEI</t>
        </is>
      </c>
      <c r="I859" t="inlineStr"/>
      <c r="J859" t="inlineStr"/>
      <c r="K859" t="inlineStr"/>
      <c r="L859" t="inlineStr">
        <is>
          <t>8°-2</t>
        </is>
      </c>
      <c r="M859" t="inlineStr"/>
      <c r="N859">
        <f>C859&amp;"|"&amp;D859</f>
        <v/>
      </c>
      <c r="O859">
        <f>COUNTIF($N$2:N859,N859)</f>
        <v/>
      </c>
      <c r="P859">
        <f>N859&amp;"|"&amp;O859</f>
        <v/>
      </c>
      <c r="Q859">
        <f>C859&amp;"|"&amp;D859&amp;"|"&amp;A859</f>
        <v/>
      </c>
    </row>
    <row r="860">
      <c r="A860" t="n">
        <v>29</v>
      </c>
      <c r="B860" t="inlineStr">
        <is>
          <t>Mindineros Satizábal John Jáver</t>
        </is>
      </c>
      <c r="C860" t="inlineStr">
        <is>
          <t>VIERNES</t>
        </is>
      </c>
      <c r="D860" t="n">
        <v>2</v>
      </c>
      <c r="E860" t="n">
        <v>1</v>
      </c>
      <c r="F860" t="inlineStr">
        <is>
          <t>CLASE</t>
        </is>
      </c>
      <c r="G860" t="inlineStr">
        <is>
          <t>0901</t>
        </is>
      </c>
      <c r="H860" t="inlineStr">
        <is>
          <t>TEI</t>
        </is>
      </c>
      <c r="I860" t="inlineStr"/>
      <c r="J860" t="inlineStr"/>
      <c r="K860" t="inlineStr"/>
      <c r="L860" t="inlineStr">
        <is>
          <t>9°-1</t>
        </is>
      </c>
      <c r="M860" t="inlineStr"/>
      <c r="N860">
        <f>C860&amp;"|"&amp;D860</f>
        <v/>
      </c>
      <c r="O860">
        <f>COUNTIF($N$2:N860,N860)</f>
        <v/>
      </c>
      <c r="P860">
        <f>N860&amp;"|"&amp;O860</f>
        <v/>
      </c>
      <c r="Q860">
        <f>C860&amp;"|"&amp;D860&amp;"|"&amp;A860</f>
        <v/>
      </c>
    </row>
    <row r="861">
      <c r="A861" t="n">
        <v>18</v>
      </c>
      <c r="B861" t="inlineStr">
        <is>
          <t>Estacio Estupiñán Rosario</t>
        </is>
      </c>
      <c r="C861" t="inlineStr">
        <is>
          <t>VIERNES</t>
        </is>
      </c>
      <c r="D861" t="n">
        <v>2</v>
      </c>
      <c r="E861" t="n">
        <v>1</v>
      </c>
      <c r="F861" t="inlineStr">
        <is>
          <t>CLASE</t>
        </is>
      </c>
      <c r="G861" t="inlineStr">
        <is>
          <t>0902</t>
        </is>
      </c>
      <c r="H861" t="inlineStr">
        <is>
          <t>ETR</t>
        </is>
      </c>
      <c r="I861" t="inlineStr"/>
      <c r="J861" t="inlineStr">
        <is>
          <t>Ética / Religión (alternan cada semana)</t>
        </is>
      </c>
      <c r="K861" t="inlineStr"/>
      <c r="L861" t="inlineStr">
        <is>
          <t>9°-2</t>
        </is>
      </c>
      <c r="M861" t="inlineStr">
        <is>
          <t>Ética / Religión (alternan cada semana)</t>
        </is>
      </c>
      <c r="N861">
        <f>C861&amp;"|"&amp;D861</f>
        <v/>
      </c>
      <c r="O861">
        <f>COUNTIF($N$2:N861,N861)</f>
        <v/>
      </c>
      <c r="P861">
        <f>N861&amp;"|"&amp;O861</f>
        <v/>
      </c>
      <c r="Q861">
        <f>C861&amp;"|"&amp;D861&amp;"|"&amp;A861</f>
        <v/>
      </c>
    </row>
    <row r="862">
      <c r="A862" t="n">
        <v>6</v>
      </c>
      <c r="B862" t="inlineStr">
        <is>
          <t>Betancourth Ocampo Yohana Patricia</t>
        </is>
      </c>
      <c r="C862" t="inlineStr">
        <is>
          <t>VIERNES</t>
        </is>
      </c>
      <c r="D862" t="n">
        <v>2</v>
      </c>
      <c r="E862" t="n">
        <v>1</v>
      </c>
      <c r="F862" t="inlineStr">
        <is>
          <t>CLASE</t>
        </is>
      </c>
      <c r="G862" t="inlineStr">
        <is>
          <t>1001</t>
        </is>
      </c>
      <c r="H862" t="inlineStr">
        <is>
          <t>CSI</t>
        </is>
      </c>
      <c r="I862" t="inlineStr"/>
      <c r="J862" t="inlineStr">
        <is>
          <t>Sociales / Inglés (alternan cada semana)</t>
        </is>
      </c>
      <c r="K862" t="inlineStr"/>
      <c r="L862" t="inlineStr">
        <is>
          <t>10°-1</t>
        </is>
      </c>
      <c r="M862" t="inlineStr">
        <is>
          <t>Sociales / Inglés (alternan cada semana)</t>
        </is>
      </c>
      <c r="N862">
        <f>C862&amp;"|"&amp;D862</f>
        <v/>
      </c>
      <c r="O862">
        <f>COUNTIF($N$2:N862,N862)</f>
        <v/>
      </c>
      <c r="P862">
        <f>N862&amp;"|"&amp;O862</f>
        <v/>
      </c>
      <c r="Q862">
        <f>C862&amp;"|"&amp;D862&amp;"|"&amp;A862</f>
        <v/>
      </c>
    </row>
    <row r="863">
      <c r="A863" t="n">
        <v>3</v>
      </c>
      <c r="B863" t="inlineStr">
        <is>
          <t>Arboleda Ortiz Luz América</t>
        </is>
      </c>
      <c r="C863" t="inlineStr">
        <is>
          <t>VIERNES</t>
        </is>
      </c>
      <c r="D863" t="n">
        <v>2</v>
      </c>
      <c r="E863" t="n">
        <v>1</v>
      </c>
      <c r="F863" t="inlineStr">
        <is>
          <t>CLASE</t>
        </is>
      </c>
      <c r="G863" t="inlineStr">
        <is>
          <t>1002</t>
        </is>
      </c>
      <c r="H863" t="inlineStr">
        <is>
          <t>ART</t>
        </is>
      </c>
      <c r="I863" t="inlineStr"/>
      <c r="J863" t="inlineStr"/>
      <c r="K863" t="inlineStr"/>
      <c r="L863" t="inlineStr">
        <is>
          <t>10°-2</t>
        </is>
      </c>
      <c r="M863" t="inlineStr"/>
      <c r="N863">
        <f>C863&amp;"|"&amp;D863</f>
        <v/>
      </c>
      <c r="O863">
        <f>COUNTIF($N$2:N863,N863)</f>
        <v/>
      </c>
      <c r="P863">
        <f>N863&amp;"|"&amp;O863</f>
        <v/>
      </c>
      <c r="Q863">
        <f>C863&amp;"|"&amp;D863&amp;"|"&amp;A863</f>
        <v/>
      </c>
    </row>
    <row r="864">
      <c r="A864" t="n">
        <v>43</v>
      </c>
      <c r="B864" t="inlineStr">
        <is>
          <t>Ramírez Guerra Jimmy Eduardo</t>
        </is>
      </c>
      <c r="C864" t="inlineStr">
        <is>
          <t>VIERNES</t>
        </is>
      </c>
      <c r="D864" t="n">
        <v>2</v>
      </c>
      <c r="E864" t="n">
        <v>1</v>
      </c>
      <c r="F864" t="inlineStr">
        <is>
          <t>CLASE</t>
        </is>
      </c>
      <c r="G864" t="inlineStr">
        <is>
          <t>1101</t>
        </is>
      </c>
      <c r="H864" t="inlineStr">
        <is>
          <t>ERD</t>
        </is>
      </c>
      <c r="I864" t="inlineStr"/>
      <c r="J864" t="inlineStr"/>
      <c r="K864" t="inlineStr"/>
      <c r="L864" t="inlineStr">
        <is>
          <t>11°-1</t>
        </is>
      </c>
      <c r="M864" t="inlineStr"/>
      <c r="N864">
        <f>C864&amp;"|"&amp;D864</f>
        <v/>
      </c>
      <c r="O864">
        <f>COUNTIF($N$2:N864,N864)</f>
        <v/>
      </c>
      <c r="P864">
        <f>N864&amp;"|"&amp;O864</f>
        <v/>
      </c>
      <c r="Q864">
        <f>C864&amp;"|"&amp;D864&amp;"|"&amp;A864</f>
        <v/>
      </c>
    </row>
    <row r="865">
      <c r="A865" t="n">
        <v>15</v>
      </c>
      <c r="B865" t="inlineStr">
        <is>
          <t>Cuero Bamba Berte Levi</t>
        </is>
      </c>
      <c r="C865" t="inlineStr">
        <is>
          <t>VIERNES</t>
        </is>
      </c>
      <c r="D865" t="n">
        <v>2</v>
      </c>
      <c r="E865" t="n">
        <v>1</v>
      </c>
      <c r="F865" t="inlineStr">
        <is>
          <t>CLASE</t>
        </is>
      </c>
      <c r="G865" t="inlineStr">
        <is>
          <t>CS202</t>
        </is>
      </c>
      <c r="H865" t="inlineStr">
        <is>
          <t>ERD</t>
        </is>
      </c>
      <c r="I865" t="inlineStr"/>
      <c r="J865" t="inlineStr"/>
      <c r="K865" t="inlineStr"/>
      <c r="L865" t="inlineStr">
        <is>
          <t>CS 2-2</t>
        </is>
      </c>
      <c r="M865" t="inlineStr"/>
      <c r="N865">
        <f>C865&amp;"|"&amp;D865</f>
        <v/>
      </c>
      <c r="O865">
        <f>COUNTIF($N$2:N865,N865)</f>
        <v/>
      </c>
      <c r="P865">
        <f>N865&amp;"|"&amp;O865</f>
        <v/>
      </c>
      <c r="Q865">
        <f>C865&amp;"|"&amp;D865&amp;"|"&amp;A865</f>
        <v/>
      </c>
    </row>
    <row r="866">
      <c r="A866" t="n">
        <v>2</v>
      </c>
      <c r="B866" t="inlineStr">
        <is>
          <t>Angulo Lucero Andrés Mauricio</t>
        </is>
      </c>
      <c r="C866" t="inlineStr">
        <is>
          <t>VIERNES</t>
        </is>
      </c>
      <c r="D866" t="n">
        <v>2</v>
      </c>
      <c r="E866" t="n">
        <v>1</v>
      </c>
      <c r="F866" t="inlineStr">
        <is>
          <t>ENFASIS</t>
        </is>
      </c>
      <c r="G866" t="inlineStr"/>
      <c r="H866" t="inlineStr">
        <is>
          <t>TEI</t>
        </is>
      </c>
      <c r="I866" t="inlineStr">
        <is>
          <t>1102</t>
        </is>
      </c>
      <c r="J866" t="inlineStr">
        <is>
          <t>EQUIPO DE 4: cada docente atiende un grupo de estudiantes en su área</t>
        </is>
      </c>
      <c r="K866" t="inlineStr">
        <is>
          <t>Pulgarín Ortiz César Marino (CSI); Montaño Arizala Leidis Claudina (ETR); Villota Rubio Janeth del Carmen (MAT)</t>
        </is>
      </c>
      <c r="L866" t="inlineStr">
        <is>
          <t>ÉNFASIS 11°-2</t>
        </is>
      </c>
      <c r="M866" t="inlineStr">
        <is>
          <t>EQUIPO DE 4: cada docente atiende un grupo de estudiantes en su área · Con: Pulgarín Ortiz César Marino (CSI); Montaño Arizala Leidis Claudina (ETR); Villota Rubio Janeth del Carmen (MAT)</t>
        </is>
      </c>
      <c r="N866">
        <f>C866&amp;"|"&amp;D866</f>
        <v/>
      </c>
      <c r="O866">
        <f>COUNTIF($N$2:N866,N866)</f>
        <v/>
      </c>
      <c r="P866">
        <f>N866&amp;"|"&amp;O866</f>
        <v/>
      </c>
      <c r="Q866">
        <f>C866&amp;"|"&amp;D866&amp;"|"&amp;A866</f>
        <v/>
      </c>
    </row>
    <row r="867">
      <c r="A867" t="n">
        <v>31</v>
      </c>
      <c r="B867" t="inlineStr">
        <is>
          <t>Montaño Arizala Leidis Claudina</t>
        </is>
      </c>
      <c r="C867" t="inlineStr">
        <is>
          <t>VIERNES</t>
        </is>
      </c>
      <c r="D867" t="n">
        <v>2</v>
      </c>
      <c r="E867" t="n">
        <v>1</v>
      </c>
      <c r="F867" t="inlineStr">
        <is>
          <t>ENFASIS</t>
        </is>
      </c>
      <c r="G867" t="inlineStr"/>
      <c r="H867" t="inlineStr">
        <is>
          <t>ETR</t>
        </is>
      </c>
      <c r="I867" t="inlineStr">
        <is>
          <t>1102</t>
        </is>
      </c>
      <c r="J867" t="inlineStr">
        <is>
          <t>EQUIPO DE 4: cada docente atiende un grupo de estudiantes en su área</t>
        </is>
      </c>
      <c r="K867" t="inlineStr">
        <is>
          <t>Pulgarín Ortiz César Marino (CSI); Villota Rubio Janeth del Carmen (MAT); Angulo Lucero Andrés Mauricio (TEI)</t>
        </is>
      </c>
      <c r="L867" t="inlineStr">
        <is>
          <t>ÉNFASIS 11°-2</t>
        </is>
      </c>
      <c r="M867" t="inlineStr">
        <is>
          <t>EQUIPO DE 4: cada docente atiende un grupo de estudiantes en su área · Con: Pulgarín Ortiz César Marino (CSI); Villota Rubio Janeth del Carmen (MAT); Angulo Lucero Andrés Mauricio (TEI)</t>
        </is>
      </c>
      <c r="N867">
        <f>C867&amp;"|"&amp;D867</f>
        <v/>
      </c>
      <c r="O867">
        <f>COUNTIF($N$2:N867,N867)</f>
        <v/>
      </c>
      <c r="P867">
        <f>N867&amp;"|"&amp;O867</f>
        <v/>
      </c>
      <c r="Q867">
        <f>C867&amp;"|"&amp;D867&amp;"|"&amp;A867</f>
        <v/>
      </c>
    </row>
    <row r="868">
      <c r="A868" t="n">
        <v>40</v>
      </c>
      <c r="B868" t="inlineStr">
        <is>
          <t>Pulgarín Ortiz César Marino</t>
        </is>
      </c>
      <c r="C868" t="inlineStr">
        <is>
          <t>VIERNES</t>
        </is>
      </c>
      <c r="D868" t="n">
        <v>2</v>
      </c>
      <c r="E868" t="n">
        <v>1</v>
      </c>
      <c r="F868" t="inlineStr">
        <is>
          <t>ENFASIS</t>
        </is>
      </c>
      <c r="G868" t="inlineStr"/>
      <c r="H868" t="inlineStr">
        <is>
          <t>CSI</t>
        </is>
      </c>
      <c r="I868" t="inlineStr">
        <is>
          <t>1102</t>
        </is>
      </c>
      <c r="J868" t="inlineStr">
        <is>
          <t>EQUIPO DE 4: cada docente atiende un grupo de estudiantes en su área</t>
        </is>
      </c>
      <c r="K868" t="inlineStr">
        <is>
          <t>Montaño Arizala Leidis Claudina (ETR); Villota Rubio Janeth del Carmen (MAT); Angulo Lucero Andrés Mauricio (TEI)</t>
        </is>
      </c>
      <c r="L868" t="inlineStr">
        <is>
          <t>ÉNFASIS 11°-2</t>
        </is>
      </c>
      <c r="M868" t="inlineStr">
        <is>
          <t>EQUIPO DE 4: cada docente atiende un grupo de estudiantes en su área · Con: Montaño Arizala Leidis Claudina (ETR); Villota Rubio Janeth del Carmen (MAT); Angulo Lucero Andrés Mauricio (TEI)</t>
        </is>
      </c>
      <c r="N868">
        <f>C868&amp;"|"&amp;D868</f>
        <v/>
      </c>
      <c r="O868">
        <f>COUNTIF($N$2:N868,N868)</f>
        <v/>
      </c>
      <c r="P868">
        <f>N868&amp;"|"&amp;O868</f>
        <v/>
      </c>
      <c r="Q868">
        <f>C868&amp;"|"&amp;D868&amp;"|"&amp;A868</f>
        <v/>
      </c>
    </row>
    <row r="869">
      <c r="A869" t="n">
        <v>54</v>
      </c>
      <c r="B869" t="inlineStr">
        <is>
          <t>Villota Rubio Janeth del Carmen</t>
        </is>
      </c>
      <c r="C869" t="inlineStr">
        <is>
          <t>VIERNES</t>
        </is>
      </c>
      <c r="D869" t="n">
        <v>2</v>
      </c>
      <c r="E869" t="n">
        <v>1</v>
      </c>
      <c r="F869" t="inlineStr">
        <is>
          <t>ENFASIS</t>
        </is>
      </c>
      <c r="G869" t="inlineStr"/>
      <c r="H869" t="inlineStr">
        <is>
          <t>MAT</t>
        </is>
      </c>
      <c r="I869" t="inlineStr">
        <is>
          <t>1102</t>
        </is>
      </c>
      <c r="J869" t="inlineStr">
        <is>
          <t>EQUIPO DE 4: cada docente atiende un grupo de estudiantes en su área</t>
        </is>
      </c>
      <c r="K869" t="inlineStr">
        <is>
          <t>Pulgarín Ortiz César Marino (CSI); Montaño Arizala Leidis Claudina (ETR); Angulo Lucero Andrés Mauricio (TEI)</t>
        </is>
      </c>
      <c r="L869" t="inlineStr">
        <is>
          <t>ÉNFASIS 11°-2</t>
        </is>
      </c>
      <c r="M869" t="inlineStr">
        <is>
          <t>EQUIPO DE 4: cada docente atiende un grupo de estudiantes en su área · Con: Pulgarín Ortiz César Marino (CSI); Montaño Arizala Leidis Claudina (ETR); Angulo Lucero Andrés Mauricio (TEI)</t>
        </is>
      </c>
      <c r="N869">
        <f>C869&amp;"|"&amp;D869</f>
        <v/>
      </c>
      <c r="O869">
        <f>COUNTIF($N$2:N869,N869)</f>
        <v/>
      </c>
      <c r="P869">
        <f>N869&amp;"|"&amp;O869</f>
        <v/>
      </c>
      <c r="Q869">
        <f>C869&amp;"|"&amp;D869&amp;"|"&amp;A869</f>
        <v/>
      </c>
    </row>
    <row r="870">
      <c r="A870" t="n">
        <v>20</v>
      </c>
      <c r="B870" t="inlineStr">
        <is>
          <t>García Gobea Saydi Magali</t>
        </is>
      </c>
      <c r="C870" t="inlineStr">
        <is>
          <t>VIERNES</t>
        </is>
      </c>
      <c r="D870" t="n">
        <v>2</v>
      </c>
      <c r="E870" t="n">
        <v>1</v>
      </c>
      <c r="F870" t="inlineStr">
        <is>
          <t>ENFASIS</t>
        </is>
      </c>
      <c r="G870" t="inlineStr"/>
      <c r="H870" t="inlineStr">
        <is>
          <t>CSI</t>
        </is>
      </c>
      <c r="I870" t="inlineStr">
        <is>
          <t>CS101</t>
        </is>
      </c>
      <c r="J870" t="inlineStr">
        <is>
          <t>PAREJA: comparten el énfasis y alternan por semana</t>
        </is>
      </c>
      <c r="K870" t="inlineStr">
        <is>
          <t>Lozano Torres Amanda Inés (ETR)</t>
        </is>
      </c>
      <c r="L870" t="inlineStr">
        <is>
          <t>ÉNFASIS CS 1-1</t>
        </is>
      </c>
      <c r="M870" t="inlineStr">
        <is>
          <t>PAREJA: comparten el énfasis y alternan por semana · Con: Lozano Torres Amanda Inés (ETR)</t>
        </is>
      </c>
      <c r="N870">
        <f>C870&amp;"|"&amp;D870</f>
        <v/>
      </c>
      <c r="O870">
        <f>COUNTIF($N$2:N870,N870)</f>
        <v/>
      </c>
      <c r="P870">
        <f>N870&amp;"|"&amp;O870</f>
        <v/>
      </c>
      <c r="Q870">
        <f>C870&amp;"|"&amp;D870&amp;"|"&amp;A870</f>
        <v/>
      </c>
    </row>
    <row r="871">
      <c r="A871" t="n">
        <v>26</v>
      </c>
      <c r="B871" t="inlineStr">
        <is>
          <t>Lozano Torres Amanda Inés</t>
        </is>
      </c>
      <c r="C871" t="inlineStr">
        <is>
          <t>VIERNES</t>
        </is>
      </c>
      <c r="D871" t="n">
        <v>2</v>
      </c>
      <c r="E871" t="n">
        <v>1</v>
      </c>
      <c r="F871" t="inlineStr">
        <is>
          <t>ENFASIS</t>
        </is>
      </c>
      <c r="G871" t="inlineStr"/>
      <c r="H871" t="inlineStr">
        <is>
          <t>ETR</t>
        </is>
      </c>
      <c r="I871" t="inlineStr">
        <is>
          <t>CS101</t>
        </is>
      </c>
      <c r="J871" t="inlineStr">
        <is>
          <t>PAREJA: comparten el énfasis y alternan por semana</t>
        </is>
      </c>
      <c r="K871" t="inlineStr">
        <is>
          <t>García Gobea Saydi Magali (CSI)</t>
        </is>
      </c>
      <c r="L871" t="inlineStr">
        <is>
          <t>ÉNFASIS CS 1-1</t>
        </is>
      </c>
      <c r="M871" t="inlineStr">
        <is>
          <t>PAREJA: comparten el énfasis y alternan por semana · Con: García Gobea Saydi Magali (CSI)</t>
        </is>
      </c>
      <c r="N871">
        <f>C871&amp;"|"&amp;D871</f>
        <v/>
      </c>
      <c r="O871">
        <f>COUNTIF($N$2:N871,N871)</f>
        <v/>
      </c>
      <c r="P871">
        <f>N871&amp;"|"&amp;O871</f>
        <v/>
      </c>
      <c r="Q871">
        <f>C871&amp;"|"&amp;D871&amp;"|"&amp;A871</f>
        <v/>
      </c>
    </row>
    <row r="872">
      <c r="A872" t="n">
        <v>1</v>
      </c>
      <c r="B872" t="inlineStr">
        <is>
          <t>Aguirre Riascos Jorge Andrés</t>
        </is>
      </c>
      <c r="C872" t="inlineStr">
        <is>
          <t>VIERNES</t>
        </is>
      </c>
      <c r="D872" t="n">
        <v>2</v>
      </c>
      <c r="E872" t="n">
        <v>1</v>
      </c>
      <c r="F872" t="inlineStr">
        <is>
          <t>ENFASIS</t>
        </is>
      </c>
      <c r="G872" t="inlineStr"/>
      <c r="H872" t="inlineStr">
        <is>
          <t>TEI</t>
        </is>
      </c>
      <c r="I872" t="inlineStr">
        <is>
          <t>CS102</t>
        </is>
      </c>
      <c r="J872" t="inlineStr">
        <is>
          <t>PAREJA: comparten el énfasis y alternan por semana</t>
        </is>
      </c>
      <c r="K872" t="inlineStr">
        <is>
          <t>Vásquez Valencia Segundo Leoncio (MAT)</t>
        </is>
      </c>
      <c r="L872" t="inlineStr">
        <is>
          <t>ÉNFASIS CS 1-2</t>
        </is>
      </c>
      <c r="M872" t="inlineStr">
        <is>
          <t>PAREJA: comparten el énfasis y alternan por semana · Con: Vásquez Valencia Segundo Leoncio (MAT)</t>
        </is>
      </c>
      <c r="N872">
        <f>C872&amp;"|"&amp;D872</f>
        <v/>
      </c>
      <c r="O872">
        <f>COUNTIF($N$2:N872,N872)</f>
        <v/>
      </c>
      <c r="P872">
        <f>N872&amp;"|"&amp;O872</f>
        <v/>
      </c>
      <c r="Q872">
        <f>C872&amp;"|"&amp;D872&amp;"|"&amp;A872</f>
        <v/>
      </c>
    </row>
    <row r="873">
      <c r="A873" t="n">
        <v>52</v>
      </c>
      <c r="B873" t="inlineStr">
        <is>
          <t>Vásquez Valencia Segundo Leoncio</t>
        </is>
      </c>
      <c r="C873" t="inlineStr">
        <is>
          <t>VIERNES</t>
        </is>
      </c>
      <c r="D873" t="n">
        <v>2</v>
      </c>
      <c r="E873" t="n">
        <v>1</v>
      </c>
      <c r="F873" t="inlineStr">
        <is>
          <t>ENFASIS</t>
        </is>
      </c>
      <c r="G873" t="inlineStr"/>
      <c r="H873" t="inlineStr">
        <is>
          <t>MAT</t>
        </is>
      </c>
      <c r="I873" t="inlineStr">
        <is>
          <t>CS102</t>
        </is>
      </c>
      <c r="J873" t="inlineStr">
        <is>
          <t>PAREJA: comparten el énfasis y alternan por semana</t>
        </is>
      </c>
      <c r="K873" t="inlineStr">
        <is>
          <t>Aguirre Riascos Jorge Andrés (TEI)</t>
        </is>
      </c>
      <c r="L873" t="inlineStr">
        <is>
          <t>ÉNFASIS CS 1-2</t>
        </is>
      </c>
      <c r="M873" t="inlineStr">
        <is>
          <t>PAREJA: comparten el énfasis y alternan por semana · Con: Aguirre Riascos Jorge Andrés (TEI)</t>
        </is>
      </c>
      <c r="N873">
        <f>C873&amp;"|"&amp;D873</f>
        <v/>
      </c>
      <c r="O873">
        <f>COUNTIF($N$2:N873,N873)</f>
        <v/>
      </c>
      <c r="P873">
        <f>N873&amp;"|"&amp;O873</f>
        <v/>
      </c>
      <c r="Q873">
        <f>C873&amp;"|"&amp;D873&amp;"|"&amp;A873</f>
        <v/>
      </c>
    </row>
    <row r="874">
      <c r="A874" t="n">
        <v>22</v>
      </c>
      <c r="B874" t="inlineStr">
        <is>
          <t>González Castillo Jólmer Jimy</t>
        </is>
      </c>
      <c r="C874" t="inlineStr">
        <is>
          <t>VIERNES</t>
        </is>
      </c>
      <c r="D874" t="n">
        <v>2</v>
      </c>
      <c r="E874" t="n">
        <v>1</v>
      </c>
      <c r="F874" t="inlineStr">
        <is>
          <t>ENFASIS</t>
        </is>
      </c>
      <c r="G874" t="inlineStr"/>
      <c r="H874" t="inlineStr">
        <is>
          <t>ERD</t>
        </is>
      </c>
      <c r="I874" t="inlineStr">
        <is>
          <t>CS201</t>
        </is>
      </c>
      <c r="J874" t="inlineStr">
        <is>
          <t>EQUIPO DE 4: cada docente atiende un grupo de estudiantes en su área</t>
        </is>
      </c>
      <c r="K874" t="inlineStr">
        <is>
          <t>Valencia Marínez Saidy Eufemia (ART); Meza Banguera Gladys Alicia (CAS); Lemos Guancha Miriam (CNA)</t>
        </is>
      </c>
      <c r="L874" t="inlineStr">
        <is>
          <t>ÉNFASIS CS 2-1</t>
        </is>
      </c>
      <c r="M874" t="inlineStr">
        <is>
          <t>EQUIPO DE 4: cada docente atiende un grupo de estudiantes en su área · Con: Valencia Marínez Saidy Eufemia (ART); Meza Banguera Gladys Alicia (CAS); Lemos Guancha Miriam (CNA)</t>
        </is>
      </c>
      <c r="N874">
        <f>C874&amp;"|"&amp;D874</f>
        <v/>
      </c>
      <c r="O874">
        <f>COUNTIF($N$2:N874,N874)</f>
        <v/>
      </c>
      <c r="P874">
        <f>N874&amp;"|"&amp;O874</f>
        <v/>
      </c>
      <c r="Q874">
        <f>C874&amp;"|"&amp;D874&amp;"|"&amp;A874</f>
        <v/>
      </c>
    </row>
    <row r="875">
      <c r="A875" t="n">
        <v>25</v>
      </c>
      <c r="B875" t="inlineStr">
        <is>
          <t>Lemos Guancha Miriam</t>
        </is>
      </c>
      <c r="C875" t="inlineStr">
        <is>
          <t>VIERNES</t>
        </is>
      </c>
      <c r="D875" t="n">
        <v>2</v>
      </c>
      <c r="E875" t="n">
        <v>1</v>
      </c>
      <c r="F875" t="inlineStr">
        <is>
          <t>ENFASIS</t>
        </is>
      </c>
      <c r="G875" t="inlineStr"/>
      <c r="H875" t="inlineStr">
        <is>
          <t>CNA</t>
        </is>
      </c>
      <c r="I875" t="inlineStr">
        <is>
          <t>CS201</t>
        </is>
      </c>
      <c r="J875" t="inlineStr">
        <is>
          <t>EQUIPO DE 4: cada docente atiende un grupo de estudiantes en su área</t>
        </is>
      </c>
      <c r="K875" t="inlineStr">
        <is>
          <t>Valencia Marínez Saidy Eufemia (ART); Meza Banguera Gladys Alicia (CAS); González Castillo Jólmer Jimy (ERD)</t>
        </is>
      </c>
      <c r="L875" t="inlineStr">
        <is>
          <t>ÉNFASIS CS 2-1</t>
        </is>
      </c>
      <c r="M875" t="inlineStr">
        <is>
          <t>EQUIPO DE 4: cada docente atiende un grupo de estudiantes en su área · Con: Valencia Marínez Saidy Eufemia (ART); Meza Banguera Gladys Alicia (CAS); González Castillo Jólmer Jimy (ERD)</t>
        </is>
      </c>
      <c r="N875">
        <f>C875&amp;"|"&amp;D875</f>
        <v/>
      </c>
      <c r="O875">
        <f>COUNTIF($N$2:N875,N875)</f>
        <v/>
      </c>
      <c r="P875">
        <f>N875&amp;"|"&amp;O875</f>
        <v/>
      </c>
      <c r="Q875">
        <f>C875&amp;"|"&amp;D875&amp;"|"&amp;A875</f>
        <v/>
      </c>
    </row>
    <row r="876">
      <c r="A876" t="n">
        <v>28</v>
      </c>
      <c r="B876" t="inlineStr">
        <is>
          <t>Meza Banguera Gladys Alicia</t>
        </is>
      </c>
      <c r="C876" t="inlineStr">
        <is>
          <t>VIERNES</t>
        </is>
      </c>
      <c r="D876" t="n">
        <v>2</v>
      </c>
      <c r="E876" t="n">
        <v>1</v>
      </c>
      <c r="F876" t="inlineStr">
        <is>
          <t>ENFASIS</t>
        </is>
      </c>
      <c r="G876" t="inlineStr"/>
      <c r="H876" t="inlineStr">
        <is>
          <t>CAS</t>
        </is>
      </c>
      <c r="I876" t="inlineStr">
        <is>
          <t>CS201</t>
        </is>
      </c>
      <c r="J876" t="inlineStr">
        <is>
          <t>EQUIPO DE 4: cada docente atiende un grupo de estudiantes en su área</t>
        </is>
      </c>
      <c r="K876" t="inlineStr">
        <is>
          <t>Valencia Marínez Saidy Eufemia (ART); González Castillo Jólmer Jimy (ERD); Lemos Guancha Miriam (CNA)</t>
        </is>
      </c>
      <c r="L876" t="inlineStr">
        <is>
          <t>ÉNFASIS CS 2-1</t>
        </is>
      </c>
      <c r="M876" t="inlineStr">
        <is>
          <t>EQUIPO DE 4: cada docente atiende un grupo de estudiantes en su área · Con: Valencia Marínez Saidy Eufemia (ART); González Castillo Jólmer Jimy (ERD); Lemos Guancha Miriam (CNA)</t>
        </is>
      </c>
      <c r="N876">
        <f>C876&amp;"|"&amp;D876</f>
        <v/>
      </c>
      <c r="O876">
        <f>COUNTIF($N$2:N876,N876)</f>
        <v/>
      </c>
      <c r="P876">
        <f>N876&amp;"|"&amp;O876</f>
        <v/>
      </c>
      <c r="Q876">
        <f>C876&amp;"|"&amp;D876&amp;"|"&amp;A876</f>
        <v/>
      </c>
    </row>
    <row r="877">
      <c r="A877" t="n">
        <v>49</v>
      </c>
      <c r="B877" t="inlineStr">
        <is>
          <t>Valencia Marínez Saidy Eufemia</t>
        </is>
      </c>
      <c r="C877" t="inlineStr">
        <is>
          <t>VIERNES</t>
        </is>
      </c>
      <c r="D877" t="n">
        <v>2</v>
      </c>
      <c r="E877" t="n">
        <v>1</v>
      </c>
      <c r="F877" t="inlineStr">
        <is>
          <t>ENFASIS</t>
        </is>
      </c>
      <c r="G877" t="inlineStr"/>
      <c r="H877" t="inlineStr">
        <is>
          <t>ART</t>
        </is>
      </c>
      <c r="I877" t="inlineStr">
        <is>
          <t>CS201</t>
        </is>
      </c>
      <c r="J877" t="inlineStr">
        <is>
          <t>EQUIPO DE 4: cada docente atiende un grupo de estudiantes en su área</t>
        </is>
      </c>
      <c r="K877" t="inlineStr">
        <is>
          <t>Meza Banguera Gladys Alicia (CAS); González Castillo Jólmer Jimy (ERD); Lemos Guancha Miriam (CNA)</t>
        </is>
      </c>
      <c r="L877" t="inlineStr">
        <is>
          <t>ÉNFASIS CS 2-1</t>
        </is>
      </c>
      <c r="M877" t="inlineStr">
        <is>
          <t>EQUIPO DE 4: cada docente atiende un grupo de estudiantes en su área · Con: Meza Banguera Gladys Alicia (CAS); González Castillo Jólmer Jimy (ERD); Lemos Guancha Miriam (CNA)</t>
        </is>
      </c>
      <c r="N877">
        <f>C877&amp;"|"&amp;D877</f>
        <v/>
      </c>
      <c r="O877">
        <f>COUNTIF($N$2:N877,N877)</f>
        <v/>
      </c>
      <c r="P877">
        <f>N877&amp;"|"&amp;O877</f>
        <v/>
      </c>
      <c r="Q877">
        <f>C877&amp;"|"&amp;D877&amp;"|"&amp;A877</f>
        <v/>
      </c>
    </row>
    <row r="878">
      <c r="A878" t="n">
        <v>16</v>
      </c>
      <c r="B878" t="inlineStr">
        <is>
          <t>Cuero Rincón Hernando Jesús</t>
        </is>
      </c>
      <c r="C878" t="inlineStr">
        <is>
          <t>VIERNES</t>
        </is>
      </c>
      <c r="D878" t="n">
        <v>3</v>
      </c>
      <c r="E878" t="n">
        <v>2</v>
      </c>
      <c r="F878" t="inlineStr">
        <is>
          <t>CLASE</t>
        </is>
      </c>
      <c r="G878" t="inlineStr">
        <is>
          <t>0601</t>
        </is>
      </c>
      <c r="H878" t="inlineStr">
        <is>
          <t>TEI</t>
        </is>
      </c>
      <c r="I878" t="inlineStr"/>
      <c r="J878" t="inlineStr"/>
      <c r="K878" t="inlineStr"/>
      <c r="L878" t="inlineStr">
        <is>
          <t>6°-1</t>
        </is>
      </c>
      <c r="M878" t="inlineStr"/>
      <c r="N878">
        <f>C878&amp;"|"&amp;D878</f>
        <v/>
      </c>
      <c r="O878">
        <f>COUNTIF($N$2:N878,N878)</f>
        <v/>
      </c>
      <c r="P878">
        <f>N878&amp;"|"&amp;O878</f>
        <v/>
      </c>
      <c r="Q878">
        <f>C878&amp;"|"&amp;D878&amp;"|"&amp;A878</f>
        <v/>
      </c>
    </row>
    <row r="879">
      <c r="A879" t="n">
        <v>37</v>
      </c>
      <c r="B879" t="inlineStr">
        <is>
          <t>Prado Quiñones Genís Maribel</t>
        </is>
      </c>
      <c r="C879" t="inlineStr">
        <is>
          <t>VIERNES</t>
        </is>
      </c>
      <c r="D879" t="n">
        <v>3</v>
      </c>
      <c r="E879" t="n">
        <v>2</v>
      </c>
      <c r="F879" t="inlineStr">
        <is>
          <t>CLASE</t>
        </is>
      </c>
      <c r="G879" t="inlineStr">
        <is>
          <t>0602</t>
        </is>
      </c>
      <c r="H879" t="inlineStr">
        <is>
          <t>CNA</t>
        </is>
      </c>
      <c r="I879" t="inlineStr"/>
      <c r="J879" t="inlineStr"/>
      <c r="K879" t="inlineStr"/>
      <c r="L879" t="inlineStr">
        <is>
          <t>6°-2</t>
        </is>
      </c>
      <c r="M879" t="inlineStr"/>
      <c r="N879">
        <f>C879&amp;"|"&amp;D879</f>
        <v/>
      </c>
      <c r="O879">
        <f>COUNTIF($N$2:N879,N879)</f>
        <v/>
      </c>
      <c r="P879">
        <f>N879&amp;"|"&amp;O879</f>
        <v/>
      </c>
      <c r="Q879">
        <f>C879&amp;"|"&amp;D879&amp;"|"&amp;A879</f>
        <v/>
      </c>
    </row>
    <row r="880">
      <c r="A880" t="n">
        <v>10</v>
      </c>
      <c r="B880" t="inlineStr">
        <is>
          <t>Castillo Cuero Daira Eneida</t>
        </is>
      </c>
      <c r="C880" t="inlineStr">
        <is>
          <t>VIERNES</t>
        </is>
      </c>
      <c r="D880" t="n">
        <v>3</v>
      </c>
      <c r="E880" t="n">
        <v>2</v>
      </c>
      <c r="F880" t="inlineStr">
        <is>
          <t>CLASE</t>
        </is>
      </c>
      <c r="G880" t="inlineStr">
        <is>
          <t>0701</t>
        </is>
      </c>
      <c r="H880" t="inlineStr">
        <is>
          <t>CAS</t>
        </is>
      </c>
      <c r="I880" t="inlineStr"/>
      <c r="J880" t="inlineStr"/>
      <c r="K880" t="inlineStr"/>
      <c r="L880" t="inlineStr">
        <is>
          <t>7°-1</t>
        </is>
      </c>
      <c r="M880" t="inlineStr"/>
      <c r="N880">
        <f>C880&amp;"|"&amp;D880</f>
        <v/>
      </c>
      <c r="O880">
        <f>COUNTIF($N$2:N880,N880)</f>
        <v/>
      </c>
      <c r="P880">
        <f>N880&amp;"|"&amp;O880</f>
        <v/>
      </c>
      <c r="Q880">
        <f>C880&amp;"|"&amp;D880&amp;"|"&amp;A880</f>
        <v/>
      </c>
    </row>
    <row r="881">
      <c r="A881" t="n">
        <v>34</v>
      </c>
      <c r="B881" t="inlineStr">
        <is>
          <t>Ordóñez Tenorio Jaime Marcial</t>
        </is>
      </c>
      <c r="C881" t="inlineStr">
        <is>
          <t>VIERNES</t>
        </is>
      </c>
      <c r="D881" t="n">
        <v>3</v>
      </c>
      <c r="E881" t="n">
        <v>2</v>
      </c>
      <c r="F881" t="inlineStr">
        <is>
          <t>CLASE</t>
        </is>
      </c>
      <c r="G881" t="inlineStr">
        <is>
          <t>0702</t>
        </is>
      </c>
      <c r="H881" t="inlineStr">
        <is>
          <t>CNA</t>
        </is>
      </c>
      <c r="I881" t="inlineStr"/>
      <c r="J881" t="inlineStr"/>
      <c r="K881" t="inlineStr"/>
      <c r="L881" t="inlineStr">
        <is>
          <t>7°-2</t>
        </is>
      </c>
      <c r="M881" t="inlineStr"/>
      <c r="N881">
        <f>C881&amp;"|"&amp;D881</f>
        <v/>
      </c>
      <c r="O881">
        <f>COUNTIF($N$2:N881,N881)</f>
        <v/>
      </c>
      <c r="P881">
        <f>N881&amp;"|"&amp;O881</f>
        <v/>
      </c>
      <c r="Q881">
        <f>C881&amp;"|"&amp;D881&amp;"|"&amp;A881</f>
        <v/>
      </c>
    </row>
    <row r="882">
      <c r="A882" t="n">
        <v>1</v>
      </c>
      <c r="B882" t="inlineStr">
        <is>
          <t>Aguirre Riascos Jorge Andrés</t>
        </is>
      </c>
      <c r="C882" t="inlineStr">
        <is>
          <t>VIERNES</t>
        </is>
      </c>
      <c r="D882" t="n">
        <v>3</v>
      </c>
      <c r="E882" t="n">
        <v>2</v>
      </c>
      <c r="F882" t="inlineStr">
        <is>
          <t>CLASE</t>
        </is>
      </c>
      <c r="G882" t="inlineStr">
        <is>
          <t>0703</t>
        </is>
      </c>
      <c r="H882" t="inlineStr">
        <is>
          <t>TEI</t>
        </is>
      </c>
      <c r="I882" t="inlineStr"/>
      <c r="J882" t="inlineStr"/>
      <c r="K882" t="inlineStr"/>
      <c r="L882" t="inlineStr">
        <is>
          <t>7°-3</t>
        </is>
      </c>
      <c r="M882" t="inlineStr"/>
      <c r="N882">
        <f>C882&amp;"|"&amp;D882</f>
        <v/>
      </c>
      <c r="O882">
        <f>COUNTIF($N$2:N882,N882)</f>
        <v/>
      </c>
      <c r="P882">
        <f>N882&amp;"|"&amp;O882</f>
        <v/>
      </c>
      <c r="Q882">
        <f>C882&amp;"|"&amp;D882&amp;"|"&amp;A882</f>
        <v/>
      </c>
    </row>
    <row r="883">
      <c r="A883" t="n">
        <v>39</v>
      </c>
      <c r="B883" t="inlineStr">
        <is>
          <t>Puches Ana Milena</t>
        </is>
      </c>
      <c r="C883" t="inlineStr">
        <is>
          <t>VIERNES</t>
        </is>
      </c>
      <c r="D883" t="n">
        <v>3</v>
      </c>
      <c r="E883" t="n">
        <v>2</v>
      </c>
      <c r="F883" t="inlineStr">
        <is>
          <t>CLASE</t>
        </is>
      </c>
      <c r="G883" t="inlineStr">
        <is>
          <t>0704</t>
        </is>
      </c>
      <c r="H883" t="inlineStr">
        <is>
          <t>ART</t>
        </is>
      </c>
      <c r="I883" t="inlineStr"/>
      <c r="J883" t="inlineStr"/>
      <c r="K883" t="inlineStr"/>
      <c r="L883" t="inlineStr">
        <is>
          <t>7°-4</t>
        </is>
      </c>
      <c r="M883" t="inlineStr"/>
      <c r="N883">
        <f>C883&amp;"|"&amp;D883</f>
        <v/>
      </c>
      <c r="O883">
        <f>COUNTIF($N$2:N883,N883)</f>
        <v/>
      </c>
      <c r="P883">
        <f>N883&amp;"|"&amp;O883</f>
        <v/>
      </c>
      <c r="Q883">
        <f>C883&amp;"|"&amp;D883&amp;"|"&amp;A883</f>
        <v/>
      </c>
    </row>
    <row r="884">
      <c r="A884" t="n">
        <v>15</v>
      </c>
      <c r="B884" t="inlineStr">
        <is>
          <t>Cuero Bamba Berte Levi</t>
        </is>
      </c>
      <c r="C884" t="inlineStr">
        <is>
          <t>VIERNES</t>
        </is>
      </c>
      <c r="D884" t="n">
        <v>3</v>
      </c>
      <c r="E884" t="n">
        <v>2</v>
      </c>
      <c r="F884" t="inlineStr">
        <is>
          <t>CLASE</t>
        </is>
      </c>
      <c r="G884" t="inlineStr">
        <is>
          <t>0801</t>
        </is>
      </c>
      <c r="H884" t="inlineStr">
        <is>
          <t>ERD</t>
        </is>
      </c>
      <c r="I884" t="inlineStr"/>
      <c r="J884" t="inlineStr"/>
      <c r="K884" t="inlineStr"/>
      <c r="L884" t="inlineStr">
        <is>
          <t>8°-1</t>
        </is>
      </c>
      <c r="M884" t="inlineStr"/>
      <c r="N884">
        <f>C884&amp;"|"&amp;D884</f>
        <v/>
      </c>
      <c r="O884">
        <f>COUNTIF($N$2:N884,N884)</f>
        <v/>
      </c>
      <c r="P884">
        <f>N884&amp;"|"&amp;O884</f>
        <v/>
      </c>
      <c r="Q884">
        <f>C884&amp;"|"&amp;D884&amp;"|"&amp;A884</f>
        <v/>
      </c>
    </row>
    <row r="885">
      <c r="A885" t="n">
        <v>28</v>
      </c>
      <c r="B885" t="inlineStr">
        <is>
          <t>Meza Banguera Gladys Alicia</t>
        </is>
      </c>
      <c r="C885" t="inlineStr">
        <is>
          <t>VIERNES</t>
        </is>
      </c>
      <c r="D885" t="n">
        <v>3</v>
      </c>
      <c r="E885" t="n">
        <v>2</v>
      </c>
      <c r="F885" t="inlineStr">
        <is>
          <t>CLASE</t>
        </is>
      </c>
      <c r="G885" t="inlineStr">
        <is>
          <t>0901</t>
        </is>
      </c>
      <c r="H885" t="inlineStr">
        <is>
          <t>CAS</t>
        </is>
      </c>
      <c r="I885" t="inlineStr"/>
      <c r="J885" t="inlineStr"/>
      <c r="K885" t="inlineStr"/>
      <c r="L885" t="inlineStr">
        <is>
          <t>9°-1</t>
        </is>
      </c>
      <c r="M885" t="inlineStr"/>
      <c r="N885">
        <f>C885&amp;"|"&amp;D885</f>
        <v/>
      </c>
      <c r="O885">
        <f>COUNTIF($N$2:N885,N885)</f>
        <v/>
      </c>
      <c r="P885">
        <f>N885&amp;"|"&amp;O885</f>
        <v/>
      </c>
      <c r="Q885">
        <f>C885&amp;"|"&amp;D885&amp;"|"&amp;A885</f>
        <v/>
      </c>
    </row>
    <row r="886">
      <c r="A886" t="n">
        <v>49</v>
      </c>
      <c r="B886" t="inlineStr">
        <is>
          <t>Valencia Marínez Saidy Eufemia</t>
        </is>
      </c>
      <c r="C886" t="inlineStr">
        <is>
          <t>VIERNES</t>
        </is>
      </c>
      <c r="D886" t="n">
        <v>3</v>
      </c>
      <c r="E886" t="n">
        <v>2</v>
      </c>
      <c r="F886" t="inlineStr">
        <is>
          <t>CLASE</t>
        </is>
      </c>
      <c r="G886" t="inlineStr">
        <is>
          <t>1001</t>
        </is>
      </c>
      <c r="H886" t="inlineStr">
        <is>
          <t>ART</t>
        </is>
      </c>
      <c r="I886" t="inlineStr"/>
      <c r="J886" t="inlineStr"/>
      <c r="K886" t="inlineStr"/>
      <c r="L886" t="inlineStr">
        <is>
          <t>10°-1</t>
        </is>
      </c>
      <c r="M886" t="inlineStr"/>
      <c r="N886">
        <f>C886&amp;"|"&amp;D886</f>
        <v/>
      </c>
      <c r="O886">
        <f>COUNTIF($N$2:N886,N886)</f>
        <v/>
      </c>
      <c r="P886">
        <f>N886&amp;"|"&amp;O886</f>
        <v/>
      </c>
      <c r="Q886">
        <f>C886&amp;"|"&amp;D886&amp;"|"&amp;A886</f>
        <v/>
      </c>
    </row>
    <row r="887">
      <c r="A887" t="n">
        <v>30</v>
      </c>
      <c r="B887" t="inlineStr">
        <is>
          <t>Montaño Anchico Favio Héctor</t>
        </is>
      </c>
      <c r="C887" t="inlineStr">
        <is>
          <t>VIERNES</t>
        </is>
      </c>
      <c r="D887" t="n">
        <v>3</v>
      </c>
      <c r="E887" t="n">
        <v>2</v>
      </c>
      <c r="F887" t="inlineStr">
        <is>
          <t>CLASE</t>
        </is>
      </c>
      <c r="G887" t="inlineStr">
        <is>
          <t>1101</t>
        </is>
      </c>
      <c r="H887" t="inlineStr">
        <is>
          <t>CAS</t>
        </is>
      </c>
      <c r="I887" t="inlineStr"/>
      <c r="J887" t="inlineStr"/>
      <c r="K887" t="inlineStr"/>
      <c r="L887" t="inlineStr">
        <is>
          <t>11°-1</t>
        </is>
      </c>
      <c r="M887" t="inlineStr"/>
      <c r="N887">
        <f>C887&amp;"|"&amp;D887</f>
        <v/>
      </c>
      <c r="O887">
        <f>COUNTIF($N$2:N887,N887)</f>
        <v/>
      </c>
      <c r="P887">
        <f>N887&amp;"|"&amp;O887</f>
        <v/>
      </c>
      <c r="Q887">
        <f>C887&amp;"|"&amp;D887&amp;"|"&amp;A887</f>
        <v/>
      </c>
    </row>
    <row r="888">
      <c r="A888" t="n">
        <v>3</v>
      </c>
      <c r="B888" t="inlineStr">
        <is>
          <t>Arboleda Ortiz Luz América</t>
        </is>
      </c>
      <c r="C888" t="inlineStr">
        <is>
          <t>VIERNES</t>
        </is>
      </c>
      <c r="D888" t="n">
        <v>3</v>
      </c>
      <c r="E888" t="n">
        <v>2</v>
      </c>
      <c r="F888" t="inlineStr">
        <is>
          <t>CLASE</t>
        </is>
      </c>
      <c r="G888" t="inlineStr">
        <is>
          <t>1102</t>
        </is>
      </c>
      <c r="H888" t="inlineStr">
        <is>
          <t>ART</t>
        </is>
      </c>
      <c r="I888" t="inlineStr"/>
      <c r="J888" t="inlineStr"/>
      <c r="K888" t="inlineStr"/>
      <c r="L888" t="inlineStr">
        <is>
          <t>11°-2</t>
        </is>
      </c>
      <c r="M888" t="inlineStr"/>
      <c r="N888">
        <f>C888&amp;"|"&amp;D888</f>
        <v/>
      </c>
      <c r="O888">
        <f>COUNTIF($N$2:N888,N888)</f>
        <v/>
      </c>
      <c r="P888">
        <f>N888&amp;"|"&amp;O888</f>
        <v/>
      </c>
      <c r="Q888">
        <f>C888&amp;"|"&amp;D888&amp;"|"&amp;A888</f>
        <v/>
      </c>
    </row>
    <row r="889">
      <c r="A889" t="n">
        <v>26</v>
      </c>
      <c r="B889" t="inlineStr">
        <is>
          <t>Lozano Torres Amanda Inés</t>
        </is>
      </c>
      <c r="C889" t="inlineStr">
        <is>
          <t>VIERNES</t>
        </is>
      </c>
      <c r="D889" t="n">
        <v>3</v>
      </c>
      <c r="E889" t="n">
        <v>2</v>
      </c>
      <c r="F889" t="inlineStr">
        <is>
          <t>CLASE</t>
        </is>
      </c>
      <c r="G889" t="inlineStr">
        <is>
          <t>CS101</t>
        </is>
      </c>
      <c r="H889" t="inlineStr">
        <is>
          <t>ETR</t>
        </is>
      </c>
      <c r="I889" t="inlineStr"/>
      <c r="J889" t="inlineStr">
        <is>
          <t>Ética / Religión (alternan cada semana)</t>
        </is>
      </c>
      <c r="K889" t="inlineStr"/>
      <c r="L889" t="inlineStr">
        <is>
          <t>CS 1-1</t>
        </is>
      </c>
      <c r="M889" t="inlineStr">
        <is>
          <t>Ética / Religión (alternan cada semana)</t>
        </is>
      </c>
      <c r="N889">
        <f>C889&amp;"|"&amp;D889</f>
        <v/>
      </c>
      <c r="O889">
        <f>COUNTIF($N$2:N889,N889)</f>
        <v/>
      </c>
      <c r="P889">
        <f>N889&amp;"|"&amp;O889</f>
        <v/>
      </c>
      <c r="Q889">
        <f>C889&amp;"|"&amp;D889&amp;"|"&amp;A889</f>
        <v/>
      </c>
    </row>
    <row r="890">
      <c r="A890" t="n">
        <v>20</v>
      </c>
      <c r="B890" t="inlineStr">
        <is>
          <t>García Gobea Saydi Magali</t>
        </is>
      </c>
      <c r="C890" t="inlineStr">
        <is>
          <t>VIERNES</t>
        </is>
      </c>
      <c r="D890" t="n">
        <v>3</v>
      </c>
      <c r="E890" t="n">
        <v>2</v>
      </c>
      <c r="F890" t="inlineStr">
        <is>
          <t>CLASE</t>
        </is>
      </c>
      <c r="G890" t="inlineStr">
        <is>
          <t>CS102</t>
        </is>
      </c>
      <c r="H890" t="inlineStr">
        <is>
          <t>CSI</t>
        </is>
      </c>
      <c r="I890" t="inlineStr"/>
      <c r="J890" t="inlineStr">
        <is>
          <t>Sociales / Inglés (alternan cada semana)</t>
        </is>
      </c>
      <c r="K890" t="inlineStr"/>
      <c r="L890" t="inlineStr">
        <is>
          <t>CS 1-2</t>
        </is>
      </c>
      <c r="M890" t="inlineStr">
        <is>
          <t>Sociales / Inglés (alternan cada semana)</t>
        </is>
      </c>
      <c r="N890">
        <f>C890&amp;"|"&amp;D890</f>
        <v/>
      </c>
      <c r="O890">
        <f>COUNTIF($N$2:N890,N890)</f>
        <v/>
      </c>
      <c r="P890">
        <f>N890&amp;"|"&amp;O890</f>
        <v/>
      </c>
      <c r="Q890">
        <f>C890&amp;"|"&amp;D890&amp;"|"&amp;A890</f>
        <v/>
      </c>
    </row>
    <row r="891">
      <c r="A891" t="n">
        <v>12</v>
      </c>
      <c r="B891" t="inlineStr">
        <is>
          <t>Chillambo Quiñones María Rocío</t>
        </is>
      </c>
      <c r="C891" t="inlineStr">
        <is>
          <t>VIERNES</t>
        </is>
      </c>
      <c r="D891" t="n">
        <v>3</v>
      </c>
      <c r="E891" t="n">
        <v>2</v>
      </c>
      <c r="F891" t="inlineStr">
        <is>
          <t>CLASE</t>
        </is>
      </c>
      <c r="G891" t="inlineStr">
        <is>
          <t>CS201</t>
        </is>
      </c>
      <c r="H891" t="inlineStr">
        <is>
          <t>CNA</t>
        </is>
      </c>
      <c r="I891" t="inlineStr"/>
      <c r="J891" t="inlineStr"/>
      <c r="K891" t="inlineStr"/>
      <c r="L891" t="inlineStr">
        <is>
          <t>CS 2-1</t>
        </is>
      </c>
      <c r="M891" t="inlineStr"/>
      <c r="N891">
        <f>C891&amp;"|"&amp;D891</f>
        <v/>
      </c>
      <c r="O891">
        <f>COUNTIF($N$2:N891,N891)</f>
        <v/>
      </c>
      <c r="P891">
        <f>N891&amp;"|"&amp;O891</f>
        <v/>
      </c>
      <c r="Q891">
        <f>C891&amp;"|"&amp;D891&amp;"|"&amp;A891</f>
        <v/>
      </c>
    </row>
    <row r="892">
      <c r="A892" t="n">
        <v>44</v>
      </c>
      <c r="B892" t="inlineStr">
        <is>
          <t>Samaniego Angulo Flor Mireya</t>
        </is>
      </c>
      <c r="C892" t="inlineStr">
        <is>
          <t>VIERNES</t>
        </is>
      </c>
      <c r="D892" t="n">
        <v>3</v>
      </c>
      <c r="E892" t="n">
        <v>2</v>
      </c>
      <c r="F892" t="inlineStr">
        <is>
          <t>CLASE</t>
        </is>
      </c>
      <c r="G892" t="inlineStr">
        <is>
          <t>CS202</t>
        </is>
      </c>
      <c r="H892" t="inlineStr">
        <is>
          <t>ART</t>
        </is>
      </c>
      <c r="I892" t="inlineStr"/>
      <c r="J892" t="inlineStr"/>
      <c r="K892" t="inlineStr"/>
      <c r="L892" t="inlineStr">
        <is>
          <t>CS 2-2</t>
        </is>
      </c>
      <c r="M892" t="inlineStr"/>
      <c r="N892">
        <f>C892&amp;"|"&amp;D892</f>
        <v/>
      </c>
      <c r="O892">
        <f>COUNTIF($N$2:N892,N892)</f>
        <v/>
      </c>
      <c r="P892">
        <f>N892&amp;"|"&amp;O892</f>
        <v/>
      </c>
      <c r="Q892">
        <f>C892&amp;"|"&amp;D892&amp;"|"&amp;A892</f>
        <v/>
      </c>
    </row>
    <row r="893">
      <c r="A893" t="n">
        <v>9</v>
      </c>
      <c r="B893" t="inlineStr">
        <is>
          <t>Castillo Angulo Martha Cecilia</t>
        </is>
      </c>
      <c r="C893" t="inlineStr">
        <is>
          <t>VIERNES</t>
        </is>
      </c>
      <c r="D893" t="n">
        <v>3</v>
      </c>
      <c r="E893" t="n">
        <v>2</v>
      </c>
      <c r="F893" t="inlineStr">
        <is>
          <t>ENFASIS</t>
        </is>
      </c>
      <c r="G893" t="inlineStr"/>
      <c r="H893" t="inlineStr">
        <is>
          <t>ETR</t>
        </is>
      </c>
      <c r="I893" t="inlineStr">
        <is>
          <t>0802</t>
        </is>
      </c>
      <c r="J893" t="inlineStr">
        <is>
          <t>PAREJA: comparten el énfasis y alternan por semana</t>
        </is>
      </c>
      <c r="K893" t="inlineStr">
        <is>
          <t>Ortiz Araujo Adiela Carlota (CSI)</t>
        </is>
      </c>
      <c r="L893" t="inlineStr">
        <is>
          <t>ÉNFASIS 8°-2</t>
        </is>
      </c>
      <c r="M893" t="inlineStr">
        <is>
          <t>PAREJA: comparten el énfasis y alternan por semana · Con: Ortiz Araujo Adiela Carlota (CSI)</t>
        </is>
      </c>
      <c r="N893">
        <f>C893&amp;"|"&amp;D893</f>
        <v/>
      </c>
      <c r="O893">
        <f>COUNTIF($N$2:N893,N893)</f>
        <v/>
      </c>
      <c r="P893">
        <f>N893&amp;"|"&amp;O893</f>
        <v/>
      </c>
      <c r="Q893">
        <f>C893&amp;"|"&amp;D893&amp;"|"&amp;A893</f>
        <v/>
      </c>
    </row>
    <row r="894">
      <c r="A894" t="n">
        <v>19</v>
      </c>
      <c r="B894" t="inlineStr">
        <is>
          <t>Fernández Vélez Alfredo Enrique</t>
        </is>
      </c>
      <c r="C894" t="inlineStr">
        <is>
          <t>VIERNES</t>
        </is>
      </c>
      <c r="D894" t="n">
        <v>3</v>
      </c>
      <c r="E894" t="n">
        <v>2</v>
      </c>
      <c r="F894" t="inlineStr">
        <is>
          <t>ENFASIS</t>
        </is>
      </c>
      <c r="G894" t="inlineStr"/>
      <c r="H894" t="inlineStr">
        <is>
          <t>TEI</t>
        </is>
      </c>
      <c r="I894" t="inlineStr">
        <is>
          <t>0802</t>
        </is>
      </c>
      <c r="J894" t="inlineStr">
        <is>
          <t>PAREJA: comparten el énfasis y alternan por semana</t>
        </is>
      </c>
      <c r="K894" t="inlineStr">
        <is>
          <t>Preciado Torres Oleisa (MAT)</t>
        </is>
      </c>
      <c r="L894" t="inlineStr">
        <is>
          <t>ÉNFASIS 8°-2</t>
        </is>
      </c>
      <c r="M894" t="inlineStr">
        <is>
          <t>PAREJA: comparten el énfasis y alternan por semana · Con: Preciado Torres Oleisa (MAT)</t>
        </is>
      </c>
      <c r="N894">
        <f>C894&amp;"|"&amp;D894</f>
        <v/>
      </c>
      <c r="O894">
        <f>COUNTIF($N$2:N894,N894)</f>
        <v/>
      </c>
      <c r="P894">
        <f>N894&amp;"|"&amp;O894</f>
        <v/>
      </c>
      <c r="Q894">
        <f>C894&amp;"|"&amp;D894&amp;"|"&amp;A894</f>
        <v/>
      </c>
    </row>
    <row r="895">
      <c r="A895" t="n">
        <v>35</v>
      </c>
      <c r="B895" t="inlineStr">
        <is>
          <t>Ortiz Araujo Adiela Carlota</t>
        </is>
      </c>
      <c r="C895" t="inlineStr">
        <is>
          <t>VIERNES</t>
        </is>
      </c>
      <c r="D895" t="n">
        <v>3</v>
      </c>
      <c r="E895" t="n">
        <v>2</v>
      </c>
      <c r="F895" t="inlineStr">
        <is>
          <t>ENFASIS</t>
        </is>
      </c>
      <c r="G895" t="inlineStr"/>
      <c r="H895" t="inlineStr">
        <is>
          <t>CSI</t>
        </is>
      </c>
      <c r="I895" t="inlineStr">
        <is>
          <t>0802</t>
        </is>
      </c>
      <c r="J895" t="inlineStr">
        <is>
          <t>PAREJA: comparten el énfasis y alternan por semana</t>
        </is>
      </c>
      <c r="K895" t="inlineStr">
        <is>
          <t>Castillo Angulo Martha Cecilia (ETR)</t>
        </is>
      </c>
      <c r="L895" t="inlineStr">
        <is>
          <t>ÉNFASIS 8°-2</t>
        </is>
      </c>
      <c r="M895" t="inlineStr">
        <is>
          <t>PAREJA: comparten el énfasis y alternan por semana · Con: Castillo Angulo Martha Cecilia (ETR)</t>
        </is>
      </c>
      <c r="N895">
        <f>C895&amp;"|"&amp;D895</f>
        <v/>
      </c>
      <c r="O895">
        <f>COUNTIF($N$2:N895,N895)</f>
        <v/>
      </c>
      <c r="P895">
        <f>N895&amp;"|"&amp;O895</f>
        <v/>
      </c>
      <c r="Q895">
        <f>C895&amp;"|"&amp;D895&amp;"|"&amp;A895</f>
        <v/>
      </c>
    </row>
    <row r="896">
      <c r="A896" t="n">
        <v>38</v>
      </c>
      <c r="B896" t="inlineStr">
        <is>
          <t>Preciado Torres Oleisa</t>
        </is>
      </c>
      <c r="C896" t="inlineStr">
        <is>
          <t>VIERNES</t>
        </is>
      </c>
      <c r="D896" t="n">
        <v>3</v>
      </c>
      <c r="E896" t="n">
        <v>2</v>
      </c>
      <c r="F896" t="inlineStr">
        <is>
          <t>ENFASIS</t>
        </is>
      </c>
      <c r="G896" t="inlineStr"/>
      <c r="H896" t="inlineStr">
        <is>
          <t>MAT</t>
        </is>
      </c>
      <c r="I896" t="inlineStr">
        <is>
          <t>0802</t>
        </is>
      </c>
      <c r="J896" t="inlineStr">
        <is>
          <t>PAREJA: comparten el énfasis y alternan por semana</t>
        </is>
      </c>
      <c r="K896" t="inlineStr">
        <is>
          <t>Fernández Vélez Alfredo Enrique (TEI)</t>
        </is>
      </c>
      <c r="L896" t="inlineStr">
        <is>
          <t>ÉNFASIS 8°-2</t>
        </is>
      </c>
      <c r="M896" t="inlineStr">
        <is>
          <t>PAREJA: comparten el énfasis y alternan por semana · Con: Fernández Vélez Alfredo Enrique (TEI)</t>
        </is>
      </c>
      <c r="N896">
        <f>C896&amp;"|"&amp;D896</f>
        <v/>
      </c>
      <c r="O896">
        <f>COUNTIF($N$2:N896,N896)</f>
        <v/>
      </c>
      <c r="P896">
        <f>N896&amp;"|"&amp;O896</f>
        <v/>
      </c>
      <c r="Q896">
        <f>C896&amp;"|"&amp;D896&amp;"|"&amp;A896</f>
        <v/>
      </c>
    </row>
    <row r="897">
      <c r="A897" t="n">
        <v>5</v>
      </c>
      <c r="B897" t="inlineStr">
        <is>
          <t>Bastidas Valencia Zeneida Judith</t>
        </is>
      </c>
      <c r="C897" t="inlineStr">
        <is>
          <t>VIERNES</t>
        </is>
      </c>
      <c r="D897" t="n">
        <v>3</v>
      </c>
      <c r="E897" t="n">
        <v>2</v>
      </c>
      <c r="F897" t="inlineStr">
        <is>
          <t>ENFASIS</t>
        </is>
      </c>
      <c r="G897" t="inlineStr"/>
      <c r="H897" t="inlineStr">
        <is>
          <t>MAT</t>
        </is>
      </c>
      <c r="I897" t="inlineStr">
        <is>
          <t>0902</t>
        </is>
      </c>
      <c r="J897" t="inlineStr">
        <is>
          <t>EQUIPO DE 4: cada docente atiende un grupo de estudiantes en su área</t>
        </is>
      </c>
      <c r="K897" t="inlineStr">
        <is>
          <t>Betancourth Ocampo Yohana Patricia (CSI); Estacio Estupiñán Rosario (ETR); Mindineros Satizábal John Jáver (TEI)</t>
        </is>
      </c>
      <c r="L897" t="inlineStr">
        <is>
          <t>ÉNFASIS 9°-2</t>
        </is>
      </c>
      <c r="M897" t="inlineStr">
        <is>
          <t>EQUIPO DE 4: cada docente atiende un grupo de estudiantes en su área · Con: Betancourth Ocampo Yohana Patricia (CSI); Estacio Estupiñán Rosario (ETR); Mindineros Satizábal John Jáver (TEI)</t>
        </is>
      </c>
      <c r="N897">
        <f>C897&amp;"|"&amp;D897</f>
        <v/>
      </c>
      <c r="O897">
        <f>COUNTIF($N$2:N897,N897)</f>
        <v/>
      </c>
      <c r="P897">
        <f>N897&amp;"|"&amp;O897</f>
        <v/>
      </c>
      <c r="Q897">
        <f>C897&amp;"|"&amp;D897&amp;"|"&amp;A897</f>
        <v/>
      </c>
    </row>
    <row r="898">
      <c r="A898" t="n">
        <v>6</v>
      </c>
      <c r="B898" t="inlineStr">
        <is>
          <t>Betancourth Ocampo Yohana Patricia</t>
        </is>
      </c>
      <c r="C898" t="inlineStr">
        <is>
          <t>VIERNES</t>
        </is>
      </c>
      <c r="D898" t="n">
        <v>3</v>
      </c>
      <c r="E898" t="n">
        <v>2</v>
      </c>
      <c r="F898" t="inlineStr">
        <is>
          <t>ENFASIS</t>
        </is>
      </c>
      <c r="G898" t="inlineStr"/>
      <c r="H898" t="inlineStr">
        <is>
          <t>CSI</t>
        </is>
      </c>
      <c r="I898" t="inlineStr">
        <is>
          <t>0902</t>
        </is>
      </c>
      <c r="J898" t="inlineStr">
        <is>
          <t>EQUIPO DE 4: cada docente atiende un grupo de estudiantes en su área</t>
        </is>
      </c>
      <c r="K898" t="inlineStr">
        <is>
          <t>Estacio Estupiñán Rosario (ETR); Bastidas Valencia Zeneida Judith (MAT); Mindineros Satizábal John Jáver (TEI)</t>
        </is>
      </c>
      <c r="L898" t="inlineStr">
        <is>
          <t>ÉNFASIS 9°-2</t>
        </is>
      </c>
      <c r="M898" t="inlineStr">
        <is>
          <t>EQUIPO DE 4: cada docente atiende un grupo de estudiantes en su área · Con: Estacio Estupiñán Rosario (ETR); Bastidas Valencia Zeneida Judith (MAT); Mindineros Satizábal John Jáver (TEI)</t>
        </is>
      </c>
      <c r="N898">
        <f>C898&amp;"|"&amp;D898</f>
        <v/>
      </c>
      <c r="O898">
        <f>COUNTIF($N$2:N898,N898)</f>
        <v/>
      </c>
      <c r="P898">
        <f>N898&amp;"|"&amp;O898</f>
        <v/>
      </c>
      <c r="Q898">
        <f>C898&amp;"|"&amp;D898&amp;"|"&amp;A898</f>
        <v/>
      </c>
    </row>
    <row r="899">
      <c r="A899" t="n">
        <v>18</v>
      </c>
      <c r="B899" t="inlineStr">
        <is>
          <t>Estacio Estupiñán Rosario</t>
        </is>
      </c>
      <c r="C899" t="inlineStr">
        <is>
          <t>VIERNES</t>
        </is>
      </c>
      <c r="D899" t="n">
        <v>3</v>
      </c>
      <c r="E899" t="n">
        <v>2</v>
      </c>
      <c r="F899" t="inlineStr">
        <is>
          <t>ENFASIS</t>
        </is>
      </c>
      <c r="G899" t="inlineStr"/>
      <c r="H899" t="inlineStr">
        <is>
          <t>ETR</t>
        </is>
      </c>
      <c r="I899" t="inlineStr">
        <is>
          <t>0902</t>
        </is>
      </c>
      <c r="J899" t="inlineStr">
        <is>
          <t>EQUIPO DE 4: cada docente atiende un grupo de estudiantes en su área</t>
        </is>
      </c>
      <c r="K899" t="inlineStr">
        <is>
          <t>Betancourth Ocampo Yohana Patricia (CSI); Bastidas Valencia Zeneida Judith (MAT); Mindineros Satizábal John Jáver (TEI)</t>
        </is>
      </c>
      <c r="L899" t="inlineStr">
        <is>
          <t>ÉNFASIS 9°-2</t>
        </is>
      </c>
      <c r="M899" t="inlineStr">
        <is>
          <t>EQUIPO DE 4: cada docente atiende un grupo de estudiantes en su área · Con: Betancourth Ocampo Yohana Patricia (CSI); Bastidas Valencia Zeneida Judith (MAT); Mindineros Satizábal John Jáver (TEI)</t>
        </is>
      </c>
      <c r="N899">
        <f>C899&amp;"|"&amp;D899</f>
        <v/>
      </c>
      <c r="O899">
        <f>COUNTIF($N$2:N899,N899)</f>
        <v/>
      </c>
      <c r="P899">
        <f>N899&amp;"|"&amp;O899</f>
        <v/>
      </c>
      <c r="Q899">
        <f>C899&amp;"|"&amp;D899&amp;"|"&amp;A899</f>
        <v/>
      </c>
    </row>
    <row r="900">
      <c r="A900" t="n">
        <v>29</v>
      </c>
      <c r="B900" t="inlineStr">
        <is>
          <t>Mindineros Satizábal John Jáver</t>
        </is>
      </c>
      <c r="C900" t="inlineStr">
        <is>
          <t>VIERNES</t>
        </is>
      </c>
      <c r="D900" t="n">
        <v>3</v>
      </c>
      <c r="E900" t="n">
        <v>2</v>
      </c>
      <c r="F900" t="inlineStr">
        <is>
          <t>ENFASIS</t>
        </is>
      </c>
      <c r="G900" t="inlineStr"/>
      <c r="H900" t="inlineStr">
        <is>
          <t>TEI</t>
        </is>
      </c>
      <c r="I900" t="inlineStr">
        <is>
          <t>0902</t>
        </is>
      </c>
      <c r="J900" t="inlineStr">
        <is>
          <t>EQUIPO DE 4: cada docente atiende un grupo de estudiantes en su área</t>
        </is>
      </c>
      <c r="K900" t="inlineStr">
        <is>
          <t>Betancourth Ocampo Yohana Patricia (CSI); Estacio Estupiñán Rosario (ETR); Bastidas Valencia Zeneida Judith (MAT)</t>
        </is>
      </c>
      <c r="L900" t="inlineStr">
        <is>
          <t>ÉNFASIS 9°-2</t>
        </is>
      </c>
      <c r="M900" t="inlineStr">
        <is>
          <t>EQUIPO DE 4: cada docente atiende un grupo de estudiantes en su área · Con: Betancourth Ocampo Yohana Patricia (CSI); Estacio Estupiñán Rosario (ETR); Bastidas Valencia Zeneida Judith (MAT)</t>
        </is>
      </c>
      <c r="N900">
        <f>C900&amp;"|"&amp;D900</f>
        <v/>
      </c>
      <c r="O900">
        <f>COUNTIF($N$2:N900,N900)</f>
        <v/>
      </c>
      <c r="P900">
        <f>N900&amp;"|"&amp;O900</f>
        <v/>
      </c>
      <c r="Q900">
        <f>C900&amp;"|"&amp;D900&amp;"|"&amp;A900</f>
        <v/>
      </c>
    </row>
    <row r="901">
      <c r="A901" t="n">
        <v>2</v>
      </c>
      <c r="B901" t="inlineStr">
        <is>
          <t>Angulo Lucero Andrés Mauricio</t>
        </is>
      </c>
      <c r="C901" t="inlineStr">
        <is>
          <t>VIERNES</t>
        </is>
      </c>
      <c r="D901" t="n">
        <v>3</v>
      </c>
      <c r="E901" t="n">
        <v>2</v>
      </c>
      <c r="F901" t="inlineStr">
        <is>
          <t>ENFASIS</t>
        </is>
      </c>
      <c r="G901" t="inlineStr"/>
      <c r="H901" t="inlineStr">
        <is>
          <t>TEI</t>
        </is>
      </c>
      <c r="I901" t="inlineStr">
        <is>
          <t>1002</t>
        </is>
      </c>
      <c r="J901" t="inlineStr">
        <is>
          <t>EQUIPO DE 4: cada docente atiende un grupo de estudiantes en su área</t>
        </is>
      </c>
      <c r="K901" t="inlineStr">
        <is>
          <t>Pulgarín Ortiz César Marino (CSI); Montaño Arizala Leidis Claudina (ETR); Villota Rubio Janeth del Carmen (MAT)</t>
        </is>
      </c>
      <c r="L901" t="inlineStr">
        <is>
          <t>ÉNFASIS 10°-2</t>
        </is>
      </c>
      <c r="M901" t="inlineStr">
        <is>
          <t>EQUIPO DE 4: cada docente atiende un grupo de estudiantes en su área · Con: Pulgarín Ortiz César Marino (CSI); Montaño Arizala Leidis Claudina (ETR); Villota Rubio Janeth del Carmen (MAT)</t>
        </is>
      </c>
      <c r="N901">
        <f>C901&amp;"|"&amp;D901</f>
        <v/>
      </c>
      <c r="O901">
        <f>COUNTIF($N$2:N901,N901)</f>
        <v/>
      </c>
      <c r="P901">
        <f>N901&amp;"|"&amp;O901</f>
        <v/>
      </c>
      <c r="Q901">
        <f>C901&amp;"|"&amp;D901&amp;"|"&amp;A901</f>
        <v/>
      </c>
    </row>
    <row r="902">
      <c r="A902" t="n">
        <v>31</v>
      </c>
      <c r="B902" t="inlineStr">
        <is>
          <t>Montaño Arizala Leidis Claudina</t>
        </is>
      </c>
      <c r="C902" t="inlineStr">
        <is>
          <t>VIERNES</t>
        </is>
      </c>
      <c r="D902" t="n">
        <v>3</v>
      </c>
      <c r="E902" t="n">
        <v>2</v>
      </c>
      <c r="F902" t="inlineStr">
        <is>
          <t>ENFASIS</t>
        </is>
      </c>
      <c r="G902" t="inlineStr"/>
      <c r="H902" t="inlineStr">
        <is>
          <t>ETR</t>
        </is>
      </c>
      <c r="I902" t="inlineStr">
        <is>
          <t>1002</t>
        </is>
      </c>
      <c r="J902" t="inlineStr">
        <is>
          <t>EQUIPO DE 4: cada docente atiende un grupo de estudiantes en su área</t>
        </is>
      </c>
      <c r="K902" t="inlineStr">
        <is>
          <t>Pulgarín Ortiz César Marino (CSI); Villota Rubio Janeth del Carmen (MAT); Angulo Lucero Andrés Mauricio (TEI)</t>
        </is>
      </c>
      <c r="L902" t="inlineStr">
        <is>
          <t>ÉNFASIS 10°-2</t>
        </is>
      </c>
      <c r="M902" t="inlineStr">
        <is>
          <t>EQUIPO DE 4: cada docente atiende un grupo de estudiantes en su área · Con: Pulgarín Ortiz César Marino (CSI); Villota Rubio Janeth del Carmen (MAT); Angulo Lucero Andrés Mauricio (TEI)</t>
        </is>
      </c>
      <c r="N902">
        <f>C902&amp;"|"&amp;D902</f>
        <v/>
      </c>
      <c r="O902">
        <f>COUNTIF($N$2:N902,N902)</f>
        <v/>
      </c>
      <c r="P902">
        <f>N902&amp;"|"&amp;O902</f>
        <v/>
      </c>
      <c r="Q902">
        <f>C902&amp;"|"&amp;D902&amp;"|"&amp;A902</f>
        <v/>
      </c>
    </row>
    <row r="903">
      <c r="A903" t="n">
        <v>40</v>
      </c>
      <c r="B903" t="inlineStr">
        <is>
          <t>Pulgarín Ortiz César Marino</t>
        </is>
      </c>
      <c r="C903" t="inlineStr">
        <is>
          <t>VIERNES</t>
        </is>
      </c>
      <c r="D903" t="n">
        <v>3</v>
      </c>
      <c r="E903" t="n">
        <v>2</v>
      </c>
      <c r="F903" t="inlineStr">
        <is>
          <t>ENFASIS</t>
        </is>
      </c>
      <c r="G903" t="inlineStr"/>
      <c r="H903" t="inlineStr">
        <is>
          <t>CSI</t>
        </is>
      </c>
      <c r="I903" t="inlineStr">
        <is>
          <t>1002</t>
        </is>
      </c>
      <c r="J903" t="inlineStr">
        <is>
          <t>EQUIPO DE 4: cada docente atiende un grupo de estudiantes en su área</t>
        </is>
      </c>
      <c r="K903" t="inlineStr">
        <is>
          <t>Montaño Arizala Leidis Claudina (ETR); Villota Rubio Janeth del Carmen (MAT); Angulo Lucero Andrés Mauricio (TEI)</t>
        </is>
      </c>
      <c r="L903" t="inlineStr">
        <is>
          <t>ÉNFASIS 10°-2</t>
        </is>
      </c>
      <c r="M903" t="inlineStr">
        <is>
          <t>EQUIPO DE 4: cada docente atiende un grupo de estudiantes en su área · Con: Montaño Arizala Leidis Claudina (ETR); Villota Rubio Janeth del Carmen (MAT); Angulo Lucero Andrés Mauricio (TEI)</t>
        </is>
      </c>
      <c r="N903">
        <f>C903&amp;"|"&amp;D903</f>
        <v/>
      </c>
      <c r="O903">
        <f>COUNTIF($N$2:N903,N903)</f>
        <v/>
      </c>
      <c r="P903">
        <f>N903&amp;"|"&amp;O903</f>
        <v/>
      </c>
      <c r="Q903">
        <f>C903&amp;"|"&amp;D903&amp;"|"&amp;A903</f>
        <v/>
      </c>
    </row>
    <row r="904">
      <c r="A904" t="n">
        <v>54</v>
      </c>
      <c r="B904" t="inlineStr">
        <is>
          <t>Villota Rubio Janeth del Carmen</t>
        </is>
      </c>
      <c r="C904" t="inlineStr">
        <is>
          <t>VIERNES</t>
        </is>
      </c>
      <c r="D904" t="n">
        <v>3</v>
      </c>
      <c r="E904" t="n">
        <v>2</v>
      </c>
      <c r="F904" t="inlineStr">
        <is>
          <t>ENFASIS</t>
        </is>
      </c>
      <c r="G904" t="inlineStr"/>
      <c r="H904" t="inlineStr">
        <is>
          <t>MAT</t>
        </is>
      </c>
      <c r="I904" t="inlineStr">
        <is>
          <t>1002</t>
        </is>
      </c>
      <c r="J904" t="inlineStr">
        <is>
          <t>EQUIPO DE 4: cada docente atiende un grupo de estudiantes en su área</t>
        </is>
      </c>
      <c r="K904" t="inlineStr">
        <is>
          <t>Pulgarín Ortiz César Marino (CSI); Montaño Arizala Leidis Claudina (ETR); Angulo Lucero Andrés Mauricio (TEI)</t>
        </is>
      </c>
      <c r="L904" t="inlineStr">
        <is>
          <t>ÉNFASIS 10°-2</t>
        </is>
      </c>
      <c r="M904" t="inlineStr">
        <is>
          <t>EQUIPO DE 4: cada docente atiende un grupo de estudiantes en su área · Con: Pulgarín Ortiz César Marino (CSI); Montaño Arizala Leidis Claudina (ETR); Angulo Lucero Andrés Mauricio (TEI)</t>
        </is>
      </c>
      <c r="N904">
        <f>C904&amp;"|"&amp;D904</f>
        <v/>
      </c>
      <c r="O904">
        <f>COUNTIF($N$2:N904,N904)</f>
        <v/>
      </c>
      <c r="P904">
        <f>N904&amp;"|"&amp;O904</f>
        <v/>
      </c>
      <c r="Q904">
        <f>C904&amp;"|"&amp;D904&amp;"|"&amp;A904</f>
        <v/>
      </c>
    </row>
    <row r="905">
      <c r="A905" t="n">
        <v>16</v>
      </c>
      <c r="B905" t="inlineStr">
        <is>
          <t>Cuero Rincón Hernando Jesús</t>
        </is>
      </c>
      <c r="C905" t="inlineStr">
        <is>
          <t>VIERNES</t>
        </is>
      </c>
      <c r="D905" t="n">
        <v>4</v>
      </c>
      <c r="E905" t="n">
        <v>2</v>
      </c>
      <c r="F905" t="inlineStr">
        <is>
          <t>CLASE</t>
        </is>
      </c>
      <c r="G905" t="inlineStr">
        <is>
          <t>0601</t>
        </is>
      </c>
      <c r="H905" t="inlineStr">
        <is>
          <t>TEI</t>
        </is>
      </c>
      <c r="I905" t="inlineStr"/>
      <c r="J905" t="inlineStr"/>
      <c r="K905" t="inlineStr"/>
      <c r="L905" t="inlineStr">
        <is>
          <t>6°-1</t>
        </is>
      </c>
      <c r="M905" t="inlineStr"/>
      <c r="N905">
        <f>C905&amp;"|"&amp;D905</f>
        <v/>
      </c>
      <c r="O905">
        <f>COUNTIF($N$2:N905,N905)</f>
        <v/>
      </c>
      <c r="P905">
        <f>N905&amp;"|"&amp;O905</f>
        <v/>
      </c>
      <c r="Q905">
        <f>C905&amp;"|"&amp;D905&amp;"|"&amp;A905</f>
        <v/>
      </c>
    </row>
    <row r="906">
      <c r="A906" t="n">
        <v>37</v>
      </c>
      <c r="B906" t="inlineStr">
        <is>
          <t>Prado Quiñones Genís Maribel</t>
        </is>
      </c>
      <c r="C906" t="inlineStr">
        <is>
          <t>VIERNES</t>
        </is>
      </c>
      <c r="D906" t="n">
        <v>4</v>
      </c>
      <c r="E906" t="n">
        <v>2</v>
      </c>
      <c r="F906" t="inlineStr">
        <is>
          <t>CLASE</t>
        </is>
      </c>
      <c r="G906" t="inlineStr">
        <is>
          <t>0602</t>
        </is>
      </c>
      <c r="H906" t="inlineStr">
        <is>
          <t>CNA</t>
        </is>
      </c>
      <c r="I906" t="inlineStr"/>
      <c r="J906" t="inlineStr"/>
      <c r="K906" t="inlineStr"/>
      <c r="L906" t="inlineStr">
        <is>
          <t>6°-2</t>
        </is>
      </c>
      <c r="M906" t="inlineStr"/>
      <c r="N906">
        <f>C906&amp;"|"&amp;D906</f>
        <v/>
      </c>
      <c r="O906">
        <f>COUNTIF($N$2:N906,N906)</f>
        <v/>
      </c>
      <c r="P906">
        <f>N906&amp;"|"&amp;O906</f>
        <v/>
      </c>
      <c r="Q906">
        <f>C906&amp;"|"&amp;D906&amp;"|"&amp;A906</f>
        <v/>
      </c>
    </row>
    <row r="907">
      <c r="A907" t="n">
        <v>10</v>
      </c>
      <c r="B907" t="inlineStr">
        <is>
          <t>Castillo Cuero Daira Eneida</t>
        </is>
      </c>
      <c r="C907" t="inlineStr">
        <is>
          <t>VIERNES</t>
        </is>
      </c>
      <c r="D907" t="n">
        <v>4</v>
      </c>
      <c r="E907" t="n">
        <v>2</v>
      </c>
      <c r="F907" t="inlineStr">
        <is>
          <t>CLASE</t>
        </is>
      </c>
      <c r="G907" t="inlineStr">
        <is>
          <t>0701</t>
        </is>
      </c>
      <c r="H907" t="inlineStr">
        <is>
          <t>CAS</t>
        </is>
      </c>
      <c r="I907" t="inlineStr"/>
      <c r="J907" t="inlineStr"/>
      <c r="K907" t="inlineStr"/>
      <c r="L907" t="inlineStr">
        <is>
          <t>7°-1</t>
        </is>
      </c>
      <c r="M907" t="inlineStr"/>
      <c r="N907">
        <f>C907&amp;"|"&amp;D907</f>
        <v/>
      </c>
      <c r="O907">
        <f>COUNTIF($N$2:N907,N907)</f>
        <v/>
      </c>
      <c r="P907">
        <f>N907&amp;"|"&amp;O907</f>
        <v/>
      </c>
      <c r="Q907">
        <f>C907&amp;"|"&amp;D907&amp;"|"&amp;A907</f>
        <v/>
      </c>
    </row>
    <row r="908">
      <c r="A908" t="n">
        <v>34</v>
      </c>
      <c r="B908" t="inlineStr">
        <is>
          <t>Ordóñez Tenorio Jaime Marcial</t>
        </is>
      </c>
      <c r="C908" t="inlineStr">
        <is>
          <t>VIERNES</t>
        </is>
      </c>
      <c r="D908" t="n">
        <v>4</v>
      </c>
      <c r="E908" t="n">
        <v>2</v>
      </c>
      <c r="F908" t="inlineStr">
        <is>
          <t>CLASE</t>
        </is>
      </c>
      <c r="G908" t="inlineStr">
        <is>
          <t>0702</t>
        </is>
      </c>
      <c r="H908" t="inlineStr">
        <is>
          <t>CNA</t>
        </is>
      </c>
      <c r="I908" t="inlineStr"/>
      <c r="J908" t="inlineStr"/>
      <c r="K908" t="inlineStr"/>
      <c r="L908" t="inlineStr">
        <is>
          <t>7°-2</t>
        </is>
      </c>
      <c r="M908" t="inlineStr"/>
      <c r="N908">
        <f>C908&amp;"|"&amp;D908</f>
        <v/>
      </c>
      <c r="O908">
        <f>COUNTIF($N$2:N908,N908)</f>
        <v/>
      </c>
      <c r="P908">
        <f>N908&amp;"|"&amp;O908</f>
        <v/>
      </c>
      <c r="Q908">
        <f>C908&amp;"|"&amp;D908&amp;"|"&amp;A908</f>
        <v/>
      </c>
    </row>
    <row r="909">
      <c r="A909" t="n">
        <v>1</v>
      </c>
      <c r="B909" t="inlineStr">
        <is>
          <t>Aguirre Riascos Jorge Andrés</t>
        </is>
      </c>
      <c r="C909" t="inlineStr">
        <is>
          <t>VIERNES</t>
        </is>
      </c>
      <c r="D909" t="n">
        <v>4</v>
      </c>
      <c r="E909" t="n">
        <v>2</v>
      </c>
      <c r="F909" t="inlineStr">
        <is>
          <t>CLASE</t>
        </is>
      </c>
      <c r="G909" t="inlineStr">
        <is>
          <t>0703</t>
        </is>
      </c>
      <c r="H909" t="inlineStr">
        <is>
          <t>TEI</t>
        </is>
      </c>
      <c r="I909" t="inlineStr"/>
      <c r="J909" t="inlineStr"/>
      <c r="K909" t="inlineStr"/>
      <c r="L909" t="inlineStr">
        <is>
          <t>7°-3</t>
        </is>
      </c>
      <c r="M909" t="inlineStr"/>
      <c r="N909">
        <f>C909&amp;"|"&amp;D909</f>
        <v/>
      </c>
      <c r="O909">
        <f>COUNTIF($N$2:N909,N909)</f>
        <v/>
      </c>
      <c r="P909">
        <f>N909&amp;"|"&amp;O909</f>
        <v/>
      </c>
      <c r="Q909">
        <f>C909&amp;"|"&amp;D909&amp;"|"&amp;A909</f>
        <v/>
      </c>
    </row>
    <row r="910">
      <c r="A910" t="n">
        <v>39</v>
      </c>
      <c r="B910" t="inlineStr">
        <is>
          <t>Puches Ana Milena</t>
        </is>
      </c>
      <c r="C910" t="inlineStr">
        <is>
          <t>VIERNES</t>
        </is>
      </c>
      <c r="D910" t="n">
        <v>4</v>
      </c>
      <c r="E910" t="n">
        <v>2</v>
      </c>
      <c r="F910" t="inlineStr">
        <is>
          <t>CLASE</t>
        </is>
      </c>
      <c r="G910" t="inlineStr">
        <is>
          <t>0704</t>
        </is>
      </c>
      <c r="H910" t="inlineStr">
        <is>
          <t>ART</t>
        </is>
      </c>
      <c r="I910" t="inlineStr"/>
      <c r="J910" t="inlineStr"/>
      <c r="K910" t="inlineStr"/>
      <c r="L910" t="inlineStr">
        <is>
          <t>7°-4</t>
        </is>
      </c>
      <c r="M910" t="inlineStr"/>
      <c r="N910">
        <f>C910&amp;"|"&amp;D910</f>
        <v/>
      </c>
      <c r="O910">
        <f>COUNTIF($N$2:N910,N910)</f>
        <v/>
      </c>
      <c r="P910">
        <f>N910&amp;"|"&amp;O910</f>
        <v/>
      </c>
      <c r="Q910">
        <f>C910&amp;"|"&amp;D910&amp;"|"&amp;A910</f>
        <v/>
      </c>
    </row>
    <row r="911">
      <c r="A911" t="n">
        <v>15</v>
      </c>
      <c r="B911" t="inlineStr">
        <is>
          <t>Cuero Bamba Berte Levi</t>
        </is>
      </c>
      <c r="C911" t="inlineStr">
        <is>
          <t>VIERNES</t>
        </is>
      </c>
      <c r="D911" t="n">
        <v>4</v>
      </c>
      <c r="E911" t="n">
        <v>2</v>
      </c>
      <c r="F911" t="inlineStr">
        <is>
          <t>CLASE</t>
        </is>
      </c>
      <c r="G911" t="inlineStr">
        <is>
          <t>0801</t>
        </is>
      </c>
      <c r="H911" t="inlineStr">
        <is>
          <t>ERD</t>
        </is>
      </c>
      <c r="I911" t="inlineStr"/>
      <c r="J911" t="inlineStr"/>
      <c r="K911" t="inlineStr"/>
      <c r="L911" t="inlineStr">
        <is>
          <t>8°-1</t>
        </is>
      </c>
      <c r="M911" t="inlineStr"/>
      <c r="N911">
        <f>C911&amp;"|"&amp;D911</f>
        <v/>
      </c>
      <c r="O911">
        <f>COUNTIF($N$2:N911,N911)</f>
        <v/>
      </c>
      <c r="P911">
        <f>N911&amp;"|"&amp;O911</f>
        <v/>
      </c>
      <c r="Q911">
        <f>C911&amp;"|"&amp;D911&amp;"|"&amp;A911</f>
        <v/>
      </c>
    </row>
    <row r="912">
      <c r="A912" t="n">
        <v>28</v>
      </c>
      <c r="B912" t="inlineStr">
        <is>
          <t>Meza Banguera Gladys Alicia</t>
        </is>
      </c>
      <c r="C912" t="inlineStr">
        <is>
          <t>VIERNES</t>
        </is>
      </c>
      <c r="D912" t="n">
        <v>4</v>
      </c>
      <c r="E912" t="n">
        <v>2</v>
      </c>
      <c r="F912" t="inlineStr">
        <is>
          <t>CLASE</t>
        </is>
      </c>
      <c r="G912" t="inlineStr">
        <is>
          <t>0901</t>
        </is>
      </c>
      <c r="H912" t="inlineStr">
        <is>
          <t>CAS</t>
        </is>
      </c>
      <c r="I912" t="inlineStr"/>
      <c r="J912" t="inlineStr"/>
      <c r="K912" t="inlineStr"/>
      <c r="L912" t="inlineStr">
        <is>
          <t>9°-1</t>
        </is>
      </c>
      <c r="M912" t="inlineStr"/>
      <c r="N912">
        <f>C912&amp;"|"&amp;D912</f>
        <v/>
      </c>
      <c r="O912">
        <f>COUNTIF($N$2:N912,N912)</f>
        <v/>
      </c>
      <c r="P912">
        <f>N912&amp;"|"&amp;O912</f>
        <v/>
      </c>
      <c r="Q912">
        <f>C912&amp;"|"&amp;D912&amp;"|"&amp;A912</f>
        <v/>
      </c>
    </row>
    <row r="913">
      <c r="A913" t="n">
        <v>49</v>
      </c>
      <c r="B913" t="inlineStr">
        <is>
          <t>Valencia Marínez Saidy Eufemia</t>
        </is>
      </c>
      <c r="C913" t="inlineStr">
        <is>
          <t>VIERNES</t>
        </is>
      </c>
      <c r="D913" t="n">
        <v>4</v>
      </c>
      <c r="E913" t="n">
        <v>2</v>
      </c>
      <c r="F913" t="inlineStr">
        <is>
          <t>CLASE</t>
        </is>
      </c>
      <c r="G913" t="inlineStr">
        <is>
          <t>1001</t>
        </is>
      </c>
      <c r="H913" t="inlineStr">
        <is>
          <t>ART</t>
        </is>
      </c>
      <c r="I913" t="inlineStr"/>
      <c r="J913" t="inlineStr"/>
      <c r="K913" t="inlineStr"/>
      <c r="L913" t="inlineStr">
        <is>
          <t>10°-1</t>
        </is>
      </c>
      <c r="M913" t="inlineStr"/>
      <c r="N913">
        <f>C913&amp;"|"&amp;D913</f>
        <v/>
      </c>
      <c r="O913">
        <f>COUNTIF($N$2:N913,N913)</f>
        <v/>
      </c>
      <c r="P913">
        <f>N913&amp;"|"&amp;O913</f>
        <v/>
      </c>
      <c r="Q913">
        <f>C913&amp;"|"&amp;D913&amp;"|"&amp;A913</f>
        <v/>
      </c>
    </row>
    <row r="914">
      <c r="A914" t="n">
        <v>30</v>
      </c>
      <c r="B914" t="inlineStr">
        <is>
          <t>Montaño Anchico Favio Héctor</t>
        </is>
      </c>
      <c r="C914" t="inlineStr">
        <is>
          <t>VIERNES</t>
        </is>
      </c>
      <c r="D914" t="n">
        <v>4</v>
      </c>
      <c r="E914" t="n">
        <v>2</v>
      </c>
      <c r="F914" t="inlineStr">
        <is>
          <t>CLASE</t>
        </is>
      </c>
      <c r="G914" t="inlineStr">
        <is>
          <t>1101</t>
        </is>
      </c>
      <c r="H914" t="inlineStr">
        <is>
          <t>CAS</t>
        </is>
      </c>
      <c r="I914" t="inlineStr"/>
      <c r="J914" t="inlineStr"/>
      <c r="K914" t="inlineStr"/>
      <c r="L914" t="inlineStr">
        <is>
          <t>11°-1</t>
        </is>
      </c>
      <c r="M914" t="inlineStr"/>
      <c r="N914">
        <f>C914&amp;"|"&amp;D914</f>
        <v/>
      </c>
      <c r="O914">
        <f>COUNTIF($N$2:N914,N914)</f>
        <v/>
      </c>
      <c r="P914">
        <f>N914&amp;"|"&amp;O914</f>
        <v/>
      </c>
      <c r="Q914">
        <f>C914&amp;"|"&amp;D914&amp;"|"&amp;A914</f>
        <v/>
      </c>
    </row>
    <row r="915">
      <c r="A915" t="n">
        <v>3</v>
      </c>
      <c r="B915" t="inlineStr">
        <is>
          <t>Arboleda Ortiz Luz América</t>
        </is>
      </c>
      <c r="C915" t="inlineStr">
        <is>
          <t>VIERNES</t>
        </is>
      </c>
      <c r="D915" t="n">
        <v>4</v>
      </c>
      <c r="E915" t="n">
        <v>2</v>
      </c>
      <c r="F915" t="inlineStr">
        <is>
          <t>CLASE</t>
        </is>
      </c>
      <c r="G915" t="inlineStr">
        <is>
          <t>1102</t>
        </is>
      </c>
      <c r="H915" t="inlineStr">
        <is>
          <t>ART</t>
        </is>
      </c>
      <c r="I915" t="inlineStr"/>
      <c r="J915" t="inlineStr"/>
      <c r="K915" t="inlineStr"/>
      <c r="L915" t="inlineStr">
        <is>
          <t>11°-2</t>
        </is>
      </c>
      <c r="M915" t="inlineStr"/>
      <c r="N915">
        <f>C915&amp;"|"&amp;D915</f>
        <v/>
      </c>
      <c r="O915">
        <f>COUNTIF($N$2:N915,N915)</f>
        <v/>
      </c>
      <c r="P915">
        <f>N915&amp;"|"&amp;O915</f>
        <v/>
      </c>
      <c r="Q915">
        <f>C915&amp;"|"&amp;D915&amp;"|"&amp;A915</f>
        <v/>
      </c>
    </row>
    <row r="916">
      <c r="A916" t="n">
        <v>26</v>
      </c>
      <c r="B916" t="inlineStr">
        <is>
          <t>Lozano Torres Amanda Inés</t>
        </is>
      </c>
      <c r="C916" t="inlineStr">
        <is>
          <t>VIERNES</t>
        </is>
      </c>
      <c r="D916" t="n">
        <v>4</v>
      </c>
      <c r="E916" t="n">
        <v>2</v>
      </c>
      <c r="F916" t="inlineStr">
        <is>
          <t>CLASE</t>
        </is>
      </c>
      <c r="G916" t="inlineStr">
        <is>
          <t>CS101</t>
        </is>
      </c>
      <c r="H916" t="inlineStr">
        <is>
          <t>ETR</t>
        </is>
      </c>
      <c r="I916" t="inlineStr"/>
      <c r="J916" t="inlineStr">
        <is>
          <t>Ética / Religión (alternan cada semana)</t>
        </is>
      </c>
      <c r="K916" t="inlineStr"/>
      <c r="L916" t="inlineStr">
        <is>
          <t>CS 1-1</t>
        </is>
      </c>
      <c r="M916" t="inlineStr">
        <is>
          <t>Ética / Religión (alternan cada semana)</t>
        </is>
      </c>
      <c r="N916">
        <f>C916&amp;"|"&amp;D916</f>
        <v/>
      </c>
      <c r="O916">
        <f>COUNTIF($N$2:N916,N916)</f>
        <v/>
      </c>
      <c r="P916">
        <f>N916&amp;"|"&amp;O916</f>
        <v/>
      </c>
      <c r="Q916">
        <f>C916&amp;"|"&amp;D916&amp;"|"&amp;A916</f>
        <v/>
      </c>
    </row>
    <row r="917">
      <c r="A917" t="n">
        <v>20</v>
      </c>
      <c r="B917" t="inlineStr">
        <is>
          <t>García Gobea Saydi Magali</t>
        </is>
      </c>
      <c r="C917" t="inlineStr">
        <is>
          <t>VIERNES</t>
        </is>
      </c>
      <c r="D917" t="n">
        <v>4</v>
      </c>
      <c r="E917" t="n">
        <v>2</v>
      </c>
      <c r="F917" t="inlineStr">
        <is>
          <t>CLASE</t>
        </is>
      </c>
      <c r="G917" t="inlineStr">
        <is>
          <t>CS102</t>
        </is>
      </c>
      <c r="H917" t="inlineStr">
        <is>
          <t>CSI</t>
        </is>
      </c>
      <c r="I917" t="inlineStr"/>
      <c r="J917" t="inlineStr">
        <is>
          <t>Sociales / Inglés (alternan cada semana)</t>
        </is>
      </c>
      <c r="K917" t="inlineStr"/>
      <c r="L917" t="inlineStr">
        <is>
          <t>CS 1-2</t>
        </is>
      </c>
      <c r="M917" t="inlineStr">
        <is>
          <t>Sociales / Inglés (alternan cada semana)</t>
        </is>
      </c>
      <c r="N917">
        <f>C917&amp;"|"&amp;D917</f>
        <v/>
      </c>
      <c r="O917">
        <f>COUNTIF($N$2:N917,N917)</f>
        <v/>
      </c>
      <c r="P917">
        <f>N917&amp;"|"&amp;O917</f>
        <v/>
      </c>
      <c r="Q917">
        <f>C917&amp;"|"&amp;D917&amp;"|"&amp;A917</f>
        <v/>
      </c>
    </row>
    <row r="918">
      <c r="A918" t="n">
        <v>12</v>
      </c>
      <c r="B918" t="inlineStr">
        <is>
          <t>Chillambo Quiñones María Rocío</t>
        </is>
      </c>
      <c r="C918" t="inlineStr">
        <is>
          <t>VIERNES</t>
        </is>
      </c>
      <c r="D918" t="n">
        <v>4</v>
      </c>
      <c r="E918" t="n">
        <v>2</v>
      </c>
      <c r="F918" t="inlineStr">
        <is>
          <t>CLASE</t>
        </is>
      </c>
      <c r="G918" t="inlineStr">
        <is>
          <t>CS201</t>
        </is>
      </c>
      <c r="H918" t="inlineStr">
        <is>
          <t>CNA</t>
        </is>
      </c>
      <c r="I918" t="inlineStr"/>
      <c r="J918" t="inlineStr"/>
      <c r="K918" t="inlineStr"/>
      <c r="L918" t="inlineStr">
        <is>
          <t>CS 2-1</t>
        </is>
      </c>
      <c r="M918" t="inlineStr"/>
      <c r="N918">
        <f>C918&amp;"|"&amp;D918</f>
        <v/>
      </c>
      <c r="O918">
        <f>COUNTIF($N$2:N918,N918)</f>
        <v/>
      </c>
      <c r="P918">
        <f>N918&amp;"|"&amp;O918</f>
        <v/>
      </c>
      <c r="Q918">
        <f>C918&amp;"|"&amp;D918&amp;"|"&amp;A918</f>
        <v/>
      </c>
    </row>
    <row r="919">
      <c r="A919" t="n">
        <v>44</v>
      </c>
      <c r="B919" t="inlineStr">
        <is>
          <t>Samaniego Angulo Flor Mireya</t>
        </is>
      </c>
      <c r="C919" t="inlineStr">
        <is>
          <t>VIERNES</t>
        </is>
      </c>
      <c r="D919" t="n">
        <v>4</v>
      </c>
      <c r="E919" t="n">
        <v>2</v>
      </c>
      <c r="F919" t="inlineStr">
        <is>
          <t>CLASE</t>
        </is>
      </c>
      <c r="G919" t="inlineStr">
        <is>
          <t>CS202</t>
        </is>
      </c>
      <c r="H919" t="inlineStr">
        <is>
          <t>ART</t>
        </is>
      </c>
      <c r="I919" t="inlineStr"/>
      <c r="J919" t="inlineStr"/>
      <c r="K919" t="inlineStr"/>
      <c r="L919" t="inlineStr">
        <is>
          <t>CS 2-2</t>
        </is>
      </c>
      <c r="M919" t="inlineStr"/>
      <c r="N919">
        <f>C919&amp;"|"&amp;D919</f>
        <v/>
      </c>
      <c r="O919">
        <f>COUNTIF($N$2:N919,N919)</f>
        <v/>
      </c>
      <c r="P919">
        <f>N919&amp;"|"&amp;O919</f>
        <v/>
      </c>
      <c r="Q919">
        <f>C919&amp;"|"&amp;D919&amp;"|"&amp;A919</f>
        <v/>
      </c>
    </row>
    <row r="920">
      <c r="A920" t="n">
        <v>9</v>
      </c>
      <c r="B920" t="inlineStr">
        <is>
          <t>Castillo Angulo Martha Cecilia</t>
        </is>
      </c>
      <c r="C920" t="inlineStr">
        <is>
          <t>VIERNES</t>
        </is>
      </c>
      <c r="D920" t="n">
        <v>4</v>
      </c>
      <c r="E920" t="n">
        <v>2</v>
      </c>
      <c r="F920" t="inlineStr">
        <is>
          <t>ENFASIS</t>
        </is>
      </c>
      <c r="G920" t="inlineStr"/>
      <c r="H920" t="inlineStr">
        <is>
          <t>ETR</t>
        </is>
      </c>
      <c r="I920" t="inlineStr">
        <is>
          <t>0802</t>
        </is>
      </c>
      <c r="J920" t="inlineStr">
        <is>
          <t>PAREJA: comparten el énfasis y alternan por semana</t>
        </is>
      </c>
      <c r="K920" t="inlineStr">
        <is>
          <t>Ortiz Araujo Adiela Carlota (CSI)</t>
        </is>
      </c>
      <c r="L920" t="inlineStr">
        <is>
          <t>ÉNFASIS 8°-2</t>
        </is>
      </c>
      <c r="M920" t="inlineStr">
        <is>
          <t>PAREJA: comparten el énfasis y alternan por semana · Con: Ortiz Araujo Adiela Carlota (CSI)</t>
        </is>
      </c>
      <c r="N920">
        <f>C920&amp;"|"&amp;D920</f>
        <v/>
      </c>
      <c r="O920">
        <f>COUNTIF($N$2:N920,N920)</f>
        <v/>
      </c>
      <c r="P920">
        <f>N920&amp;"|"&amp;O920</f>
        <v/>
      </c>
      <c r="Q920">
        <f>C920&amp;"|"&amp;D920&amp;"|"&amp;A920</f>
        <v/>
      </c>
    </row>
    <row r="921">
      <c r="A921" t="n">
        <v>19</v>
      </c>
      <c r="B921" t="inlineStr">
        <is>
          <t>Fernández Vélez Alfredo Enrique</t>
        </is>
      </c>
      <c r="C921" t="inlineStr">
        <is>
          <t>VIERNES</t>
        </is>
      </c>
      <c r="D921" t="n">
        <v>4</v>
      </c>
      <c r="E921" t="n">
        <v>2</v>
      </c>
      <c r="F921" t="inlineStr">
        <is>
          <t>ENFASIS</t>
        </is>
      </c>
      <c r="G921" t="inlineStr"/>
      <c r="H921" t="inlineStr">
        <is>
          <t>TEI</t>
        </is>
      </c>
      <c r="I921" t="inlineStr">
        <is>
          <t>0802</t>
        </is>
      </c>
      <c r="J921" t="inlineStr">
        <is>
          <t>PAREJA: comparten el énfasis y alternan por semana</t>
        </is>
      </c>
      <c r="K921" t="inlineStr">
        <is>
          <t>Preciado Torres Oleisa (MAT)</t>
        </is>
      </c>
      <c r="L921" t="inlineStr">
        <is>
          <t>ÉNFASIS 8°-2</t>
        </is>
      </c>
      <c r="M921" t="inlineStr">
        <is>
          <t>PAREJA: comparten el énfasis y alternan por semana · Con: Preciado Torres Oleisa (MAT)</t>
        </is>
      </c>
      <c r="N921">
        <f>C921&amp;"|"&amp;D921</f>
        <v/>
      </c>
      <c r="O921">
        <f>COUNTIF($N$2:N921,N921)</f>
        <v/>
      </c>
      <c r="P921">
        <f>N921&amp;"|"&amp;O921</f>
        <v/>
      </c>
      <c r="Q921">
        <f>C921&amp;"|"&amp;D921&amp;"|"&amp;A921</f>
        <v/>
      </c>
    </row>
    <row r="922">
      <c r="A922" t="n">
        <v>35</v>
      </c>
      <c r="B922" t="inlineStr">
        <is>
          <t>Ortiz Araujo Adiela Carlota</t>
        </is>
      </c>
      <c r="C922" t="inlineStr">
        <is>
          <t>VIERNES</t>
        </is>
      </c>
      <c r="D922" t="n">
        <v>4</v>
      </c>
      <c r="E922" t="n">
        <v>2</v>
      </c>
      <c r="F922" t="inlineStr">
        <is>
          <t>ENFASIS</t>
        </is>
      </c>
      <c r="G922" t="inlineStr"/>
      <c r="H922" t="inlineStr">
        <is>
          <t>CSI</t>
        </is>
      </c>
      <c r="I922" t="inlineStr">
        <is>
          <t>0802</t>
        </is>
      </c>
      <c r="J922" t="inlineStr">
        <is>
          <t>PAREJA: comparten el énfasis y alternan por semana</t>
        </is>
      </c>
      <c r="K922" t="inlineStr">
        <is>
          <t>Castillo Angulo Martha Cecilia (ETR)</t>
        </is>
      </c>
      <c r="L922" t="inlineStr">
        <is>
          <t>ÉNFASIS 8°-2</t>
        </is>
      </c>
      <c r="M922" t="inlineStr">
        <is>
          <t>PAREJA: comparten el énfasis y alternan por semana · Con: Castillo Angulo Martha Cecilia (ETR)</t>
        </is>
      </c>
      <c r="N922">
        <f>C922&amp;"|"&amp;D922</f>
        <v/>
      </c>
      <c r="O922">
        <f>COUNTIF($N$2:N922,N922)</f>
        <v/>
      </c>
      <c r="P922">
        <f>N922&amp;"|"&amp;O922</f>
        <v/>
      </c>
      <c r="Q922">
        <f>C922&amp;"|"&amp;D922&amp;"|"&amp;A922</f>
        <v/>
      </c>
    </row>
    <row r="923">
      <c r="A923" t="n">
        <v>38</v>
      </c>
      <c r="B923" t="inlineStr">
        <is>
          <t>Preciado Torres Oleisa</t>
        </is>
      </c>
      <c r="C923" t="inlineStr">
        <is>
          <t>VIERNES</t>
        </is>
      </c>
      <c r="D923" t="n">
        <v>4</v>
      </c>
      <c r="E923" t="n">
        <v>2</v>
      </c>
      <c r="F923" t="inlineStr">
        <is>
          <t>ENFASIS</t>
        </is>
      </c>
      <c r="G923" t="inlineStr"/>
      <c r="H923" t="inlineStr">
        <is>
          <t>MAT</t>
        </is>
      </c>
      <c r="I923" t="inlineStr">
        <is>
          <t>0802</t>
        </is>
      </c>
      <c r="J923" t="inlineStr">
        <is>
          <t>PAREJA: comparten el énfasis y alternan por semana</t>
        </is>
      </c>
      <c r="K923" t="inlineStr">
        <is>
          <t>Fernández Vélez Alfredo Enrique (TEI)</t>
        </is>
      </c>
      <c r="L923" t="inlineStr">
        <is>
          <t>ÉNFASIS 8°-2</t>
        </is>
      </c>
      <c r="M923" t="inlineStr">
        <is>
          <t>PAREJA: comparten el énfasis y alternan por semana · Con: Fernández Vélez Alfredo Enrique (TEI)</t>
        </is>
      </c>
      <c r="N923">
        <f>C923&amp;"|"&amp;D923</f>
        <v/>
      </c>
      <c r="O923">
        <f>COUNTIF($N$2:N923,N923)</f>
        <v/>
      </c>
      <c r="P923">
        <f>N923&amp;"|"&amp;O923</f>
        <v/>
      </c>
      <c r="Q923">
        <f>C923&amp;"|"&amp;D923&amp;"|"&amp;A923</f>
        <v/>
      </c>
    </row>
    <row r="924">
      <c r="A924" t="n">
        <v>5</v>
      </c>
      <c r="B924" t="inlineStr">
        <is>
          <t>Bastidas Valencia Zeneida Judith</t>
        </is>
      </c>
      <c r="C924" t="inlineStr">
        <is>
          <t>VIERNES</t>
        </is>
      </c>
      <c r="D924" t="n">
        <v>4</v>
      </c>
      <c r="E924" t="n">
        <v>2</v>
      </c>
      <c r="F924" t="inlineStr">
        <is>
          <t>ENFASIS</t>
        </is>
      </c>
      <c r="G924" t="inlineStr"/>
      <c r="H924" t="inlineStr">
        <is>
          <t>MAT</t>
        </is>
      </c>
      <c r="I924" t="inlineStr">
        <is>
          <t>0902</t>
        </is>
      </c>
      <c r="J924" t="inlineStr">
        <is>
          <t>EQUIPO DE 4: cada docente atiende un grupo de estudiantes en su área</t>
        </is>
      </c>
      <c r="K924" t="inlineStr">
        <is>
          <t>Betancourth Ocampo Yohana Patricia (CSI); Estacio Estupiñán Rosario (ETR); Mindineros Satizábal John Jáver (TEI)</t>
        </is>
      </c>
      <c r="L924" t="inlineStr">
        <is>
          <t>ÉNFASIS 9°-2</t>
        </is>
      </c>
      <c r="M924" t="inlineStr">
        <is>
          <t>EQUIPO DE 4: cada docente atiende un grupo de estudiantes en su área · Con: Betancourth Ocampo Yohana Patricia (CSI); Estacio Estupiñán Rosario (ETR); Mindineros Satizábal John Jáver (TEI)</t>
        </is>
      </c>
      <c r="N924">
        <f>C924&amp;"|"&amp;D924</f>
        <v/>
      </c>
      <c r="O924">
        <f>COUNTIF($N$2:N924,N924)</f>
        <v/>
      </c>
      <c r="P924">
        <f>N924&amp;"|"&amp;O924</f>
        <v/>
      </c>
      <c r="Q924">
        <f>C924&amp;"|"&amp;D924&amp;"|"&amp;A924</f>
        <v/>
      </c>
    </row>
    <row r="925">
      <c r="A925" t="n">
        <v>6</v>
      </c>
      <c r="B925" t="inlineStr">
        <is>
          <t>Betancourth Ocampo Yohana Patricia</t>
        </is>
      </c>
      <c r="C925" t="inlineStr">
        <is>
          <t>VIERNES</t>
        </is>
      </c>
      <c r="D925" t="n">
        <v>4</v>
      </c>
      <c r="E925" t="n">
        <v>2</v>
      </c>
      <c r="F925" t="inlineStr">
        <is>
          <t>ENFASIS</t>
        </is>
      </c>
      <c r="G925" t="inlineStr"/>
      <c r="H925" t="inlineStr">
        <is>
          <t>CSI</t>
        </is>
      </c>
      <c r="I925" t="inlineStr">
        <is>
          <t>0902</t>
        </is>
      </c>
      <c r="J925" t="inlineStr">
        <is>
          <t>EQUIPO DE 4: cada docente atiende un grupo de estudiantes en su área</t>
        </is>
      </c>
      <c r="K925" t="inlineStr">
        <is>
          <t>Estacio Estupiñán Rosario (ETR); Bastidas Valencia Zeneida Judith (MAT); Mindineros Satizábal John Jáver (TEI)</t>
        </is>
      </c>
      <c r="L925" t="inlineStr">
        <is>
          <t>ÉNFASIS 9°-2</t>
        </is>
      </c>
      <c r="M925" t="inlineStr">
        <is>
          <t>EQUIPO DE 4: cada docente atiende un grupo de estudiantes en su área · Con: Estacio Estupiñán Rosario (ETR); Bastidas Valencia Zeneida Judith (MAT); Mindineros Satizábal John Jáver (TEI)</t>
        </is>
      </c>
      <c r="N925">
        <f>C925&amp;"|"&amp;D925</f>
        <v/>
      </c>
      <c r="O925">
        <f>COUNTIF($N$2:N925,N925)</f>
        <v/>
      </c>
      <c r="P925">
        <f>N925&amp;"|"&amp;O925</f>
        <v/>
      </c>
      <c r="Q925">
        <f>C925&amp;"|"&amp;D925&amp;"|"&amp;A925</f>
        <v/>
      </c>
    </row>
    <row r="926">
      <c r="A926" t="n">
        <v>18</v>
      </c>
      <c r="B926" t="inlineStr">
        <is>
          <t>Estacio Estupiñán Rosario</t>
        </is>
      </c>
      <c r="C926" t="inlineStr">
        <is>
          <t>VIERNES</t>
        </is>
      </c>
      <c r="D926" t="n">
        <v>4</v>
      </c>
      <c r="E926" t="n">
        <v>2</v>
      </c>
      <c r="F926" t="inlineStr">
        <is>
          <t>ENFASIS</t>
        </is>
      </c>
      <c r="G926" t="inlineStr"/>
      <c r="H926" t="inlineStr">
        <is>
          <t>ETR</t>
        </is>
      </c>
      <c r="I926" t="inlineStr">
        <is>
          <t>0902</t>
        </is>
      </c>
      <c r="J926" t="inlineStr">
        <is>
          <t>EQUIPO DE 4: cada docente atiende un grupo de estudiantes en su área</t>
        </is>
      </c>
      <c r="K926" t="inlineStr">
        <is>
          <t>Betancourth Ocampo Yohana Patricia (CSI); Bastidas Valencia Zeneida Judith (MAT); Mindineros Satizábal John Jáver (TEI)</t>
        </is>
      </c>
      <c r="L926" t="inlineStr">
        <is>
          <t>ÉNFASIS 9°-2</t>
        </is>
      </c>
      <c r="M926" t="inlineStr">
        <is>
          <t>EQUIPO DE 4: cada docente atiende un grupo de estudiantes en su área · Con: Betancourth Ocampo Yohana Patricia (CSI); Bastidas Valencia Zeneida Judith (MAT); Mindineros Satizábal John Jáver (TEI)</t>
        </is>
      </c>
      <c r="N926">
        <f>C926&amp;"|"&amp;D926</f>
        <v/>
      </c>
      <c r="O926">
        <f>COUNTIF($N$2:N926,N926)</f>
        <v/>
      </c>
      <c r="P926">
        <f>N926&amp;"|"&amp;O926</f>
        <v/>
      </c>
      <c r="Q926">
        <f>C926&amp;"|"&amp;D926&amp;"|"&amp;A926</f>
        <v/>
      </c>
    </row>
    <row r="927">
      <c r="A927" t="n">
        <v>29</v>
      </c>
      <c r="B927" t="inlineStr">
        <is>
          <t>Mindineros Satizábal John Jáver</t>
        </is>
      </c>
      <c r="C927" t="inlineStr">
        <is>
          <t>VIERNES</t>
        </is>
      </c>
      <c r="D927" t="n">
        <v>4</v>
      </c>
      <c r="E927" t="n">
        <v>2</v>
      </c>
      <c r="F927" t="inlineStr">
        <is>
          <t>ENFASIS</t>
        </is>
      </c>
      <c r="G927" t="inlineStr"/>
      <c r="H927" t="inlineStr">
        <is>
          <t>TEI</t>
        </is>
      </c>
      <c r="I927" t="inlineStr">
        <is>
          <t>0902</t>
        </is>
      </c>
      <c r="J927" t="inlineStr">
        <is>
          <t>EQUIPO DE 4: cada docente atiende un grupo de estudiantes en su área</t>
        </is>
      </c>
      <c r="K927" t="inlineStr">
        <is>
          <t>Betancourth Ocampo Yohana Patricia (CSI); Estacio Estupiñán Rosario (ETR); Bastidas Valencia Zeneida Judith (MAT)</t>
        </is>
      </c>
      <c r="L927" t="inlineStr">
        <is>
          <t>ÉNFASIS 9°-2</t>
        </is>
      </c>
      <c r="M927" t="inlineStr">
        <is>
          <t>EQUIPO DE 4: cada docente atiende un grupo de estudiantes en su área · Con: Betancourth Ocampo Yohana Patricia (CSI); Estacio Estupiñán Rosario (ETR); Bastidas Valencia Zeneida Judith (MAT)</t>
        </is>
      </c>
      <c r="N927">
        <f>C927&amp;"|"&amp;D927</f>
        <v/>
      </c>
      <c r="O927">
        <f>COUNTIF($N$2:N927,N927)</f>
        <v/>
      </c>
      <c r="P927">
        <f>N927&amp;"|"&amp;O927</f>
        <v/>
      </c>
      <c r="Q927">
        <f>C927&amp;"|"&amp;D927&amp;"|"&amp;A927</f>
        <v/>
      </c>
    </row>
    <row r="928">
      <c r="A928" t="n">
        <v>2</v>
      </c>
      <c r="B928" t="inlineStr">
        <is>
          <t>Angulo Lucero Andrés Mauricio</t>
        </is>
      </c>
      <c r="C928" t="inlineStr">
        <is>
          <t>VIERNES</t>
        </is>
      </c>
      <c r="D928" t="n">
        <v>4</v>
      </c>
      <c r="E928" t="n">
        <v>2</v>
      </c>
      <c r="F928" t="inlineStr">
        <is>
          <t>ENFASIS</t>
        </is>
      </c>
      <c r="G928" t="inlineStr"/>
      <c r="H928" t="inlineStr">
        <is>
          <t>TEI</t>
        </is>
      </c>
      <c r="I928" t="inlineStr">
        <is>
          <t>1002</t>
        </is>
      </c>
      <c r="J928" t="inlineStr">
        <is>
          <t>EQUIPO DE 4: cada docente atiende un grupo de estudiantes en su área</t>
        </is>
      </c>
      <c r="K928" t="inlineStr">
        <is>
          <t>Pulgarín Ortiz César Marino (CSI); Montaño Arizala Leidis Claudina (ETR); Villota Rubio Janeth del Carmen (MAT)</t>
        </is>
      </c>
      <c r="L928" t="inlineStr">
        <is>
          <t>ÉNFASIS 10°-2</t>
        </is>
      </c>
      <c r="M928" t="inlineStr">
        <is>
          <t>EQUIPO DE 4: cada docente atiende un grupo de estudiantes en su área · Con: Pulgarín Ortiz César Marino (CSI); Montaño Arizala Leidis Claudina (ETR); Villota Rubio Janeth del Carmen (MAT)</t>
        </is>
      </c>
      <c r="N928">
        <f>C928&amp;"|"&amp;D928</f>
        <v/>
      </c>
      <c r="O928">
        <f>COUNTIF($N$2:N928,N928)</f>
        <v/>
      </c>
      <c r="P928">
        <f>N928&amp;"|"&amp;O928</f>
        <v/>
      </c>
      <c r="Q928">
        <f>C928&amp;"|"&amp;D928&amp;"|"&amp;A928</f>
        <v/>
      </c>
    </row>
    <row r="929">
      <c r="A929" t="n">
        <v>31</v>
      </c>
      <c r="B929" t="inlineStr">
        <is>
          <t>Montaño Arizala Leidis Claudina</t>
        </is>
      </c>
      <c r="C929" t="inlineStr">
        <is>
          <t>VIERNES</t>
        </is>
      </c>
      <c r="D929" t="n">
        <v>4</v>
      </c>
      <c r="E929" t="n">
        <v>2</v>
      </c>
      <c r="F929" t="inlineStr">
        <is>
          <t>ENFASIS</t>
        </is>
      </c>
      <c r="G929" t="inlineStr"/>
      <c r="H929" t="inlineStr">
        <is>
          <t>ETR</t>
        </is>
      </c>
      <c r="I929" t="inlineStr">
        <is>
          <t>1002</t>
        </is>
      </c>
      <c r="J929" t="inlineStr">
        <is>
          <t>EQUIPO DE 4: cada docente atiende un grupo de estudiantes en su área</t>
        </is>
      </c>
      <c r="K929" t="inlineStr">
        <is>
          <t>Pulgarín Ortiz César Marino (CSI); Villota Rubio Janeth del Carmen (MAT); Angulo Lucero Andrés Mauricio (TEI)</t>
        </is>
      </c>
      <c r="L929" t="inlineStr">
        <is>
          <t>ÉNFASIS 10°-2</t>
        </is>
      </c>
      <c r="M929" t="inlineStr">
        <is>
          <t>EQUIPO DE 4: cada docente atiende un grupo de estudiantes en su área · Con: Pulgarín Ortiz César Marino (CSI); Villota Rubio Janeth del Carmen (MAT); Angulo Lucero Andrés Mauricio (TEI)</t>
        </is>
      </c>
      <c r="N929">
        <f>C929&amp;"|"&amp;D929</f>
        <v/>
      </c>
      <c r="O929">
        <f>COUNTIF($N$2:N929,N929)</f>
        <v/>
      </c>
      <c r="P929">
        <f>N929&amp;"|"&amp;O929</f>
        <v/>
      </c>
      <c r="Q929">
        <f>C929&amp;"|"&amp;D929&amp;"|"&amp;A929</f>
        <v/>
      </c>
    </row>
    <row r="930">
      <c r="A930" t="n">
        <v>40</v>
      </c>
      <c r="B930" t="inlineStr">
        <is>
          <t>Pulgarín Ortiz César Marino</t>
        </is>
      </c>
      <c r="C930" t="inlineStr">
        <is>
          <t>VIERNES</t>
        </is>
      </c>
      <c r="D930" t="n">
        <v>4</v>
      </c>
      <c r="E930" t="n">
        <v>2</v>
      </c>
      <c r="F930" t="inlineStr">
        <is>
          <t>ENFASIS</t>
        </is>
      </c>
      <c r="G930" t="inlineStr"/>
      <c r="H930" t="inlineStr">
        <is>
          <t>CSI</t>
        </is>
      </c>
      <c r="I930" t="inlineStr">
        <is>
          <t>1002</t>
        </is>
      </c>
      <c r="J930" t="inlineStr">
        <is>
          <t>EQUIPO DE 4: cada docente atiende un grupo de estudiantes en su área</t>
        </is>
      </c>
      <c r="K930" t="inlineStr">
        <is>
          <t>Montaño Arizala Leidis Claudina (ETR); Villota Rubio Janeth del Carmen (MAT); Angulo Lucero Andrés Mauricio (TEI)</t>
        </is>
      </c>
      <c r="L930" t="inlineStr">
        <is>
          <t>ÉNFASIS 10°-2</t>
        </is>
      </c>
      <c r="M930" t="inlineStr">
        <is>
          <t>EQUIPO DE 4: cada docente atiende un grupo de estudiantes en su área · Con: Montaño Arizala Leidis Claudina (ETR); Villota Rubio Janeth del Carmen (MAT); Angulo Lucero Andrés Mauricio (TEI)</t>
        </is>
      </c>
      <c r="N930">
        <f>C930&amp;"|"&amp;D930</f>
        <v/>
      </c>
      <c r="O930">
        <f>COUNTIF($N$2:N930,N930)</f>
        <v/>
      </c>
      <c r="P930">
        <f>N930&amp;"|"&amp;O930</f>
        <v/>
      </c>
      <c r="Q930">
        <f>C930&amp;"|"&amp;D930&amp;"|"&amp;A930</f>
        <v/>
      </c>
    </row>
    <row r="931">
      <c r="A931" t="n">
        <v>54</v>
      </c>
      <c r="B931" t="inlineStr">
        <is>
          <t>Villota Rubio Janeth del Carmen</t>
        </is>
      </c>
      <c r="C931" t="inlineStr">
        <is>
          <t>VIERNES</t>
        </is>
      </c>
      <c r="D931" t="n">
        <v>4</v>
      </c>
      <c r="E931" t="n">
        <v>2</v>
      </c>
      <c r="F931" t="inlineStr">
        <is>
          <t>ENFASIS</t>
        </is>
      </c>
      <c r="G931" t="inlineStr"/>
      <c r="H931" t="inlineStr">
        <is>
          <t>MAT</t>
        </is>
      </c>
      <c r="I931" t="inlineStr">
        <is>
          <t>1002</t>
        </is>
      </c>
      <c r="J931" t="inlineStr">
        <is>
          <t>EQUIPO DE 4: cada docente atiende un grupo de estudiantes en su área</t>
        </is>
      </c>
      <c r="K931" t="inlineStr">
        <is>
          <t>Pulgarín Ortiz César Marino (CSI); Montaño Arizala Leidis Claudina (ETR); Angulo Lucero Andrés Mauricio (TEI)</t>
        </is>
      </c>
      <c r="L931" t="inlineStr">
        <is>
          <t>ÉNFASIS 10°-2</t>
        </is>
      </c>
      <c r="M931" t="inlineStr">
        <is>
          <t>EQUIPO DE 4: cada docente atiende un grupo de estudiantes en su área · Con: Pulgarín Ortiz César Marino (CSI); Montaño Arizala Leidis Claudina (ETR); Angulo Lucero Andrés Mauricio (TEI)</t>
        </is>
      </c>
      <c r="N931">
        <f>C931&amp;"|"&amp;D931</f>
        <v/>
      </c>
      <c r="O931">
        <f>COUNTIF($N$2:N931,N931)</f>
        <v/>
      </c>
      <c r="P931">
        <f>N931&amp;"|"&amp;O931</f>
        <v/>
      </c>
      <c r="Q931">
        <f>C931&amp;"|"&amp;D931&amp;"|"&amp;A931</f>
        <v/>
      </c>
    </row>
    <row r="932">
      <c r="A932" t="n">
        <v>26</v>
      </c>
      <c r="B932" t="inlineStr">
        <is>
          <t>Lozano Torres Amanda Inés</t>
        </is>
      </c>
      <c r="C932" t="inlineStr">
        <is>
          <t>VIERNES</t>
        </is>
      </c>
      <c r="D932" t="n">
        <v>5</v>
      </c>
      <c r="E932" t="n">
        <v>3</v>
      </c>
      <c r="F932" t="inlineStr">
        <is>
          <t>CLASE</t>
        </is>
      </c>
      <c r="G932" t="inlineStr">
        <is>
          <t>0601</t>
        </is>
      </c>
      <c r="H932" t="inlineStr">
        <is>
          <t>ETR</t>
        </is>
      </c>
      <c r="I932" t="inlineStr"/>
      <c r="J932" t="inlineStr">
        <is>
          <t>Ética / Religión (alternan cada semana)</t>
        </is>
      </c>
      <c r="K932" t="inlineStr"/>
      <c r="L932" t="inlineStr">
        <is>
          <t>6°-1</t>
        </is>
      </c>
      <c r="M932" t="inlineStr">
        <is>
          <t>Ética / Religión (alternan cada semana)</t>
        </is>
      </c>
      <c r="N932">
        <f>C932&amp;"|"&amp;D932</f>
        <v/>
      </c>
      <c r="O932">
        <f>COUNTIF($N$2:N932,N932)</f>
        <v/>
      </c>
      <c r="P932">
        <f>N932&amp;"|"&amp;O932</f>
        <v/>
      </c>
      <c r="Q932">
        <f>C932&amp;"|"&amp;D932&amp;"|"&amp;A932</f>
        <v/>
      </c>
    </row>
    <row r="933">
      <c r="A933" t="n">
        <v>57</v>
      </c>
      <c r="B933" t="inlineStr">
        <is>
          <t>Armero Dájome Jesús</t>
        </is>
      </c>
      <c r="C933" t="inlineStr">
        <is>
          <t>VIERNES</t>
        </is>
      </c>
      <c r="D933" t="n">
        <v>5</v>
      </c>
      <c r="E933" t="n">
        <v>3</v>
      </c>
      <c r="F933" t="inlineStr">
        <is>
          <t>CLASE</t>
        </is>
      </c>
      <c r="G933" t="inlineStr">
        <is>
          <t>0602</t>
        </is>
      </c>
      <c r="H933" t="inlineStr">
        <is>
          <t>ERD</t>
        </is>
      </c>
      <c r="I933" t="inlineStr"/>
      <c r="J933" t="inlineStr"/>
      <c r="K933" t="inlineStr"/>
      <c r="L933" t="inlineStr">
        <is>
          <t>6°-2</t>
        </is>
      </c>
      <c r="M933" t="inlineStr"/>
      <c r="N933">
        <f>C933&amp;"|"&amp;D933</f>
        <v/>
      </c>
      <c r="O933">
        <f>COUNTIF($N$2:N933,N933)</f>
        <v/>
      </c>
      <c r="P933">
        <f>N933&amp;"|"&amp;O933</f>
        <v/>
      </c>
      <c r="Q933">
        <f>C933&amp;"|"&amp;D933&amp;"|"&amp;A933</f>
        <v/>
      </c>
    </row>
    <row r="934">
      <c r="A934" t="n">
        <v>34</v>
      </c>
      <c r="B934" t="inlineStr">
        <is>
          <t>Ordóñez Tenorio Jaime Marcial</t>
        </is>
      </c>
      <c r="C934" t="inlineStr">
        <is>
          <t>VIERNES</t>
        </is>
      </c>
      <c r="D934" t="n">
        <v>5</v>
      </c>
      <c r="E934" t="n">
        <v>3</v>
      </c>
      <c r="F934" t="inlineStr">
        <is>
          <t>CLASE</t>
        </is>
      </c>
      <c r="G934" t="inlineStr">
        <is>
          <t>0701</t>
        </is>
      </c>
      <c r="H934" t="inlineStr">
        <is>
          <t>CNA</t>
        </is>
      </c>
      <c r="I934" t="inlineStr"/>
      <c r="J934" t="inlineStr"/>
      <c r="K934" t="inlineStr"/>
      <c r="L934" t="inlineStr">
        <is>
          <t>7°-1</t>
        </is>
      </c>
      <c r="M934" t="inlineStr"/>
      <c r="N934">
        <f>C934&amp;"|"&amp;D934</f>
        <v/>
      </c>
      <c r="O934">
        <f>COUNTIF($N$2:N934,N934)</f>
        <v/>
      </c>
      <c r="P934">
        <f>N934&amp;"|"&amp;O934</f>
        <v/>
      </c>
      <c r="Q934">
        <f>C934&amp;"|"&amp;D934&amp;"|"&amp;A934</f>
        <v/>
      </c>
    </row>
    <row r="935">
      <c r="A935" t="n">
        <v>41</v>
      </c>
      <c r="B935" t="inlineStr">
        <is>
          <t>Quintero Ramírez María del Carmen</t>
        </is>
      </c>
      <c r="C935" t="inlineStr">
        <is>
          <t>VIERNES</t>
        </is>
      </c>
      <c r="D935" t="n">
        <v>5</v>
      </c>
      <c r="E935" t="n">
        <v>3</v>
      </c>
      <c r="F935" t="inlineStr">
        <is>
          <t>CLASE</t>
        </is>
      </c>
      <c r="G935" t="inlineStr">
        <is>
          <t>0702</t>
        </is>
      </c>
      <c r="H935" t="inlineStr">
        <is>
          <t>CSI</t>
        </is>
      </c>
      <c r="I935" t="inlineStr"/>
      <c r="J935" t="inlineStr">
        <is>
          <t>Sociales / Inglés (alternan cada semana)</t>
        </is>
      </c>
      <c r="K935" t="inlineStr"/>
      <c r="L935" t="inlineStr">
        <is>
          <t>7°-2</t>
        </is>
      </c>
      <c r="M935" t="inlineStr">
        <is>
          <t>Sociales / Inglés (alternan cada semana)</t>
        </is>
      </c>
      <c r="N935">
        <f>C935&amp;"|"&amp;D935</f>
        <v/>
      </c>
      <c r="O935">
        <f>COUNTIF($N$2:N935,N935)</f>
        <v/>
      </c>
      <c r="P935">
        <f>N935&amp;"|"&amp;O935</f>
        <v/>
      </c>
      <c r="Q935">
        <f>C935&amp;"|"&amp;D935&amp;"|"&amp;A935</f>
        <v/>
      </c>
    </row>
    <row r="936">
      <c r="A936" t="n">
        <v>39</v>
      </c>
      <c r="B936" t="inlineStr">
        <is>
          <t>Puches Ana Milena</t>
        </is>
      </c>
      <c r="C936" t="inlineStr">
        <is>
          <t>VIERNES</t>
        </is>
      </c>
      <c r="D936" t="n">
        <v>5</v>
      </c>
      <c r="E936" t="n">
        <v>3</v>
      </c>
      <c r="F936" t="inlineStr">
        <is>
          <t>CLASE</t>
        </is>
      </c>
      <c r="G936" t="inlineStr">
        <is>
          <t>0703</t>
        </is>
      </c>
      <c r="H936" t="inlineStr">
        <is>
          <t>ART</t>
        </is>
      </c>
      <c r="I936" t="inlineStr"/>
      <c r="J936" t="inlineStr"/>
      <c r="K936" t="inlineStr"/>
      <c r="L936" t="inlineStr">
        <is>
          <t>7°-3</t>
        </is>
      </c>
      <c r="M936" t="inlineStr"/>
      <c r="N936">
        <f>C936&amp;"|"&amp;D936</f>
        <v/>
      </c>
      <c r="O936">
        <f>COUNTIF($N$2:N936,N936)</f>
        <v/>
      </c>
      <c r="P936">
        <f>N936&amp;"|"&amp;O936</f>
        <v/>
      </c>
      <c r="Q936">
        <f>C936&amp;"|"&amp;D936&amp;"|"&amp;A936</f>
        <v/>
      </c>
    </row>
    <row r="937">
      <c r="A937" t="n">
        <v>52</v>
      </c>
      <c r="B937" t="inlineStr">
        <is>
          <t>Vásquez Valencia Segundo Leoncio</t>
        </is>
      </c>
      <c r="C937" t="inlineStr">
        <is>
          <t>VIERNES</t>
        </is>
      </c>
      <c r="D937" t="n">
        <v>5</v>
      </c>
      <c r="E937" t="n">
        <v>3</v>
      </c>
      <c r="F937" t="inlineStr">
        <is>
          <t>CLASE</t>
        </is>
      </c>
      <c r="G937" t="inlineStr">
        <is>
          <t>0704</t>
        </is>
      </c>
      <c r="H937" t="inlineStr">
        <is>
          <t>MAT</t>
        </is>
      </c>
      <c r="I937" t="inlineStr"/>
      <c r="J937" t="inlineStr"/>
      <c r="K937" t="inlineStr"/>
      <c r="L937" t="inlineStr">
        <is>
          <t>7°-4</t>
        </is>
      </c>
      <c r="M937" t="inlineStr"/>
      <c r="N937">
        <f>C937&amp;"|"&amp;D937</f>
        <v/>
      </c>
      <c r="O937">
        <f>COUNTIF($N$2:N937,N937)</f>
        <v/>
      </c>
      <c r="P937">
        <f>N937&amp;"|"&amp;O937</f>
        <v/>
      </c>
      <c r="Q937">
        <f>C937&amp;"|"&amp;D937&amp;"|"&amp;A937</f>
        <v/>
      </c>
    </row>
    <row r="938">
      <c r="A938" t="n">
        <v>38</v>
      </c>
      <c r="B938" t="inlineStr">
        <is>
          <t>Preciado Torres Oleisa</t>
        </is>
      </c>
      <c r="C938" t="inlineStr">
        <is>
          <t>VIERNES</t>
        </is>
      </c>
      <c r="D938" t="n">
        <v>5</v>
      </c>
      <c r="E938" t="n">
        <v>3</v>
      </c>
      <c r="F938" t="inlineStr">
        <is>
          <t>CLASE</t>
        </is>
      </c>
      <c r="G938" t="inlineStr">
        <is>
          <t>0802</t>
        </is>
      </c>
      <c r="H938" t="inlineStr">
        <is>
          <t>MAT</t>
        </is>
      </c>
      <c r="I938" t="inlineStr"/>
      <c r="J938" t="inlineStr"/>
      <c r="K938" t="inlineStr"/>
      <c r="L938" t="inlineStr">
        <is>
          <t>8°-2</t>
        </is>
      </c>
      <c r="M938" t="inlineStr"/>
      <c r="N938">
        <f>C938&amp;"|"&amp;D938</f>
        <v/>
      </c>
      <c r="O938">
        <f>COUNTIF($N$2:N938,N938)</f>
        <v/>
      </c>
      <c r="P938">
        <f>N938&amp;"|"&amp;O938</f>
        <v/>
      </c>
      <c r="Q938">
        <f>C938&amp;"|"&amp;D938&amp;"|"&amp;A938</f>
        <v/>
      </c>
    </row>
    <row r="939">
      <c r="A939" t="n">
        <v>22</v>
      </c>
      <c r="B939" t="inlineStr">
        <is>
          <t>González Castillo Jólmer Jimy</t>
        </is>
      </c>
      <c r="C939" t="inlineStr">
        <is>
          <t>VIERNES</t>
        </is>
      </c>
      <c r="D939" t="n">
        <v>5</v>
      </c>
      <c r="E939" t="n">
        <v>3</v>
      </c>
      <c r="F939" t="inlineStr">
        <is>
          <t>CLASE</t>
        </is>
      </c>
      <c r="G939" t="inlineStr">
        <is>
          <t>0901</t>
        </is>
      </c>
      <c r="H939" t="inlineStr">
        <is>
          <t>ERD</t>
        </is>
      </c>
      <c r="I939" t="inlineStr"/>
      <c r="J939" t="inlineStr"/>
      <c r="K939" t="inlineStr"/>
      <c r="L939" t="inlineStr">
        <is>
          <t>9°-1</t>
        </is>
      </c>
      <c r="M939" t="inlineStr"/>
      <c r="N939">
        <f>C939&amp;"|"&amp;D939</f>
        <v/>
      </c>
      <c r="O939">
        <f>COUNTIF($N$2:N939,N939)</f>
        <v/>
      </c>
      <c r="P939">
        <f>N939&amp;"|"&amp;O939</f>
        <v/>
      </c>
      <c r="Q939">
        <f>C939&amp;"|"&amp;D939&amp;"|"&amp;A939</f>
        <v/>
      </c>
    </row>
    <row r="940">
      <c r="A940" t="n">
        <v>25</v>
      </c>
      <c r="B940" t="inlineStr">
        <is>
          <t>Lemos Guancha Miriam</t>
        </is>
      </c>
      <c r="C940" t="inlineStr">
        <is>
          <t>VIERNES</t>
        </is>
      </c>
      <c r="D940" t="n">
        <v>5</v>
      </c>
      <c r="E940" t="n">
        <v>3</v>
      </c>
      <c r="F940" t="inlineStr">
        <is>
          <t>CLASE</t>
        </is>
      </c>
      <c r="G940" t="inlineStr">
        <is>
          <t>0902</t>
        </is>
      </c>
      <c r="H940" t="inlineStr">
        <is>
          <t>CNA</t>
        </is>
      </c>
      <c r="I940" t="inlineStr"/>
      <c r="J940" t="inlineStr"/>
      <c r="K940" t="inlineStr"/>
      <c r="L940" t="inlineStr">
        <is>
          <t>9°-2</t>
        </is>
      </c>
      <c r="M940" t="inlineStr"/>
      <c r="N940">
        <f>C940&amp;"|"&amp;D940</f>
        <v/>
      </c>
      <c r="O940">
        <f>COUNTIF($N$2:N940,N940)</f>
        <v/>
      </c>
      <c r="P940">
        <f>N940&amp;"|"&amp;O940</f>
        <v/>
      </c>
      <c r="Q940">
        <f>C940&amp;"|"&amp;D940&amp;"|"&amp;A940</f>
        <v/>
      </c>
    </row>
    <row r="941">
      <c r="A941" t="n">
        <v>54</v>
      </c>
      <c r="B941" t="inlineStr">
        <is>
          <t>Villota Rubio Janeth del Carmen</t>
        </is>
      </c>
      <c r="C941" t="inlineStr">
        <is>
          <t>VIERNES</t>
        </is>
      </c>
      <c r="D941" t="n">
        <v>5</v>
      </c>
      <c r="E941" t="n">
        <v>3</v>
      </c>
      <c r="F941" t="inlineStr">
        <is>
          <t>CLASE</t>
        </is>
      </c>
      <c r="G941" t="inlineStr">
        <is>
          <t>1002</t>
        </is>
      </c>
      <c r="H941" t="inlineStr">
        <is>
          <t>MAT</t>
        </is>
      </c>
      <c r="I941" t="inlineStr"/>
      <c r="J941" t="inlineStr"/>
      <c r="K941" t="inlineStr"/>
      <c r="L941" t="inlineStr">
        <is>
          <t>10°-2</t>
        </is>
      </c>
      <c r="M941" t="inlineStr"/>
      <c r="N941">
        <f>C941&amp;"|"&amp;D941</f>
        <v/>
      </c>
      <c r="O941">
        <f>COUNTIF($N$2:N941,N941)</f>
        <v/>
      </c>
      <c r="P941">
        <f>N941&amp;"|"&amp;O941</f>
        <v/>
      </c>
      <c r="Q941">
        <f>C941&amp;"|"&amp;D941&amp;"|"&amp;A941</f>
        <v/>
      </c>
    </row>
    <row r="942">
      <c r="A942" t="n">
        <v>40</v>
      </c>
      <c r="B942" t="inlineStr">
        <is>
          <t>Pulgarín Ortiz César Marino</t>
        </is>
      </c>
      <c r="C942" t="inlineStr">
        <is>
          <t>VIERNES</t>
        </is>
      </c>
      <c r="D942" t="n">
        <v>5</v>
      </c>
      <c r="E942" t="n">
        <v>3</v>
      </c>
      <c r="F942" t="inlineStr">
        <is>
          <t>CLASE</t>
        </is>
      </c>
      <c r="G942" t="inlineStr">
        <is>
          <t>1101</t>
        </is>
      </c>
      <c r="H942" t="inlineStr">
        <is>
          <t>CSI</t>
        </is>
      </c>
      <c r="I942" t="inlineStr"/>
      <c r="J942" t="inlineStr">
        <is>
          <t>Sociales / Inglés (alternan cada semana)</t>
        </is>
      </c>
      <c r="K942" t="inlineStr"/>
      <c r="L942" t="inlineStr">
        <is>
          <t>11°-1</t>
        </is>
      </c>
      <c r="M942" t="inlineStr">
        <is>
          <t>Sociales / Inglés (alternan cada semana)</t>
        </is>
      </c>
      <c r="N942">
        <f>C942&amp;"|"&amp;D942</f>
        <v/>
      </c>
      <c r="O942">
        <f>COUNTIF($N$2:N942,N942)</f>
        <v/>
      </c>
      <c r="P942">
        <f>N942&amp;"|"&amp;O942</f>
        <v/>
      </c>
      <c r="Q942">
        <f>C942&amp;"|"&amp;D942&amp;"|"&amp;A942</f>
        <v/>
      </c>
    </row>
    <row r="943">
      <c r="A943" t="n">
        <v>31</v>
      </c>
      <c r="B943" t="inlineStr">
        <is>
          <t>Montaño Arizala Leidis Claudina</t>
        </is>
      </c>
      <c r="C943" t="inlineStr">
        <is>
          <t>VIERNES</t>
        </is>
      </c>
      <c r="D943" t="n">
        <v>5</v>
      </c>
      <c r="E943" t="n">
        <v>3</v>
      </c>
      <c r="F943" t="inlineStr">
        <is>
          <t>CLASE</t>
        </is>
      </c>
      <c r="G943" t="inlineStr">
        <is>
          <t>1102</t>
        </is>
      </c>
      <c r="H943" t="inlineStr">
        <is>
          <t>ETR</t>
        </is>
      </c>
      <c r="I943" t="inlineStr"/>
      <c r="J943" t="inlineStr">
        <is>
          <t>Ética / Religión (alternan cada semana)</t>
        </is>
      </c>
      <c r="K943" t="inlineStr"/>
      <c r="L943" t="inlineStr">
        <is>
          <t>11°-2</t>
        </is>
      </c>
      <c r="M943" t="inlineStr">
        <is>
          <t>Ética / Religión (alternan cada semana)</t>
        </is>
      </c>
      <c r="N943">
        <f>C943&amp;"|"&amp;D943</f>
        <v/>
      </c>
      <c r="O943">
        <f>COUNTIF($N$2:N943,N943)</f>
        <v/>
      </c>
      <c r="P943">
        <f>N943&amp;"|"&amp;O943</f>
        <v/>
      </c>
      <c r="Q943">
        <f>C943&amp;"|"&amp;D943&amp;"|"&amp;A943</f>
        <v/>
      </c>
    </row>
    <row r="944">
      <c r="A944" t="n">
        <v>42</v>
      </c>
      <c r="B944" t="inlineStr">
        <is>
          <t>Quiñones Cabezas Marcos Vidal</t>
        </is>
      </c>
      <c r="C944" t="inlineStr">
        <is>
          <t>VIERNES</t>
        </is>
      </c>
      <c r="D944" t="n">
        <v>5</v>
      </c>
      <c r="E944" t="n">
        <v>3</v>
      </c>
      <c r="F944" t="inlineStr">
        <is>
          <t>CLASE</t>
        </is>
      </c>
      <c r="G944" t="inlineStr">
        <is>
          <t>CS101</t>
        </is>
      </c>
      <c r="H944" t="inlineStr">
        <is>
          <t>MAT</t>
        </is>
      </c>
      <c r="I944" t="inlineStr"/>
      <c r="J944" t="inlineStr"/>
      <c r="K944" t="inlineStr"/>
      <c r="L944" t="inlineStr">
        <is>
          <t>CS 1-1</t>
        </is>
      </c>
      <c r="M944" t="inlineStr"/>
      <c r="N944">
        <f>C944&amp;"|"&amp;D944</f>
        <v/>
      </c>
      <c r="O944">
        <f>COUNTIF($N$2:N944,N944)</f>
        <v/>
      </c>
      <c r="P944">
        <f>N944&amp;"|"&amp;O944</f>
        <v/>
      </c>
      <c r="Q944">
        <f>C944&amp;"|"&amp;D944&amp;"|"&amp;A944</f>
        <v/>
      </c>
    </row>
    <row r="945">
      <c r="A945" t="n">
        <v>16</v>
      </c>
      <c r="B945" t="inlineStr">
        <is>
          <t>Cuero Rincón Hernando Jesús</t>
        </is>
      </c>
      <c r="C945" t="inlineStr">
        <is>
          <t>VIERNES</t>
        </is>
      </c>
      <c r="D945" t="n">
        <v>5</v>
      </c>
      <c r="E945" t="n">
        <v>3</v>
      </c>
      <c r="F945" t="inlineStr">
        <is>
          <t>CLASE</t>
        </is>
      </c>
      <c r="G945" t="inlineStr">
        <is>
          <t>CS102</t>
        </is>
      </c>
      <c r="H945" t="inlineStr">
        <is>
          <t>CAS</t>
        </is>
      </c>
      <c r="I945" t="inlineStr"/>
      <c r="J945" t="inlineStr"/>
      <c r="K945" t="inlineStr"/>
      <c r="L945" t="inlineStr">
        <is>
          <t>CS 1-2</t>
        </is>
      </c>
      <c r="M945" t="inlineStr"/>
      <c r="N945">
        <f>C945&amp;"|"&amp;D945</f>
        <v/>
      </c>
      <c r="O945">
        <f>COUNTIF($N$2:N945,N945)</f>
        <v/>
      </c>
      <c r="P945">
        <f>N945&amp;"|"&amp;O945</f>
        <v/>
      </c>
      <c r="Q945">
        <f>C945&amp;"|"&amp;D945&amp;"|"&amp;A945</f>
        <v/>
      </c>
    </row>
    <row r="946">
      <c r="A946" t="n">
        <v>19</v>
      </c>
      <c r="B946" t="inlineStr">
        <is>
          <t>Fernández Vélez Alfredo Enrique</t>
        </is>
      </c>
      <c r="C946" t="inlineStr">
        <is>
          <t>VIERNES</t>
        </is>
      </c>
      <c r="D946" t="n">
        <v>5</v>
      </c>
      <c r="E946" t="n">
        <v>3</v>
      </c>
      <c r="F946" t="inlineStr">
        <is>
          <t>CLASE</t>
        </is>
      </c>
      <c r="G946" t="inlineStr">
        <is>
          <t>CS201</t>
        </is>
      </c>
      <c r="H946" t="inlineStr">
        <is>
          <t>TEI</t>
        </is>
      </c>
      <c r="I946" t="inlineStr"/>
      <c r="J946" t="inlineStr"/>
      <c r="K946" t="inlineStr"/>
      <c r="L946" t="inlineStr">
        <is>
          <t>CS 2-1</t>
        </is>
      </c>
      <c r="M946" t="inlineStr"/>
      <c r="N946">
        <f>C946&amp;"|"&amp;D946</f>
        <v/>
      </c>
      <c r="O946">
        <f>COUNTIF($N$2:N946,N946)</f>
        <v/>
      </c>
      <c r="P946">
        <f>N946&amp;"|"&amp;O946</f>
        <v/>
      </c>
      <c r="Q946">
        <f>C946&amp;"|"&amp;D946&amp;"|"&amp;A946</f>
        <v/>
      </c>
    </row>
    <row r="947">
      <c r="A947" t="n">
        <v>12</v>
      </c>
      <c r="B947" t="inlineStr">
        <is>
          <t>Chillambo Quiñones María Rocío</t>
        </is>
      </c>
      <c r="C947" t="inlineStr">
        <is>
          <t>VIERNES</t>
        </is>
      </c>
      <c r="D947" t="n">
        <v>5</v>
      </c>
      <c r="E947" t="n">
        <v>3</v>
      </c>
      <c r="F947" t="inlineStr">
        <is>
          <t>ENFASIS</t>
        </is>
      </c>
      <c r="G947" t="inlineStr"/>
      <c r="H947" t="inlineStr">
        <is>
          <t>CNA</t>
        </is>
      </c>
      <c r="I947" t="inlineStr">
        <is>
          <t>0801</t>
        </is>
      </c>
      <c r="J947" t="inlineStr">
        <is>
          <t>EQUIPO DE 4: cada docente atiende un grupo de estudiantes en su área</t>
        </is>
      </c>
      <c r="K947" t="inlineStr">
        <is>
          <t>Samaniego Angulo Flor Mireya (ART); Valverde Montaño María Teresa (CAS); Cuero Bamba Berte Levi (ERD)</t>
        </is>
      </c>
      <c r="L947" t="inlineStr">
        <is>
          <t>ÉNFASIS 8°-1</t>
        </is>
      </c>
      <c r="M947" t="inlineStr">
        <is>
          <t>EQUIPO DE 4: cada docente atiende un grupo de estudiantes en su área · Con: Samaniego Angulo Flor Mireya (ART); Valverde Montaño María Teresa (CAS); Cuero Bamba Berte Levi (ERD)</t>
        </is>
      </c>
      <c r="N947">
        <f>C947&amp;"|"&amp;D947</f>
        <v/>
      </c>
      <c r="O947">
        <f>COUNTIF($N$2:N947,N947)</f>
        <v/>
      </c>
      <c r="P947">
        <f>N947&amp;"|"&amp;O947</f>
        <v/>
      </c>
      <c r="Q947">
        <f>C947&amp;"|"&amp;D947&amp;"|"&amp;A947</f>
        <v/>
      </c>
    </row>
    <row r="948">
      <c r="A948" t="n">
        <v>15</v>
      </c>
      <c r="B948" t="inlineStr">
        <is>
          <t>Cuero Bamba Berte Levi</t>
        </is>
      </c>
      <c r="C948" t="inlineStr">
        <is>
          <t>VIERNES</t>
        </is>
      </c>
      <c r="D948" t="n">
        <v>5</v>
      </c>
      <c r="E948" t="n">
        <v>3</v>
      </c>
      <c r="F948" t="inlineStr">
        <is>
          <t>ENFASIS</t>
        </is>
      </c>
      <c r="G948" t="inlineStr"/>
      <c r="H948" t="inlineStr">
        <is>
          <t>ERD</t>
        </is>
      </c>
      <c r="I948" t="inlineStr">
        <is>
          <t>0801</t>
        </is>
      </c>
      <c r="J948" t="inlineStr">
        <is>
          <t>EQUIPO DE 4: cada docente atiende un grupo de estudiantes en su área</t>
        </is>
      </c>
      <c r="K948" t="inlineStr">
        <is>
          <t>Samaniego Angulo Flor Mireya (ART); Valverde Montaño María Teresa (CAS); Chillambo Quiñones María Rocío (CNA)</t>
        </is>
      </c>
      <c r="L948" t="inlineStr">
        <is>
          <t>ÉNFASIS 8°-1</t>
        </is>
      </c>
      <c r="M948" t="inlineStr">
        <is>
          <t>EQUIPO DE 4: cada docente atiende un grupo de estudiantes en su área · Con: Samaniego Angulo Flor Mireya (ART); Valverde Montaño María Teresa (CAS); Chillambo Quiñones María Rocío (CNA)</t>
        </is>
      </c>
      <c r="N948">
        <f>C948&amp;"|"&amp;D948</f>
        <v/>
      </c>
      <c r="O948">
        <f>COUNTIF($N$2:N948,N948)</f>
        <v/>
      </c>
      <c r="P948">
        <f>N948&amp;"|"&amp;O948</f>
        <v/>
      </c>
      <c r="Q948">
        <f>C948&amp;"|"&amp;D948&amp;"|"&amp;A948</f>
        <v/>
      </c>
    </row>
    <row r="949">
      <c r="A949" t="n">
        <v>44</v>
      </c>
      <c r="B949" t="inlineStr">
        <is>
          <t>Samaniego Angulo Flor Mireya</t>
        </is>
      </c>
      <c r="C949" t="inlineStr">
        <is>
          <t>VIERNES</t>
        </is>
      </c>
      <c r="D949" t="n">
        <v>5</v>
      </c>
      <c r="E949" t="n">
        <v>3</v>
      </c>
      <c r="F949" t="inlineStr">
        <is>
          <t>ENFASIS</t>
        </is>
      </c>
      <c r="G949" t="inlineStr"/>
      <c r="H949" t="inlineStr">
        <is>
          <t>ART</t>
        </is>
      </c>
      <c r="I949" t="inlineStr">
        <is>
          <t>0801</t>
        </is>
      </c>
      <c r="J949" t="inlineStr">
        <is>
          <t>EQUIPO DE 4: cada docente atiende un grupo de estudiantes en su área</t>
        </is>
      </c>
      <c r="K949" t="inlineStr">
        <is>
          <t>Valverde Montaño María Teresa (CAS); Cuero Bamba Berte Levi (ERD); Chillambo Quiñones María Rocío (CNA)</t>
        </is>
      </c>
      <c r="L949" t="inlineStr">
        <is>
          <t>ÉNFASIS 8°-1</t>
        </is>
      </c>
      <c r="M949" t="inlineStr">
        <is>
          <t>EQUIPO DE 4: cada docente atiende un grupo de estudiantes en su área · Con: Valverde Montaño María Teresa (CAS); Cuero Bamba Berte Levi (ERD); Chillambo Quiñones María Rocío (CNA)</t>
        </is>
      </c>
      <c r="N949">
        <f>C949&amp;"|"&amp;D949</f>
        <v/>
      </c>
      <c r="O949">
        <f>COUNTIF($N$2:N949,N949)</f>
        <v/>
      </c>
      <c r="P949">
        <f>N949&amp;"|"&amp;O949</f>
        <v/>
      </c>
      <c r="Q949">
        <f>C949&amp;"|"&amp;D949&amp;"|"&amp;A949</f>
        <v/>
      </c>
    </row>
    <row r="950">
      <c r="A950" t="n">
        <v>51</v>
      </c>
      <c r="B950" t="inlineStr">
        <is>
          <t>Valverde Montaño María Teresa</t>
        </is>
      </c>
      <c r="C950" t="inlineStr">
        <is>
          <t>VIERNES</t>
        </is>
      </c>
      <c r="D950" t="n">
        <v>5</v>
      </c>
      <c r="E950" t="n">
        <v>3</v>
      </c>
      <c r="F950" t="inlineStr">
        <is>
          <t>ENFASIS</t>
        </is>
      </c>
      <c r="G950" t="inlineStr"/>
      <c r="H950" t="inlineStr">
        <is>
          <t>CAS</t>
        </is>
      </c>
      <c r="I950" t="inlineStr">
        <is>
          <t>0801</t>
        </is>
      </c>
      <c r="J950" t="inlineStr">
        <is>
          <t>EQUIPO DE 4: cada docente atiende un grupo de estudiantes en su área</t>
        </is>
      </c>
      <c r="K950" t="inlineStr">
        <is>
          <t>Samaniego Angulo Flor Mireya (ART); Cuero Bamba Berte Levi (ERD); Chillambo Quiñones María Rocío (CNA)</t>
        </is>
      </c>
      <c r="L950" t="inlineStr">
        <is>
          <t>ÉNFASIS 8°-1</t>
        </is>
      </c>
      <c r="M950" t="inlineStr">
        <is>
          <t>EQUIPO DE 4: cada docente atiende un grupo de estudiantes en su área · Con: Samaniego Angulo Flor Mireya (ART); Cuero Bamba Berte Levi (ERD); Chillambo Quiñones María Rocío (CNA)</t>
        </is>
      </c>
      <c r="N950">
        <f>C950&amp;"|"&amp;D950</f>
        <v/>
      </c>
      <c r="O950">
        <f>COUNTIF($N$2:N950,N950)</f>
        <v/>
      </c>
      <c r="P950">
        <f>N950&amp;"|"&amp;O950</f>
        <v/>
      </c>
      <c r="Q950">
        <f>C950&amp;"|"&amp;D950&amp;"|"&amp;A950</f>
        <v/>
      </c>
    </row>
    <row r="951">
      <c r="A951" t="n">
        <v>3</v>
      </c>
      <c r="B951" t="inlineStr">
        <is>
          <t>Arboleda Ortiz Luz América</t>
        </is>
      </c>
      <c r="C951" t="inlineStr">
        <is>
          <t>VIERNES</t>
        </is>
      </c>
      <c r="D951" t="n">
        <v>5</v>
      </c>
      <c r="E951" t="n">
        <v>3</v>
      </c>
      <c r="F951" t="inlineStr">
        <is>
          <t>ENFASIS</t>
        </is>
      </c>
      <c r="G951" t="inlineStr"/>
      <c r="H951" t="inlineStr">
        <is>
          <t>ART</t>
        </is>
      </c>
      <c r="I951" t="inlineStr">
        <is>
          <t>1001</t>
        </is>
      </c>
      <c r="J951" t="inlineStr">
        <is>
          <t>EQUIPO DE 4: cada docente atiende un grupo de estudiantes en su área</t>
        </is>
      </c>
      <c r="K951" t="inlineStr">
        <is>
          <t>Montaño Anchico Favio Héctor (CAS); Ramírez Guerra Jimmy Eduardo (ERD); Villota Rubio Héctor Hugo (CNA)</t>
        </is>
      </c>
      <c r="L951" t="inlineStr">
        <is>
          <t>ÉNFASIS 10°-1</t>
        </is>
      </c>
      <c r="M951" t="inlineStr">
        <is>
          <t>EQUIPO DE 4: cada docente atiende un grupo de estudiantes en su área · Con: Montaño Anchico Favio Héctor (CAS); Ramírez Guerra Jimmy Eduardo (ERD); Villota Rubio Héctor Hugo (CNA)</t>
        </is>
      </c>
      <c r="N951">
        <f>C951&amp;"|"&amp;D951</f>
        <v/>
      </c>
      <c r="O951">
        <f>COUNTIF($N$2:N951,N951)</f>
        <v/>
      </c>
      <c r="P951">
        <f>N951&amp;"|"&amp;O951</f>
        <v/>
      </c>
      <c r="Q951">
        <f>C951&amp;"|"&amp;D951&amp;"|"&amp;A951</f>
        <v/>
      </c>
    </row>
    <row r="952">
      <c r="A952" t="n">
        <v>30</v>
      </c>
      <c r="B952" t="inlineStr">
        <is>
          <t>Montaño Anchico Favio Héctor</t>
        </is>
      </c>
      <c r="C952" t="inlineStr">
        <is>
          <t>VIERNES</t>
        </is>
      </c>
      <c r="D952" t="n">
        <v>5</v>
      </c>
      <c r="E952" t="n">
        <v>3</v>
      </c>
      <c r="F952" t="inlineStr">
        <is>
          <t>ENFASIS</t>
        </is>
      </c>
      <c r="G952" t="inlineStr"/>
      <c r="H952" t="inlineStr">
        <is>
          <t>CAS</t>
        </is>
      </c>
      <c r="I952" t="inlineStr">
        <is>
          <t>1001</t>
        </is>
      </c>
      <c r="J952" t="inlineStr">
        <is>
          <t>EQUIPO DE 4: cada docente atiende un grupo de estudiantes en su área</t>
        </is>
      </c>
      <c r="K952" t="inlineStr">
        <is>
          <t>Arboleda Ortiz Luz América (ART); Ramírez Guerra Jimmy Eduardo (ERD); Villota Rubio Héctor Hugo (CNA)</t>
        </is>
      </c>
      <c r="L952" t="inlineStr">
        <is>
          <t>ÉNFASIS 10°-1</t>
        </is>
      </c>
      <c r="M952" t="inlineStr">
        <is>
          <t>EQUIPO DE 4: cada docente atiende un grupo de estudiantes en su área · Con: Arboleda Ortiz Luz América (ART); Ramírez Guerra Jimmy Eduardo (ERD); Villota Rubio Héctor Hugo (CNA)</t>
        </is>
      </c>
      <c r="N952">
        <f>C952&amp;"|"&amp;D952</f>
        <v/>
      </c>
      <c r="O952">
        <f>COUNTIF($N$2:N952,N952)</f>
        <v/>
      </c>
      <c r="P952">
        <f>N952&amp;"|"&amp;O952</f>
        <v/>
      </c>
      <c r="Q952">
        <f>C952&amp;"|"&amp;D952&amp;"|"&amp;A952</f>
        <v/>
      </c>
    </row>
    <row r="953">
      <c r="A953" t="n">
        <v>43</v>
      </c>
      <c r="B953" t="inlineStr">
        <is>
          <t>Ramírez Guerra Jimmy Eduardo</t>
        </is>
      </c>
      <c r="C953" t="inlineStr">
        <is>
          <t>VIERNES</t>
        </is>
      </c>
      <c r="D953" t="n">
        <v>5</v>
      </c>
      <c r="E953" t="n">
        <v>3</v>
      </c>
      <c r="F953" t="inlineStr">
        <is>
          <t>ENFASIS</t>
        </is>
      </c>
      <c r="G953" t="inlineStr"/>
      <c r="H953" t="inlineStr">
        <is>
          <t>ERD</t>
        </is>
      </c>
      <c r="I953" t="inlineStr">
        <is>
          <t>1001</t>
        </is>
      </c>
      <c r="J953" t="inlineStr">
        <is>
          <t>EQUIPO DE 4: cada docente atiende un grupo de estudiantes en su área</t>
        </is>
      </c>
      <c r="K953" t="inlineStr">
        <is>
          <t>Arboleda Ortiz Luz América (ART); Montaño Anchico Favio Héctor (CAS); Villota Rubio Héctor Hugo (CNA)</t>
        </is>
      </c>
      <c r="L953" t="inlineStr">
        <is>
          <t>ÉNFASIS 10°-1</t>
        </is>
      </c>
      <c r="M953" t="inlineStr">
        <is>
          <t>EQUIPO DE 4: cada docente atiende un grupo de estudiantes en su área · Con: Arboleda Ortiz Luz América (ART); Montaño Anchico Favio Héctor (CAS); Villota Rubio Héctor Hugo (CNA)</t>
        </is>
      </c>
      <c r="N953">
        <f>C953&amp;"|"&amp;D953</f>
        <v/>
      </c>
      <c r="O953">
        <f>COUNTIF($N$2:N953,N953)</f>
        <v/>
      </c>
      <c r="P953">
        <f>N953&amp;"|"&amp;O953</f>
        <v/>
      </c>
      <c r="Q953">
        <f>C953&amp;"|"&amp;D953&amp;"|"&amp;A953</f>
        <v/>
      </c>
    </row>
    <row r="954">
      <c r="A954" t="n">
        <v>53</v>
      </c>
      <c r="B954" t="inlineStr">
        <is>
          <t>Villota Rubio Héctor Hugo</t>
        </is>
      </c>
      <c r="C954" t="inlineStr">
        <is>
          <t>VIERNES</t>
        </is>
      </c>
      <c r="D954" t="n">
        <v>5</v>
      </c>
      <c r="E954" t="n">
        <v>3</v>
      </c>
      <c r="F954" t="inlineStr">
        <is>
          <t>ENFASIS</t>
        </is>
      </c>
      <c r="G954" t="inlineStr"/>
      <c r="H954" t="inlineStr">
        <is>
          <t>CNA</t>
        </is>
      </c>
      <c r="I954" t="inlineStr">
        <is>
          <t>1001</t>
        </is>
      </c>
      <c r="J954" t="inlineStr">
        <is>
          <t>EQUIPO DE 4: cada docente atiende un grupo de estudiantes en su área</t>
        </is>
      </c>
      <c r="K954" t="inlineStr">
        <is>
          <t>Arboleda Ortiz Luz América (ART); Montaño Anchico Favio Héctor (CAS); Ramírez Guerra Jimmy Eduardo (ERD)</t>
        </is>
      </c>
      <c r="L954" t="inlineStr">
        <is>
          <t>ÉNFASIS 10°-1</t>
        </is>
      </c>
      <c r="M954" t="inlineStr">
        <is>
          <t>EQUIPO DE 4: cada docente atiende un grupo de estudiantes en su área · Con: Arboleda Ortiz Luz América (ART); Montaño Anchico Favio Héctor (CAS); Ramírez Guerra Jimmy Eduardo (ERD)</t>
        </is>
      </c>
      <c r="N954">
        <f>C954&amp;"|"&amp;D954</f>
        <v/>
      </c>
      <c r="O954">
        <f>COUNTIF($N$2:N954,N954)</f>
        <v/>
      </c>
      <c r="P954">
        <f>N954&amp;"|"&amp;O954</f>
        <v/>
      </c>
      <c r="Q954">
        <f>C954&amp;"|"&amp;D954&amp;"|"&amp;A954</f>
        <v/>
      </c>
    </row>
    <row r="955">
      <c r="A955" t="n">
        <v>5</v>
      </c>
      <c r="B955" t="inlineStr">
        <is>
          <t>Bastidas Valencia Zeneida Judith</t>
        </is>
      </c>
      <c r="C955" t="inlineStr">
        <is>
          <t>VIERNES</t>
        </is>
      </c>
      <c r="D955" t="n">
        <v>5</v>
      </c>
      <c r="E955" t="n">
        <v>3</v>
      </c>
      <c r="F955" t="inlineStr">
        <is>
          <t>ENFASIS</t>
        </is>
      </c>
      <c r="G955" t="inlineStr"/>
      <c r="H955" t="inlineStr">
        <is>
          <t>MAT</t>
        </is>
      </c>
      <c r="I955" t="inlineStr">
        <is>
          <t>CS202</t>
        </is>
      </c>
      <c r="J955" t="inlineStr">
        <is>
          <t>EQUIPO DE 4: cada docente atiende un grupo de estudiantes en su área</t>
        </is>
      </c>
      <c r="K955" t="inlineStr">
        <is>
          <t>Betancourth Ocampo Yohana Patricia (CSI); Estacio Estupiñán Rosario (ETR); Mindineros Satizábal John Jáver (TEI)</t>
        </is>
      </c>
      <c r="L955" t="inlineStr">
        <is>
          <t>ÉNFASIS CS 2-2</t>
        </is>
      </c>
      <c r="M955" t="inlineStr">
        <is>
          <t>EQUIPO DE 4: cada docente atiende un grupo de estudiantes en su área · Con: Betancourth Ocampo Yohana Patricia (CSI); Estacio Estupiñán Rosario (ETR); Mindineros Satizábal John Jáver (TEI)</t>
        </is>
      </c>
      <c r="N955">
        <f>C955&amp;"|"&amp;D955</f>
        <v/>
      </c>
      <c r="O955">
        <f>COUNTIF($N$2:N955,N955)</f>
        <v/>
      </c>
      <c r="P955">
        <f>N955&amp;"|"&amp;O955</f>
        <v/>
      </c>
      <c r="Q955">
        <f>C955&amp;"|"&amp;D955&amp;"|"&amp;A955</f>
        <v/>
      </c>
    </row>
    <row r="956">
      <c r="A956" t="n">
        <v>6</v>
      </c>
      <c r="B956" t="inlineStr">
        <is>
          <t>Betancourth Ocampo Yohana Patricia</t>
        </is>
      </c>
      <c r="C956" t="inlineStr">
        <is>
          <t>VIERNES</t>
        </is>
      </c>
      <c r="D956" t="n">
        <v>5</v>
      </c>
      <c r="E956" t="n">
        <v>3</v>
      </c>
      <c r="F956" t="inlineStr">
        <is>
          <t>ENFASIS</t>
        </is>
      </c>
      <c r="G956" t="inlineStr"/>
      <c r="H956" t="inlineStr">
        <is>
          <t>CSI</t>
        </is>
      </c>
      <c r="I956" t="inlineStr">
        <is>
          <t>CS202</t>
        </is>
      </c>
      <c r="J956" t="inlineStr">
        <is>
          <t>EQUIPO DE 4: cada docente atiende un grupo de estudiantes en su área</t>
        </is>
      </c>
      <c r="K956" t="inlineStr">
        <is>
          <t>Estacio Estupiñán Rosario (ETR); Bastidas Valencia Zeneida Judith (MAT); Mindineros Satizábal John Jáver (TEI)</t>
        </is>
      </c>
      <c r="L956" t="inlineStr">
        <is>
          <t>ÉNFASIS CS 2-2</t>
        </is>
      </c>
      <c r="M956" t="inlineStr">
        <is>
          <t>EQUIPO DE 4: cada docente atiende un grupo de estudiantes en su área · Con: Estacio Estupiñán Rosario (ETR); Bastidas Valencia Zeneida Judith (MAT); Mindineros Satizábal John Jáver (TEI)</t>
        </is>
      </c>
      <c r="N956">
        <f>C956&amp;"|"&amp;D956</f>
        <v/>
      </c>
      <c r="O956">
        <f>COUNTIF($N$2:N956,N956)</f>
        <v/>
      </c>
      <c r="P956">
        <f>N956&amp;"|"&amp;O956</f>
        <v/>
      </c>
      <c r="Q956">
        <f>C956&amp;"|"&amp;D956&amp;"|"&amp;A956</f>
        <v/>
      </c>
    </row>
    <row r="957">
      <c r="A957" t="n">
        <v>18</v>
      </c>
      <c r="B957" t="inlineStr">
        <is>
          <t>Estacio Estupiñán Rosario</t>
        </is>
      </c>
      <c r="C957" t="inlineStr">
        <is>
          <t>VIERNES</t>
        </is>
      </c>
      <c r="D957" t="n">
        <v>5</v>
      </c>
      <c r="E957" t="n">
        <v>3</v>
      </c>
      <c r="F957" t="inlineStr">
        <is>
          <t>ENFASIS</t>
        </is>
      </c>
      <c r="G957" t="inlineStr"/>
      <c r="H957" t="inlineStr">
        <is>
          <t>ETR</t>
        </is>
      </c>
      <c r="I957" t="inlineStr">
        <is>
          <t>CS202</t>
        </is>
      </c>
      <c r="J957" t="inlineStr">
        <is>
          <t>EQUIPO DE 4: cada docente atiende un grupo de estudiantes en su área</t>
        </is>
      </c>
      <c r="K957" t="inlineStr">
        <is>
          <t>Betancourth Ocampo Yohana Patricia (CSI); Bastidas Valencia Zeneida Judith (MAT); Mindineros Satizábal John Jáver (TEI)</t>
        </is>
      </c>
      <c r="L957" t="inlineStr">
        <is>
          <t>ÉNFASIS CS 2-2</t>
        </is>
      </c>
      <c r="M957" t="inlineStr">
        <is>
          <t>EQUIPO DE 4: cada docente atiende un grupo de estudiantes en su área · Con: Betancourth Ocampo Yohana Patricia (CSI); Bastidas Valencia Zeneida Judith (MAT); Mindineros Satizábal John Jáver (TEI)</t>
        </is>
      </c>
      <c r="N957">
        <f>C957&amp;"|"&amp;D957</f>
        <v/>
      </c>
      <c r="O957">
        <f>COUNTIF($N$2:N957,N957)</f>
        <v/>
      </c>
      <c r="P957">
        <f>N957&amp;"|"&amp;O957</f>
        <v/>
      </c>
      <c r="Q957">
        <f>C957&amp;"|"&amp;D957&amp;"|"&amp;A957</f>
        <v/>
      </c>
    </row>
    <row r="958">
      <c r="A958" t="n">
        <v>29</v>
      </c>
      <c r="B958" t="inlineStr">
        <is>
          <t>Mindineros Satizábal John Jáver</t>
        </is>
      </c>
      <c r="C958" t="inlineStr">
        <is>
          <t>VIERNES</t>
        </is>
      </c>
      <c r="D958" t="n">
        <v>5</v>
      </c>
      <c r="E958" t="n">
        <v>3</v>
      </c>
      <c r="F958" t="inlineStr">
        <is>
          <t>ENFASIS</t>
        </is>
      </c>
      <c r="G958" t="inlineStr"/>
      <c r="H958" t="inlineStr">
        <is>
          <t>TEI</t>
        </is>
      </c>
      <c r="I958" t="inlineStr">
        <is>
          <t>CS202</t>
        </is>
      </c>
      <c r="J958" t="inlineStr">
        <is>
          <t>EQUIPO DE 4: cada docente atiende un grupo de estudiantes en su área</t>
        </is>
      </c>
      <c r="K958" t="inlineStr">
        <is>
          <t>Betancourth Ocampo Yohana Patricia (CSI); Estacio Estupiñán Rosario (ETR); Bastidas Valencia Zeneida Judith (MAT)</t>
        </is>
      </c>
      <c r="L958" t="inlineStr">
        <is>
          <t>ÉNFASIS CS 2-2</t>
        </is>
      </c>
      <c r="M958" t="inlineStr">
        <is>
          <t>EQUIPO DE 4: cada docente atiende un grupo de estudiantes en su área · Con: Betancourth Ocampo Yohana Patricia (CSI); Estacio Estupiñán Rosario (ETR); Bastidas Valencia Zeneida Judith (MAT)</t>
        </is>
      </c>
      <c r="N958">
        <f>C958&amp;"|"&amp;D958</f>
        <v/>
      </c>
      <c r="O958">
        <f>COUNTIF($N$2:N958,N958)</f>
        <v/>
      </c>
      <c r="P958">
        <f>N958&amp;"|"&amp;O958</f>
        <v/>
      </c>
      <c r="Q958">
        <f>C958&amp;"|"&amp;D958&amp;"|"&amp;A958</f>
        <v/>
      </c>
    </row>
    <row r="959">
      <c r="A959" t="n">
        <v>26</v>
      </c>
      <c r="B959" t="inlineStr">
        <is>
          <t>Lozano Torres Amanda Inés</t>
        </is>
      </c>
      <c r="C959" t="inlineStr">
        <is>
          <t>VIERNES</t>
        </is>
      </c>
      <c r="D959" t="n">
        <v>6</v>
      </c>
      <c r="E959" t="n">
        <v>3</v>
      </c>
      <c r="F959" t="inlineStr">
        <is>
          <t>CLASE</t>
        </is>
      </c>
      <c r="G959" t="inlineStr">
        <is>
          <t>0601</t>
        </is>
      </c>
      <c r="H959" t="inlineStr">
        <is>
          <t>ETR</t>
        </is>
      </c>
      <c r="I959" t="inlineStr"/>
      <c r="J959" t="inlineStr">
        <is>
          <t>Ética / Religión (alternan cada semana)</t>
        </is>
      </c>
      <c r="K959" t="inlineStr"/>
      <c r="L959" t="inlineStr">
        <is>
          <t>6°-1</t>
        </is>
      </c>
      <c r="M959" t="inlineStr">
        <is>
          <t>Ética / Religión (alternan cada semana)</t>
        </is>
      </c>
      <c r="N959">
        <f>C959&amp;"|"&amp;D959</f>
        <v/>
      </c>
      <c r="O959">
        <f>COUNTIF($N$2:N959,N959)</f>
        <v/>
      </c>
      <c r="P959">
        <f>N959&amp;"|"&amp;O959</f>
        <v/>
      </c>
      <c r="Q959">
        <f>C959&amp;"|"&amp;D959&amp;"|"&amp;A959</f>
        <v/>
      </c>
    </row>
    <row r="960">
      <c r="A960" t="n">
        <v>57</v>
      </c>
      <c r="B960" t="inlineStr">
        <is>
          <t>Armero Dájome Jesús</t>
        </is>
      </c>
      <c r="C960" t="inlineStr">
        <is>
          <t>VIERNES</t>
        </is>
      </c>
      <c r="D960" t="n">
        <v>6</v>
      </c>
      <c r="E960" t="n">
        <v>3</v>
      </c>
      <c r="F960" t="inlineStr">
        <is>
          <t>CLASE</t>
        </is>
      </c>
      <c r="G960" t="inlineStr">
        <is>
          <t>0602</t>
        </is>
      </c>
      <c r="H960" t="inlineStr">
        <is>
          <t>ERD</t>
        </is>
      </c>
      <c r="I960" t="inlineStr"/>
      <c r="J960" t="inlineStr"/>
      <c r="K960" t="inlineStr"/>
      <c r="L960" t="inlineStr">
        <is>
          <t>6°-2</t>
        </is>
      </c>
      <c r="M960" t="inlineStr"/>
      <c r="N960">
        <f>C960&amp;"|"&amp;D960</f>
        <v/>
      </c>
      <c r="O960">
        <f>COUNTIF($N$2:N960,N960)</f>
        <v/>
      </c>
      <c r="P960">
        <f>N960&amp;"|"&amp;O960</f>
        <v/>
      </c>
      <c r="Q960">
        <f>C960&amp;"|"&amp;D960&amp;"|"&amp;A960</f>
        <v/>
      </c>
    </row>
    <row r="961">
      <c r="A961" t="n">
        <v>34</v>
      </c>
      <c r="B961" t="inlineStr">
        <is>
          <t>Ordóñez Tenorio Jaime Marcial</t>
        </is>
      </c>
      <c r="C961" t="inlineStr">
        <is>
          <t>VIERNES</t>
        </is>
      </c>
      <c r="D961" t="n">
        <v>6</v>
      </c>
      <c r="E961" t="n">
        <v>3</v>
      </c>
      <c r="F961" t="inlineStr">
        <is>
          <t>CLASE</t>
        </is>
      </c>
      <c r="G961" t="inlineStr">
        <is>
          <t>0701</t>
        </is>
      </c>
      <c r="H961" t="inlineStr">
        <is>
          <t>CNA</t>
        </is>
      </c>
      <c r="I961" t="inlineStr"/>
      <c r="J961" t="inlineStr"/>
      <c r="K961" t="inlineStr"/>
      <c r="L961" t="inlineStr">
        <is>
          <t>7°-1</t>
        </is>
      </c>
      <c r="M961" t="inlineStr"/>
      <c r="N961">
        <f>C961&amp;"|"&amp;D961</f>
        <v/>
      </c>
      <c r="O961">
        <f>COUNTIF($N$2:N961,N961)</f>
        <v/>
      </c>
      <c r="P961">
        <f>N961&amp;"|"&amp;O961</f>
        <v/>
      </c>
      <c r="Q961">
        <f>C961&amp;"|"&amp;D961&amp;"|"&amp;A961</f>
        <v/>
      </c>
    </row>
    <row r="962">
      <c r="A962" t="n">
        <v>41</v>
      </c>
      <c r="B962" t="inlineStr">
        <is>
          <t>Quintero Ramírez María del Carmen</t>
        </is>
      </c>
      <c r="C962" t="inlineStr">
        <is>
          <t>VIERNES</t>
        </is>
      </c>
      <c r="D962" t="n">
        <v>6</v>
      </c>
      <c r="E962" t="n">
        <v>3</v>
      </c>
      <c r="F962" t="inlineStr">
        <is>
          <t>CLASE</t>
        </is>
      </c>
      <c r="G962" t="inlineStr">
        <is>
          <t>0702</t>
        </is>
      </c>
      <c r="H962" t="inlineStr">
        <is>
          <t>CSI</t>
        </is>
      </c>
      <c r="I962" t="inlineStr"/>
      <c r="J962" t="inlineStr">
        <is>
          <t>Sociales / Inglés (alternan cada semana)</t>
        </is>
      </c>
      <c r="K962" t="inlineStr"/>
      <c r="L962" t="inlineStr">
        <is>
          <t>7°-2</t>
        </is>
      </c>
      <c r="M962" t="inlineStr">
        <is>
          <t>Sociales / Inglés (alternan cada semana)</t>
        </is>
      </c>
      <c r="N962">
        <f>C962&amp;"|"&amp;D962</f>
        <v/>
      </c>
      <c r="O962">
        <f>COUNTIF($N$2:N962,N962)</f>
        <v/>
      </c>
      <c r="P962">
        <f>N962&amp;"|"&amp;O962</f>
        <v/>
      </c>
      <c r="Q962">
        <f>C962&amp;"|"&amp;D962&amp;"|"&amp;A962</f>
        <v/>
      </c>
    </row>
    <row r="963">
      <c r="A963" t="n">
        <v>39</v>
      </c>
      <c r="B963" t="inlineStr">
        <is>
          <t>Puches Ana Milena</t>
        </is>
      </c>
      <c r="C963" t="inlineStr">
        <is>
          <t>VIERNES</t>
        </is>
      </c>
      <c r="D963" t="n">
        <v>6</v>
      </c>
      <c r="E963" t="n">
        <v>3</v>
      </c>
      <c r="F963" t="inlineStr">
        <is>
          <t>CLASE</t>
        </is>
      </c>
      <c r="G963" t="inlineStr">
        <is>
          <t>0703</t>
        </is>
      </c>
      <c r="H963" t="inlineStr">
        <is>
          <t>ART</t>
        </is>
      </c>
      <c r="I963" t="inlineStr"/>
      <c r="J963" t="inlineStr"/>
      <c r="K963" t="inlineStr"/>
      <c r="L963" t="inlineStr">
        <is>
          <t>7°-3</t>
        </is>
      </c>
      <c r="M963" t="inlineStr"/>
      <c r="N963">
        <f>C963&amp;"|"&amp;D963</f>
        <v/>
      </c>
      <c r="O963">
        <f>COUNTIF($N$2:N963,N963)</f>
        <v/>
      </c>
      <c r="P963">
        <f>N963&amp;"|"&amp;O963</f>
        <v/>
      </c>
      <c r="Q963">
        <f>C963&amp;"|"&amp;D963&amp;"|"&amp;A963</f>
        <v/>
      </c>
    </row>
    <row r="964">
      <c r="A964" t="n">
        <v>52</v>
      </c>
      <c r="B964" t="inlineStr">
        <is>
          <t>Vásquez Valencia Segundo Leoncio</t>
        </is>
      </c>
      <c r="C964" t="inlineStr">
        <is>
          <t>VIERNES</t>
        </is>
      </c>
      <c r="D964" t="n">
        <v>6</v>
      </c>
      <c r="E964" t="n">
        <v>3</v>
      </c>
      <c r="F964" t="inlineStr">
        <is>
          <t>CLASE</t>
        </is>
      </c>
      <c r="G964" t="inlineStr">
        <is>
          <t>0704</t>
        </is>
      </c>
      <c r="H964" t="inlineStr">
        <is>
          <t>MAT</t>
        </is>
      </c>
      <c r="I964" t="inlineStr"/>
      <c r="J964" t="inlineStr"/>
      <c r="K964" t="inlineStr"/>
      <c r="L964" t="inlineStr">
        <is>
          <t>7°-4</t>
        </is>
      </c>
      <c r="M964" t="inlineStr"/>
      <c r="N964">
        <f>C964&amp;"|"&amp;D964</f>
        <v/>
      </c>
      <c r="O964">
        <f>COUNTIF($N$2:N964,N964)</f>
        <v/>
      </c>
      <c r="P964">
        <f>N964&amp;"|"&amp;O964</f>
        <v/>
      </c>
      <c r="Q964">
        <f>C964&amp;"|"&amp;D964&amp;"|"&amp;A964</f>
        <v/>
      </c>
    </row>
    <row r="965">
      <c r="A965" t="n">
        <v>38</v>
      </c>
      <c r="B965" t="inlineStr">
        <is>
          <t>Preciado Torres Oleisa</t>
        </is>
      </c>
      <c r="C965" t="inlineStr">
        <is>
          <t>VIERNES</t>
        </is>
      </c>
      <c r="D965" t="n">
        <v>6</v>
      </c>
      <c r="E965" t="n">
        <v>3</v>
      </c>
      <c r="F965" t="inlineStr">
        <is>
          <t>CLASE</t>
        </is>
      </c>
      <c r="G965" t="inlineStr">
        <is>
          <t>0802</t>
        </is>
      </c>
      <c r="H965" t="inlineStr">
        <is>
          <t>MAT</t>
        </is>
      </c>
      <c r="I965" t="inlineStr"/>
      <c r="J965" t="inlineStr"/>
      <c r="K965" t="inlineStr"/>
      <c r="L965" t="inlineStr">
        <is>
          <t>8°-2</t>
        </is>
      </c>
      <c r="M965" t="inlineStr"/>
      <c r="N965">
        <f>C965&amp;"|"&amp;D965</f>
        <v/>
      </c>
      <c r="O965">
        <f>COUNTIF($N$2:N965,N965)</f>
        <v/>
      </c>
      <c r="P965">
        <f>N965&amp;"|"&amp;O965</f>
        <v/>
      </c>
      <c r="Q965">
        <f>C965&amp;"|"&amp;D965&amp;"|"&amp;A965</f>
        <v/>
      </c>
    </row>
    <row r="966">
      <c r="A966" t="n">
        <v>22</v>
      </c>
      <c r="B966" t="inlineStr">
        <is>
          <t>González Castillo Jólmer Jimy</t>
        </is>
      </c>
      <c r="C966" t="inlineStr">
        <is>
          <t>VIERNES</t>
        </is>
      </c>
      <c r="D966" t="n">
        <v>6</v>
      </c>
      <c r="E966" t="n">
        <v>3</v>
      </c>
      <c r="F966" t="inlineStr">
        <is>
          <t>CLASE</t>
        </is>
      </c>
      <c r="G966" t="inlineStr">
        <is>
          <t>0901</t>
        </is>
      </c>
      <c r="H966" t="inlineStr">
        <is>
          <t>ERD</t>
        </is>
      </c>
      <c r="I966" t="inlineStr"/>
      <c r="J966" t="inlineStr"/>
      <c r="K966" t="inlineStr"/>
      <c r="L966" t="inlineStr">
        <is>
          <t>9°-1</t>
        </is>
      </c>
      <c r="M966" t="inlineStr"/>
      <c r="N966">
        <f>C966&amp;"|"&amp;D966</f>
        <v/>
      </c>
      <c r="O966">
        <f>COUNTIF($N$2:N966,N966)</f>
        <v/>
      </c>
      <c r="P966">
        <f>N966&amp;"|"&amp;O966</f>
        <v/>
      </c>
      <c r="Q966">
        <f>C966&amp;"|"&amp;D966&amp;"|"&amp;A966</f>
        <v/>
      </c>
    </row>
    <row r="967">
      <c r="A967" t="n">
        <v>25</v>
      </c>
      <c r="B967" t="inlineStr">
        <is>
          <t>Lemos Guancha Miriam</t>
        </is>
      </c>
      <c r="C967" t="inlineStr">
        <is>
          <t>VIERNES</t>
        </is>
      </c>
      <c r="D967" t="n">
        <v>6</v>
      </c>
      <c r="E967" t="n">
        <v>3</v>
      </c>
      <c r="F967" t="inlineStr">
        <is>
          <t>CLASE</t>
        </is>
      </c>
      <c r="G967" t="inlineStr">
        <is>
          <t>0902</t>
        </is>
      </c>
      <c r="H967" t="inlineStr">
        <is>
          <t>CNA</t>
        </is>
      </c>
      <c r="I967" t="inlineStr"/>
      <c r="J967" t="inlineStr"/>
      <c r="K967" t="inlineStr"/>
      <c r="L967" t="inlineStr">
        <is>
          <t>9°-2</t>
        </is>
      </c>
      <c r="M967" t="inlineStr"/>
      <c r="N967">
        <f>C967&amp;"|"&amp;D967</f>
        <v/>
      </c>
      <c r="O967">
        <f>COUNTIF($N$2:N967,N967)</f>
        <v/>
      </c>
      <c r="P967">
        <f>N967&amp;"|"&amp;O967</f>
        <v/>
      </c>
      <c r="Q967">
        <f>C967&amp;"|"&amp;D967&amp;"|"&amp;A967</f>
        <v/>
      </c>
    </row>
    <row r="968">
      <c r="A968" t="n">
        <v>54</v>
      </c>
      <c r="B968" t="inlineStr">
        <is>
          <t>Villota Rubio Janeth del Carmen</t>
        </is>
      </c>
      <c r="C968" t="inlineStr">
        <is>
          <t>VIERNES</t>
        </is>
      </c>
      <c r="D968" t="n">
        <v>6</v>
      </c>
      <c r="E968" t="n">
        <v>3</v>
      </c>
      <c r="F968" t="inlineStr">
        <is>
          <t>CLASE</t>
        </is>
      </c>
      <c r="G968" t="inlineStr">
        <is>
          <t>1002</t>
        </is>
      </c>
      <c r="H968" t="inlineStr">
        <is>
          <t>MAT</t>
        </is>
      </c>
      <c r="I968" t="inlineStr"/>
      <c r="J968" t="inlineStr"/>
      <c r="K968" t="inlineStr"/>
      <c r="L968" t="inlineStr">
        <is>
          <t>10°-2</t>
        </is>
      </c>
      <c r="M968" t="inlineStr"/>
      <c r="N968">
        <f>C968&amp;"|"&amp;D968</f>
        <v/>
      </c>
      <c r="O968">
        <f>COUNTIF($N$2:N968,N968)</f>
        <v/>
      </c>
      <c r="P968">
        <f>N968&amp;"|"&amp;O968</f>
        <v/>
      </c>
      <c r="Q968">
        <f>C968&amp;"|"&amp;D968&amp;"|"&amp;A968</f>
        <v/>
      </c>
    </row>
    <row r="969">
      <c r="A969" t="n">
        <v>40</v>
      </c>
      <c r="B969" t="inlineStr">
        <is>
          <t>Pulgarín Ortiz César Marino</t>
        </is>
      </c>
      <c r="C969" t="inlineStr">
        <is>
          <t>VIERNES</t>
        </is>
      </c>
      <c r="D969" t="n">
        <v>6</v>
      </c>
      <c r="E969" t="n">
        <v>3</v>
      </c>
      <c r="F969" t="inlineStr">
        <is>
          <t>CLASE</t>
        </is>
      </c>
      <c r="G969" t="inlineStr">
        <is>
          <t>1101</t>
        </is>
      </c>
      <c r="H969" t="inlineStr">
        <is>
          <t>CSI</t>
        </is>
      </c>
      <c r="I969" t="inlineStr"/>
      <c r="J969" t="inlineStr">
        <is>
          <t>Sociales / Inglés (alternan cada semana)</t>
        </is>
      </c>
      <c r="K969" t="inlineStr"/>
      <c r="L969" t="inlineStr">
        <is>
          <t>11°-1</t>
        </is>
      </c>
      <c r="M969" t="inlineStr">
        <is>
          <t>Sociales / Inglés (alternan cada semana)</t>
        </is>
      </c>
      <c r="N969">
        <f>C969&amp;"|"&amp;D969</f>
        <v/>
      </c>
      <c r="O969">
        <f>COUNTIF($N$2:N969,N969)</f>
        <v/>
      </c>
      <c r="P969">
        <f>N969&amp;"|"&amp;O969</f>
        <v/>
      </c>
      <c r="Q969">
        <f>C969&amp;"|"&amp;D969&amp;"|"&amp;A969</f>
        <v/>
      </c>
    </row>
    <row r="970">
      <c r="A970" t="n">
        <v>31</v>
      </c>
      <c r="B970" t="inlineStr">
        <is>
          <t>Montaño Arizala Leidis Claudina</t>
        </is>
      </c>
      <c r="C970" t="inlineStr">
        <is>
          <t>VIERNES</t>
        </is>
      </c>
      <c r="D970" t="n">
        <v>6</v>
      </c>
      <c r="E970" t="n">
        <v>3</v>
      </c>
      <c r="F970" t="inlineStr">
        <is>
          <t>CLASE</t>
        </is>
      </c>
      <c r="G970" t="inlineStr">
        <is>
          <t>1102</t>
        </is>
      </c>
      <c r="H970" t="inlineStr">
        <is>
          <t>ETR</t>
        </is>
      </c>
      <c r="I970" t="inlineStr"/>
      <c r="J970" t="inlineStr">
        <is>
          <t>Ética / Religión (alternan cada semana)</t>
        </is>
      </c>
      <c r="K970" t="inlineStr"/>
      <c r="L970" t="inlineStr">
        <is>
          <t>11°-2</t>
        </is>
      </c>
      <c r="M970" t="inlineStr">
        <is>
          <t>Ética / Religión (alternan cada semana)</t>
        </is>
      </c>
      <c r="N970">
        <f>C970&amp;"|"&amp;D970</f>
        <v/>
      </c>
      <c r="O970">
        <f>COUNTIF($N$2:N970,N970)</f>
        <v/>
      </c>
      <c r="P970">
        <f>N970&amp;"|"&amp;O970</f>
        <v/>
      </c>
      <c r="Q970">
        <f>C970&amp;"|"&amp;D970&amp;"|"&amp;A970</f>
        <v/>
      </c>
    </row>
    <row r="971">
      <c r="A971" t="n">
        <v>42</v>
      </c>
      <c r="B971" t="inlineStr">
        <is>
          <t>Quiñones Cabezas Marcos Vidal</t>
        </is>
      </c>
      <c r="C971" t="inlineStr">
        <is>
          <t>VIERNES</t>
        </is>
      </c>
      <c r="D971" t="n">
        <v>6</v>
      </c>
      <c r="E971" t="n">
        <v>3</v>
      </c>
      <c r="F971" t="inlineStr">
        <is>
          <t>CLASE</t>
        </is>
      </c>
      <c r="G971" t="inlineStr">
        <is>
          <t>CS101</t>
        </is>
      </c>
      <c r="H971" t="inlineStr">
        <is>
          <t>MAT</t>
        </is>
      </c>
      <c r="I971" t="inlineStr"/>
      <c r="J971" t="inlineStr"/>
      <c r="K971" t="inlineStr"/>
      <c r="L971" t="inlineStr">
        <is>
          <t>CS 1-1</t>
        </is>
      </c>
      <c r="M971" t="inlineStr"/>
      <c r="N971">
        <f>C971&amp;"|"&amp;D971</f>
        <v/>
      </c>
      <c r="O971">
        <f>COUNTIF($N$2:N971,N971)</f>
        <v/>
      </c>
      <c r="P971">
        <f>N971&amp;"|"&amp;O971</f>
        <v/>
      </c>
      <c r="Q971">
        <f>C971&amp;"|"&amp;D971&amp;"|"&amp;A971</f>
        <v/>
      </c>
    </row>
    <row r="972">
      <c r="A972" t="n">
        <v>16</v>
      </c>
      <c r="B972" t="inlineStr">
        <is>
          <t>Cuero Rincón Hernando Jesús</t>
        </is>
      </c>
      <c r="C972" t="inlineStr">
        <is>
          <t>VIERNES</t>
        </is>
      </c>
      <c r="D972" t="n">
        <v>6</v>
      </c>
      <c r="E972" t="n">
        <v>3</v>
      </c>
      <c r="F972" t="inlineStr">
        <is>
          <t>CLASE</t>
        </is>
      </c>
      <c r="G972" t="inlineStr">
        <is>
          <t>CS102</t>
        </is>
      </c>
      <c r="H972" t="inlineStr">
        <is>
          <t>CAS</t>
        </is>
      </c>
      <c r="I972" t="inlineStr"/>
      <c r="J972" t="inlineStr"/>
      <c r="K972" t="inlineStr"/>
      <c r="L972" t="inlineStr">
        <is>
          <t>CS 1-2</t>
        </is>
      </c>
      <c r="M972" t="inlineStr"/>
      <c r="N972">
        <f>C972&amp;"|"&amp;D972</f>
        <v/>
      </c>
      <c r="O972">
        <f>COUNTIF($N$2:N972,N972)</f>
        <v/>
      </c>
      <c r="P972">
        <f>N972&amp;"|"&amp;O972</f>
        <v/>
      </c>
      <c r="Q972">
        <f>C972&amp;"|"&amp;D972&amp;"|"&amp;A972</f>
        <v/>
      </c>
    </row>
    <row r="973">
      <c r="A973" t="n">
        <v>19</v>
      </c>
      <c r="B973" t="inlineStr">
        <is>
          <t>Fernández Vélez Alfredo Enrique</t>
        </is>
      </c>
      <c r="C973" t="inlineStr">
        <is>
          <t>VIERNES</t>
        </is>
      </c>
      <c r="D973" t="n">
        <v>6</v>
      </c>
      <c r="E973" t="n">
        <v>3</v>
      </c>
      <c r="F973" t="inlineStr">
        <is>
          <t>CLASE</t>
        </is>
      </c>
      <c r="G973" t="inlineStr">
        <is>
          <t>CS201</t>
        </is>
      </c>
      <c r="H973" t="inlineStr">
        <is>
          <t>TEI</t>
        </is>
      </c>
      <c r="I973" t="inlineStr"/>
      <c r="J973" t="inlineStr"/>
      <c r="K973" t="inlineStr"/>
      <c r="L973" t="inlineStr">
        <is>
          <t>CS 2-1</t>
        </is>
      </c>
      <c r="M973" t="inlineStr"/>
      <c r="N973">
        <f>C973&amp;"|"&amp;D973</f>
        <v/>
      </c>
      <c r="O973">
        <f>COUNTIF($N$2:N973,N973)</f>
        <v/>
      </c>
      <c r="P973">
        <f>N973&amp;"|"&amp;O973</f>
        <v/>
      </c>
      <c r="Q973">
        <f>C973&amp;"|"&amp;D973&amp;"|"&amp;A973</f>
        <v/>
      </c>
    </row>
    <row r="974">
      <c r="A974" t="n">
        <v>12</v>
      </c>
      <c r="B974" t="inlineStr">
        <is>
          <t>Chillambo Quiñones María Rocío</t>
        </is>
      </c>
      <c r="C974" t="inlineStr">
        <is>
          <t>VIERNES</t>
        </is>
      </c>
      <c r="D974" t="n">
        <v>6</v>
      </c>
      <c r="E974" t="n">
        <v>3</v>
      </c>
      <c r="F974" t="inlineStr">
        <is>
          <t>ENFASIS</t>
        </is>
      </c>
      <c r="G974" t="inlineStr"/>
      <c r="H974" t="inlineStr">
        <is>
          <t>CNA</t>
        </is>
      </c>
      <c r="I974" t="inlineStr">
        <is>
          <t>0801</t>
        </is>
      </c>
      <c r="J974" t="inlineStr">
        <is>
          <t>EQUIPO DE 4: cada docente atiende un grupo de estudiantes en su área</t>
        </is>
      </c>
      <c r="K974" t="inlineStr">
        <is>
          <t>Samaniego Angulo Flor Mireya (ART); Valverde Montaño María Teresa (CAS); Cuero Bamba Berte Levi (ERD)</t>
        </is>
      </c>
      <c r="L974" t="inlineStr">
        <is>
          <t>ÉNFASIS 8°-1</t>
        </is>
      </c>
      <c r="M974" t="inlineStr">
        <is>
          <t>EQUIPO DE 4: cada docente atiende un grupo de estudiantes en su área · Con: Samaniego Angulo Flor Mireya (ART); Valverde Montaño María Teresa (CAS); Cuero Bamba Berte Levi (ERD)</t>
        </is>
      </c>
      <c r="N974">
        <f>C974&amp;"|"&amp;D974</f>
        <v/>
      </c>
      <c r="O974">
        <f>COUNTIF($N$2:N974,N974)</f>
        <v/>
      </c>
      <c r="P974">
        <f>N974&amp;"|"&amp;O974</f>
        <v/>
      </c>
      <c r="Q974">
        <f>C974&amp;"|"&amp;D974&amp;"|"&amp;A974</f>
        <v/>
      </c>
    </row>
    <row r="975">
      <c r="A975" t="n">
        <v>15</v>
      </c>
      <c r="B975" t="inlineStr">
        <is>
          <t>Cuero Bamba Berte Levi</t>
        </is>
      </c>
      <c r="C975" t="inlineStr">
        <is>
          <t>VIERNES</t>
        </is>
      </c>
      <c r="D975" t="n">
        <v>6</v>
      </c>
      <c r="E975" t="n">
        <v>3</v>
      </c>
      <c r="F975" t="inlineStr">
        <is>
          <t>ENFASIS</t>
        </is>
      </c>
      <c r="G975" t="inlineStr"/>
      <c r="H975" t="inlineStr">
        <is>
          <t>ERD</t>
        </is>
      </c>
      <c r="I975" t="inlineStr">
        <is>
          <t>0801</t>
        </is>
      </c>
      <c r="J975" t="inlineStr">
        <is>
          <t>EQUIPO DE 4: cada docente atiende un grupo de estudiantes en su área</t>
        </is>
      </c>
      <c r="K975" t="inlineStr">
        <is>
          <t>Samaniego Angulo Flor Mireya (ART); Valverde Montaño María Teresa (CAS); Chillambo Quiñones María Rocío (CNA)</t>
        </is>
      </c>
      <c r="L975" t="inlineStr">
        <is>
          <t>ÉNFASIS 8°-1</t>
        </is>
      </c>
      <c r="M975" t="inlineStr">
        <is>
          <t>EQUIPO DE 4: cada docente atiende un grupo de estudiantes en su área · Con: Samaniego Angulo Flor Mireya (ART); Valverde Montaño María Teresa (CAS); Chillambo Quiñones María Rocío (CNA)</t>
        </is>
      </c>
      <c r="N975">
        <f>C975&amp;"|"&amp;D975</f>
        <v/>
      </c>
      <c r="O975">
        <f>COUNTIF($N$2:N975,N975)</f>
        <v/>
      </c>
      <c r="P975">
        <f>N975&amp;"|"&amp;O975</f>
        <v/>
      </c>
      <c r="Q975">
        <f>C975&amp;"|"&amp;D975&amp;"|"&amp;A975</f>
        <v/>
      </c>
    </row>
    <row r="976">
      <c r="A976" t="n">
        <v>44</v>
      </c>
      <c r="B976" t="inlineStr">
        <is>
          <t>Samaniego Angulo Flor Mireya</t>
        </is>
      </c>
      <c r="C976" t="inlineStr">
        <is>
          <t>VIERNES</t>
        </is>
      </c>
      <c r="D976" t="n">
        <v>6</v>
      </c>
      <c r="E976" t="n">
        <v>3</v>
      </c>
      <c r="F976" t="inlineStr">
        <is>
          <t>ENFASIS</t>
        </is>
      </c>
      <c r="G976" t="inlineStr"/>
      <c r="H976" t="inlineStr">
        <is>
          <t>ART</t>
        </is>
      </c>
      <c r="I976" t="inlineStr">
        <is>
          <t>0801</t>
        </is>
      </c>
      <c r="J976" t="inlineStr">
        <is>
          <t>EQUIPO DE 4: cada docente atiende un grupo de estudiantes en su área</t>
        </is>
      </c>
      <c r="K976" t="inlineStr">
        <is>
          <t>Valverde Montaño María Teresa (CAS); Cuero Bamba Berte Levi (ERD); Chillambo Quiñones María Rocío (CNA)</t>
        </is>
      </c>
      <c r="L976" t="inlineStr">
        <is>
          <t>ÉNFASIS 8°-1</t>
        </is>
      </c>
      <c r="M976" t="inlineStr">
        <is>
          <t>EQUIPO DE 4: cada docente atiende un grupo de estudiantes en su área · Con: Valverde Montaño María Teresa (CAS); Cuero Bamba Berte Levi (ERD); Chillambo Quiñones María Rocío (CNA)</t>
        </is>
      </c>
      <c r="N976">
        <f>C976&amp;"|"&amp;D976</f>
        <v/>
      </c>
      <c r="O976">
        <f>COUNTIF($N$2:N976,N976)</f>
        <v/>
      </c>
      <c r="P976">
        <f>N976&amp;"|"&amp;O976</f>
        <v/>
      </c>
      <c r="Q976">
        <f>C976&amp;"|"&amp;D976&amp;"|"&amp;A976</f>
        <v/>
      </c>
    </row>
    <row r="977">
      <c r="A977" t="n">
        <v>51</v>
      </c>
      <c r="B977" t="inlineStr">
        <is>
          <t>Valverde Montaño María Teresa</t>
        </is>
      </c>
      <c r="C977" t="inlineStr">
        <is>
          <t>VIERNES</t>
        </is>
      </c>
      <c r="D977" t="n">
        <v>6</v>
      </c>
      <c r="E977" t="n">
        <v>3</v>
      </c>
      <c r="F977" t="inlineStr">
        <is>
          <t>ENFASIS</t>
        </is>
      </c>
      <c r="G977" t="inlineStr"/>
      <c r="H977" t="inlineStr">
        <is>
          <t>CAS</t>
        </is>
      </c>
      <c r="I977" t="inlineStr">
        <is>
          <t>0801</t>
        </is>
      </c>
      <c r="J977" t="inlineStr">
        <is>
          <t>EQUIPO DE 4: cada docente atiende un grupo de estudiantes en su área</t>
        </is>
      </c>
      <c r="K977" t="inlineStr">
        <is>
          <t>Samaniego Angulo Flor Mireya (ART); Cuero Bamba Berte Levi (ERD); Chillambo Quiñones María Rocío (CNA)</t>
        </is>
      </c>
      <c r="L977" t="inlineStr">
        <is>
          <t>ÉNFASIS 8°-1</t>
        </is>
      </c>
      <c r="M977" t="inlineStr">
        <is>
          <t>EQUIPO DE 4: cada docente atiende un grupo de estudiantes en su área · Con: Samaniego Angulo Flor Mireya (ART); Cuero Bamba Berte Levi (ERD); Chillambo Quiñones María Rocío (CNA)</t>
        </is>
      </c>
      <c r="N977">
        <f>C977&amp;"|"&amp;D977</f>
        <v/>
      </c>
      <c r="O977">
        <f>COUNTIF($N$2:N977,N977)</f>
        <v/>
      </c>
      <c r="P977">
        <f>N977&amp;"|"&amp;O977</f>
        <v/>
      </c>
      <c r="Q977">
        <f>C977&amp;"|"&amp;D977&amp;"|"&amp;A977</f>
        <v/>
      </c>
    </row>
    <row r="978">
      <c r="A978" t="n">
        <v>3</v>
      </c>
      <c r="B978" t="inlineStr">
        <is>
          <t>Arboleda Ortiz Luz América</t>
        </is>
      </c>
      <c r="C978" t="inlineStr">
        <is>
          <t>VIERNES</t>
        </is>
      </c>
      <c r="D978" t="n">
        <v>6</v>
      </c>
      <c r="E978" t="n">
        <v>3</v>
      </c>
      <c r="F978" t="inlineStr">
        <is>
          <t>ENFASIS</t>
        </is>
      </c>
      <c r="G978" t="inlineStr"/>
      <c r="H978" t="inlineStr">
        <is>
          <t>ART</t>
        </is>
      </c>
      <c r="I978" t="inlineStr">
        <is>
          <t>1001</t>
        </is>
      </c>
      <c r="J978" t="inlineStr">
        <is>
          <t>EQUIPO DE 4: cada docente atiende un grupo de estudiantes en su área</t>
        </is>
      </c>
      <c r="K978" t="inlineStr">
        <is>
          <t>Montaño Anchico Favio Héctor (CAS); Ramírez Guerra Jimmy Eduardo (ERD); Villota Rubio Héctor Hugo (CNA)</t>
        </is>
      </c>
      <c r="L978" t="inlineStr">
        <is>
          <t>ÉNFASIS 10°-1</t>
        </is>
      </c>
      <c r="M978" t="inlineStr">
        <is>
          <t>EQUIPO DE 4: cada docente atiende un grupo de estudiantes en su área · Con: Montaño Anchico Favio Héctor (CAS); Ramírez Guerra Jimmy Eduardo (ERD); Villota Rubio Héctor Hugo (CNA)</t>
        </is>
      </c>
      <c r="N978">
        <f>C978&amp;"|"&amp;D978</f>
        <v/>
      </c>
      <c r="O978">
        <f>COUNTIF($N$2:N978,N978)</f>
        <v/>
      </c>
      <c r="P978">
        <f>N978&amp;"|"&amp;O978</f>
        <v/>
      </c>
      <c r="Q978">
        <f>C978&amp;"|"&amp;D978&amp;"|"&amp;A978</f>
        <v/>
      </c>
    </row>
    <row r="979">
      <c r="A979" t="n">
        <v>30</v>
      </c>
      <c r="B979" t="inlineStr">
        <is>
          <t>Montaño Anchico Favio Héctor</t>
        </is>
      </c>
      <c r="C979" t="inlineStr">
        <is>
          <t>VIERNES</t>
        </is>
      </c>
      <c r="D979" t="n">
        <v>6</v>
      </c>
      <c r="E979" t="n">
        <v>3</v>
      </c>
      <c r="F979" t="inlineStr">
        <is>
          <t>ENFASIS</t>
        </is>
      </c>
      <c r="G979" t="inlineStr"/>
      <c r="H979" t="inlineStr">
        <is>
          <t>CAS</t>
        </is>
      </c>
      <c r="I979" t="inlineStr">
        <is>
          <t>1001</t>
        </is>
      </c>
      <c r="J979" t="inlineStr">
        <is>
          <t>EQUIPO DE 4: cada docente atiende un grupo de estudiantes en su área</t>
        </is>
      </c>
      <c r="K979" t="inlineStr">
        <is>
          <t>Arboleda Ortiz Luz América (ART); Ramírez Guerra Jimmy Eduardo (ERD); Villota Rubio Héctor Hugo (CNA)</t>
        </is>
      </c>
      <c r="L979" t="inlineStr">
        <is>
          <t>ÉNFASIS 10°-1</t>
        </is>
      </c>
      <c r="M979" t="inlineStr">
        <is>
          <t>EQUIPO DE 4: cada docente atiende un grupo de estudiantes en su área · Con: Arboleda Ortiz Luz América (ART); Ramírez Guerra Jimmy Eduardo (ERD); Villota Rubio Héctor Hugo (CNA)</t>
        </is>
      </c>
      <c r="N979">
        <f>C979&amp;"|"&amp;D979</f>
        <v/>
      </c>
      <c r="O979">
        <f>COUNTIF($N$2:N979,N979)</f>
        <v/>
      </c>
      <c r="P979">
        <f>N979&amp;"|"&amp;O979</f>
        <v/>
      </c>
      <c r="Q979">
        <f>C979&amp;"|"&amp;D979&amp;"|"&amp;A979</f>
        <v/>
      </c>
    </row>
    <row r="980">
      <c r="A980" t="n">
        <v>43</v>
      </c>
      <c r="B980" t="inlineStr">
        <is>
          <t>Ramírez Guerra Jimmy Eduardo</t>
        </is>
      </c>
      <c r="C980" t="inlineStr">
        <is>
          <t>VIERNES</t>
        </is>
      </c>
      <c r="D980" t="n">
        <v>6</v>
      </c>
      <c r="E980" t="n">
        <v>3</v>
      </c>
      <c r="F980" t="inlineStr">
        <is>
          <t>ENFASIS</t>
        </is>
      </c>
      <c r="G980" t="inlineStr"/>
      <c r="H980" t="inlineStr">
        <is>
          <t>ERD</t>
        </is>
      </c>
      <c r="I980" t="inlineStr">
        <is>
          <t>1001</t>
        </is>
      </c>
      <c r="J980" t="inlineStr">
        <is>
          <t>EQUIPO DE 4: cada docente atiende un grupo de estudiantes en su área</t>
        </is>
      </c>
      <c r="K980" t="inlineStr">
        <is>
          <t>Arboleda Ortiz Luz América (ART); Montaño Anchico Favio Héctor (CAS); Villota Rubio Héctor Hugo (CNA)</t>
        </is>
      </c>
      <c r="L980" t="inlineStr">
        <is>
          <t>ÉNFASIS 10°-1</t>
        </is>
      </c>
      <c r="M980" t="inlineStr">
        <is>
          <t>EQUIPO DE 4: cada docente atiende un grupo de estudiantes en su área · Con: Arboleda Ortiz Luz América (ART); Montaño Anchico Favio Héctor (CAS); Villota Rubio Héctor Hugo (CNA)</t>
        </is>
      </c>
      <c r="N980">
        <f>C980&amp;"|"&amp;D980</f>
        <v/>
      </c>
      <c r="O980">
        <f>COUNTIF($N$2:N980,N980)</f>
        <v/>
      </c>
      <c r="P980">
        <f>N980&amp;"|"&amp;O980</f>
        <v/>
      </c>
      <c r="Q980">
        <f>C980&amp;"|"&amp;D980&amp;"|"&amp;A980</f>
        <v/>
      </c>
    </row>
    <row r="981">
      <c r="A981" t="n">
        <v>53</v>
      </c>
      <c r="B981" t="inlineStr">
        <is>
          <t>Villota Rubio Héctor Hugo</t>
        </is>
      </c>
      <c r="C981" t="inlineStr">
        <is>
          <t>VIERNES</t>
        </is>
      </c>
      <c r="D981" t="n">
        <v>6</v>
      </c>
      <c r="E981" t="n">
        <v>3</v>
      </c>
      <c r="F981" t="inlineStr">
        <is>
          <t>ENFASIS</t>
        </is>
      </c>
      <c r="G981" t="inlineStr"/>
      <c r="H981" t="inlineStr">
        <is>
          <t>CNA</t>
        </is>
      </c>
      <c r="I981" t="inlineStr">
        <is>
          <t>1001</t>
        </is>
      </c>
      <c r="J981" t="inlineStr">
        <is>
          <t>EQUIPO DE 4: cada docente atiende un grupo de estudiantes en su área</t>
        </is>
      </c>
      <c r="K981" t="inlineStr">
        <is>
          <t>Arboleda Ortiz Luz América (ART); Montaño Anchico Favio Héctor (CAS); Ramírez Guerra Jimmy Eduardo (ERD)</t>
        </is>
      </c>
      <c r="L981" t="inlineStr">
        <is>
          <t>ÉNFASIS 10°-1</t>
        </is>
      </c>
      <c r="M981" t="inlineStr">
        <is>
          <t>EQUIPO DE 4: cada docente atiende un grupo de estudiantes en su área · Con: Arboleda Ortiz Luz América (ART); Montaño Anchico Favio Héctor (CAS); Ramírez Guerra Jimmy Eduardo (ERD)</t>
        </is>
      </c>
      <c r="N981">
        <f>C981&amp;"|"&amp;D981</f>
        <v/>
      </c>
      <c r="O981">
        <f>COUNTIF($N$2:N981,N981)</f>
        <v/>
      </c>
      <c r="P981">
        <f>N981&amp;"|"&amp;O981</f>
        <v/>
      </c>
      <c r="Q981">
        <f>C981&amp;"|"&amp;D981&amp;"|"&amp;A981</f>
        <v/>
      </c>
    </row>
    <row r="982">
      <c r="A982" t="n">
        <v>5</v>
      </c>
      <c r="B982" t="inlineStr">
        <is>
          <t>Bastidas Valencia Zeneida Judith</t>
        </is>
      </c>
      <c r="C982" t="inlineStr">
        <is>
          <t>VIERNES</t>
        </is>
      </c>
      <c r="D982" t="n">
        <v>6</v>
      </c>
      <c r="E982" t="n">
        <v>3</v>
      </c>
      <c r="F982" t="inlineStr">
        <is>
          <t>ENFASIS</t>
        </is>
      </c>
      <c r="G982" t="inlineStr"/>
      <c r="H982" t="inlineStr">
        <is>
          <t>MAT</t>
        </is>
      </c>
      <c r="I982" t="inlineStr">
        <is>
          <t>CS202</t>
        </is>
      </c>
      <c r="J982" t="inlineStr">
        <is>
          <t>EQUIPO DE 4: cada docente atiende un grupo de estudiantes en su área</t>
        </is>
      </c>
      <c r="K982" t="inlineStr">
        <is>
          <t>Betancourth Ocampo Yohana Patricia (CSI); Estacio Estupiñán Rosario (ETR); Mindineros Satizábal John Jáver (TEI)</t>
        </is>
      </c>
      <c r="L982" t="inlineStr">
        <is>
          <t>ÉNFASIS CS 2-2</t>
        </is>
      </c>
      <c r="M982" t="inlineStr">
        <is>
          <t>EQUIPO DE 4: cada docente atiende un grupo de estudiantes en su área · Con: Betancourth Ocampo Yohana Patricia (CSI); Estacio Estupiñán Rosario (ETR); Mindineros Satizábal John Jáver (TEI)</t>
        </is>
      </c>
      <c r="N982">
        <f>C982&amp;"|"&amp;D982</f>
        <v/>
      </c>
      <c r="O982">
        <f>COUNTIF($N$2:N982,N982)</f>
        <v/>
      </c>
      <c r="P982">
        <f>N982&amp;"|"&amp;O982</f>
        <v/>
      </c>
      <c r="Q982">
        <f>C982&amp;"|"&amp;D982&amp;"|"&amp;A982</f>
        <v/>
      </c>
    </row>
    <row r="983">
      <c r="A983" t="n">
        <v>6</v>
      </c>
      <c r="B983" t="inlineStr">
        <is>
          <t>Betancourth Ocampo Yohana Patricia</t>
        </is>
      </c>
      <c r="C983" t="inlineStr">
        <is>
          <t>VIERNES</t>
        </is>
      </c>
      <c r="D983" t="n">
        <v>6</v>
      </c>
      <c r="E983" t="n">
        <v>3</v>
      </c>
      <c r="F983" t="inlineStr">
        <is>
          <t>ENFASIS</t>
        </is>
      </c>
      <c r="G983" t="inlineStr"/>
      <c r="H983" t="inlineStr">
        <is>
          <t>CSI</t>
        </is>
      </c>
      <c r="I983" t="inlineStr">
        <is>
          <t>CS202</t>
        </is>
      </c>
      <c r="J983" t="inlineStr">
        <is>
          <t>EQUIPO DE 4: cada docente atiende un grupo de estudiantes en su área</t>
        </is>
      </c>
      <c r="K983" t="inlineStr">
        <is>
          <t>Estacio Estupiñán Rosario (ETR); Bastidas Valencia Zeneida Judith (MAT); Mindineros Satizábal John Jáver (TEI)</t>
        </is>
      </c>
      <c r="L983" t="inlineStr">
        <is>
          <t>ÉNFASIS CS 2-2</t>
        </is>
      </c>
      <c r="M983" t="inlineStr">
        <is>
          <t>EQUIPO DE 4: cada docente atiende un grupo de estudiantes en su área · Con: Estacio Estupiñán Rosario (ETR); Bastidas Valencia Zeneida Judith (MAT); Mindineros Satizábal John Jáver (TEI)</t>
        </is>
      </c>
      <c r="N983">
        <f>C983&amp;"|"&amp;D983</f>
        <v/>
      </c>
      <c r="O983">
        <f>COUNTIF($N$2:N983,N983)</f>
        <v/>
      </c>
      <c r="P983">
        <f>N983&amp;"|"&amp;O983</f>
        <v/>
      </c>
      <c r="Q983">
        <f>C983&amp;"|"&amp;D983&amp;"|"&amp;A983</f>
        <v/>
      </c>
    </row>
    <row r="984">
      <c r="A984" t="n">
        <v>18</v>
      </c>
      <c r="B984" t="inlineStr">
        <is>
          <t>Estacio Estupiñán Rosario</t>
        </is>
      </c>
      <c r="C984" t="inlineStr">
        <is>
          <t>VIERNES</t>
        </is>
      </c>
      <c r="D984" t="n">
        <v>6</v>
      </c>
      <c r="E984" t="n">
        <v>3</v>
      </c>
      <c r="F984" t="inlineStr">
        <is>
          <t>ENFASIS</t>
        </is>
      </c>
      <c r="G984" t="inlineStr"/>
      <c r="H984" t="inlineStr">
        <is>
          <t>ETR</t>
        </is>
      </c>
      <c r="I984" t="inlineStr">
        <is>
          <t>CS202</t>
        </is>
      </c>
      <c r="J984" t="inlineStr">
        <is>
          <t>EQUIPO DE 4: cada docente atiende un grupo de estudiantes en su área</t>
        </is>
      </c>
      <c r="K984" t="inlineStr">
        <is>
          <t>Betancourth Ocampo Yohana Patricia (CSI); Bastidas Valencia Zeneida Judith (MAT); Mindineros Satizábal John Jáver (TEI)</t>
        </is>
      </c>
      <c r="L984" t="inlineStr">
        <is>
          <t>ÉNFASIS CS 2-2</t>
        </is>
      </c>
      <c r="M984" t="inlineStr">
        <is>
          <t>EQUIPO DE 4: cada docente atiende un grupo de estudiantes en su área · Con: Betancourth Ocampo Yohana Patricia (CSI); Bastidas Valencia Zeneida Judith (MAT); Mindineros Satizábal John Jáver (TEI)</t>
        </is>
      </c>
      <c r="N984">
        <f>C984&amp;"|"&amp;D984</f>
        <v/>
      </c>
      <c r="O984">
        <f>COUNTIF($N$2:N984,N984)</f>
        <v/>
      </c>
      <c r="P984">
        <f>N984&amp;"|"&amp;O984</f>
        <v/>
      </c>
      <c r="Q984">
        <f>C984&amp;"|"&amp;D984&amp;"|"&amp;A984</f>
        <v/>
      </c>
    </row>
    <row r="985">
      <c r="A985" t="n">
        <v>29</v>
      </c>
      <c r="B985" t="inlineStr">
        <is>
          <t>Mindineros Satizábal John Jáver</t>
        </is>
      </c>
      <c r="C985" t="inlineStr">
        <is>
          <t>VIERNES</t>
        </is>
      </c>
      <c r="D985" t="n">
        <v>6</v>
      </c>
      <c r="E985" t="n">
        <v>3</v>
      </c>
      <c r="F985" t="inlineStr">
        <is>
          <t>ENFASIS</t>
        </is>
      </c>
      <c r="G985" t="inlineStr"/>
      <c r="H985" t="inlineStr">
        <is>
          <t>TEI</t>
        </is>
      </c>
      <c r="I985" t="inlineStr">
        <is>
          <t>CS202</t>
        </is>
      </c>
      <c r="J985" t="inlineStr">
        <is>
          <t>EQUIPO DE 4: cada docente atiende un grupo de estudiantes en su área</t>
        </is>
      </c>
      <c r="K985" t="inlineStr">
        <is>
          <t>Betancourth Ocampo Yohana Patricia (CSI); Estacio Estupiñán Rosario (ETR); Bastidas Valencia Zeneida Judith (MAT)</t>
        </is>
      </c>
      <c r="L985" t="inlineStr">
        <is>
          <t>ÉNFASIS CS 2-2</t>
        </is>
      </c>
      <c r="M985" t="inlineStr">
        <is>
          <t>EQUIPO DE 4: cada docente atiende un grupo de estudiantes en su área · Con: Betancourth Ocampo Yohana Patricia (CSI); Estacio Estupiñán Rosario (ETR); Bastidas Valencia Zeneida Judith (MAT)</t>
        </is>
      </c>
      <c r="N985">
        <f>C985&amp;"|"&amp;D985</f>
        <v/>
      </c>
      <c r="O985">
        <f>COUNTIF($N$2:N985,N985)</f>
        <v/>
      </c>
      <c r="P985">
        <f>N985&amp;"|"&amp;O985</f>
        <v/>
      </c>
      <c r="Q985">
        <f>C985&amp;"|"&amp;D985&amp;"|"&amp;A985</f>
        <v/>
      </c>
    </row>
    <row r="986">
      <c r="A986" t="n">
        <v>1</v>
      </c>
      <c r="B986" t="inlineStr">
        <is>
          <t>Aguirre Riascos Jorge Andrés</t>
        </is>
      </c>
      <c r="C986" t="inlineStr">
        <is>
          <t>VIERNES</t>
        </is>
      </c>
      <c r="D986" t="n">
        <v>7</v>
      </c>
      <c r="E986" t="n">
        <v>4</v>
      </c>
      <c r="F986" t="inlineStr">
        <is>
          <t>CLASE</t>
        </is>
      </c>
      <c r="G986" t="inlineStr">
        <is>
          <t>0701</t>
        </is>
      </c>
      <c r="H986" t="inlineStr">
        <is>
          <t>TEI</t>
        </is>
      </c>
      <c r="I986" t="inlineStr"/>
      <c r="J986" t="inlineStr"/>
      <c r="K986" t="inlineStr"/>
      <c r="L986" t="inlineStr">
        <is>
          <t>7°-1</t>
        </is>
      </c>
      <c r="M986" t="inlineStr"/>
      <c r="N986">
        <f>C986&amp;"|"&amp;D986</f>
        <v/>
      </c>
      <c r="O986">
        <f>COUNTIF($N$2:N986,N986)</f>
        <v/>
      </c>
      <c r="P986">
        <f>N986&amp;"|"&amp;O986</f>
        <v/>
      </c>
      <c r="Q986">
        <f>C986&amp;"|"&amp;D986&amp;"|"&amp;A986</f>
        <v/>
      </c>
    </row>
    <row r="987">
      <c r="A987" t="n">
        <v>8</v>
      </c>
      <c r="B987" t="inlineStr">
        <is>
          <t>Casanova Quiñones Yoli del Carmen</t>
        </is>
      </c>
      <c r="C987" t="inlineStr">
        <is>
          <t>VIERNES</t>
        </is>
      </c>
      <c r="D987" t="n">
        <v>7</v>
      </c>
      <c r="E987" t="n">
        <v>4</v>
      </c>
      <c r="F987" t="inlineStr">
        <is>
          <t>CLASE</t>
        </is>
      </c>
      <c r="G987" t="inlineStr">
        <is>
          <t>0702</t>
        </is>
      </c>
      <c r="H987" t="inlineStr">
        <is>
          <t>ETR</t>
        </is>
      </c>
      <c r="I987" t="inlineStr"/>
      <c r="J987" t="inlineStr">
        <is>
          <t>Ética / Religión (alternan cada semana)</t>
        </is>
      </c>
      <c r="K987" t="inlineStr"/>
      <c r="L987" t="inlineStr">
        <is>
          <t>7°-2</t>
        </is>
      </c>
      <c r="M987" t="inlineStr">
        <is>
          <t>Ética / Religión (alternan cada semana)</t>
        </is>
      </c>
      <c r="N987">
        <f>C987&amp;"|"&amp;D987</f>
        <v/>
      </c>
      <c r="O987">
        <f>COUNTIF($N$2:N987,N987)</f>
        <v/>
      </c>
      <c r="P987">
        <f>N987&amp;"|"&amp;O987</f>
        <v/>
      </c>
      <c r="Q987">
        <f>C987&amp;"|"&amp;D987&amp;"|"&amp;A987</f>
        <v/>
      </c>
    </row>
    <row r="988">
      <c r="A988" t="n">
        <v>52</v>
      </c>
      <c r="B988" t="inlineStr">
        <is>
          <t>Vásquez Valencia Segundo Leoncio</t>
        </is>
      </c>
      <c r="C988" t="inlineStr">
        <is>
          <t>VIERNES</t>
        </is>
      </c>
      <c r="D988" t="n">
        <v>7</v>
      </c>
      <c r="E988" t="n">
        <v>4</v>
      </c>
      <c r="F988" t="inlineStr">
        <is>
          <t>CLASE</t>
        </is>
      </c>
      <c r="G988" t="inlineStr">
        <is>
          <t>0703</t>
        </is>
      </c>
      <c r="H988" t="inlineStr">
        <is>
          <t>MAT</t>
        </is>
      </c>
      <c r="I988" t="inlineStr"/>
      <c r="J988" t="inlineStr"/>
      <c r="K988" t="inlineStr"/>
      <c r="L988" t="inlineStr">
        <is>
          <t>7°-3</t>
        </is>
      </c>
      <c r="M988" t="inlineStr"/>
      <c r="N988">
        <f>C988&amp;"|"&amp;D988</f>
        <v/>
      </c>
      <c r="O988">
        <f>COUNTIF($N$2:N988,N988)</f>
        <v/>
      </c>
      <c r="P988">
        <f>N988&amp;"|"&amp;O988</f>
        <v/>
      </c>
      <c r="Q988">
        <f>C988&amp;"|"&amp;D988&amp;"|"&amp;A988</f>
        <v/>
      </c>
    </row>
    <row r="989">
      <c r="A989" t="n">
        <v>41</v>
      </c>
      <c r="B989" t="inlineStr">
        <is>
          <t>Quintero Ramírez María del Carmen</t>
        </is>
      </c>
      <c r="C989" t="inlineStr">
        <is>
          <t>VIERNES</t>
        </is>
      </c>
      <c r="D989" t="n">
        <v>7</v>
      </c>
      <c r="E989" t="n">
        <v>4</v>
      </c>
      <c r="F989" t="inlineStr">
        <is>
          <t>CLASE</t>
        </is>
      </c>
      <c r="G989" t="inlineStr">
        <is>
          <t>0704</t>
        </is>
      </c>
      <c r="H989" t="inlineStr">
        <is>
          <t>CSI</t>
        </is>
      </c>
      <c r="I989" t="inlineStr"/>
      <c r="J989" t="inlineStr">
        <is>
          <t>Sociales / Inglés (alternan cada semana)</t>
        </is>
      </c>
      <c r="K989" t="inlineStr"/>
      <c r="L989" t="inlineStr">
        <is>
          <t>7°-4</t>
        </is>
      </c>
      <c r="M989" t="inlineStr">
        <is>
          <t>Sociales / Inglés (alternan cada semana)</t>
        </is>
      </c>
      <c r="N989">
        <f>C989&amp;"|"&amp;D989</f>
        <v/>
      </c>
      <c r="O989">
        <f>COUNTIF($N$2:N989,N989)</f>
        <v/>
      </c>
      <c r="P989">
        <f>N989&amp;"|"&amp;O989</f>
        <v/>
      </c>
      <c r="Q989">
        <f>C989&amp;"|"&amp;D989&amp;"|"&amp;A989</f>
        <v/>
      </c>
    </row>
    <row r="990">
      <c r="A990" t="n">
        <v>38</v>
      </c>
      <c r="B990" t="inlineStr">
        <is>
          <t>Preciado Torres Oleisa</t>
        </is>
      </c>
      <c r="C990" t="inlineStr">
        <is>
          <t>VIERNES</t>
        </is>
      </c>
      <c r="D990" t="n">
        <v>7</v>
      </c>
      <c r="E990" t="n">
        <v>4</v>
      </c>
      <c r="F990" t="inlineStr">
        <is>
          <t>CLASE</t>
        </is>
      </c>
      <c r="G990" t="inlineStr">
        <is>
          <t>0801</t>
        </is>
      </c>
      <c r="H990" t="inlineStr">
        <is>
          <t>MAT</t>
        </is>
      </c>
      <c r="I990" t="inlineStr"/>
      <c r="J990" t="inlineStr"/>
      <c r="K990" t="inlineStr"/>
      <c r="L990" t="inlineStr">
        <is>
          <t>8°-1</t>
        </is>
      </c>
      <c r="M990" t="inlineStr"/>
      <c r="N990">
        <f>C990&amp;"|"&amp;D990</f>
        <v/>
      </c>
      <c r="O990">
        <f>COUNTIF($N$2:N990,N990)</f>
        <v/>
      </c>
      <c r="P990">
        <f>N990&amp;"|"&amp;O990</f>
        <v/>
      </c>
      <c r="Q990">
        <f>C990&amp;"|"&amp;D990&amp;"|"&amp;A990</f>
        <v/>
      </c>
    </row>
    <row r="991">
      <c r="A991" t="n">
        <v>12</v>
      </c>
      <c r="B991" t="inlineStr">
        <is>
          <t>Chillambo Quiñones María Rocío</t>
        </is>
      </c>
      <c r="C991" t="inlineStr">
        <is>
          <t>VIERNES</t>
        </is>
      </c>
      <c r="D991" t="n">
        <v>7</v>
      </c>
      <c r="E991" t="n">
        <v>4</v>
      </c>
      <c r="F991" t="inlineStr">
        <is>
          <t>CLASE</t>
        </is>
      </c>
      <c r="G991" t="inlineStr">
        <is>
          <t>0802</t>
        </is>
      </c>
      <c r="H991" t="inlineStr">
        <is>
          <t>CNA</t>
        </is>
      </c>
      <c r="I991" t="inlineStr"/>
      <c r="J991" t="inlineStr"/>
      <c r="K991" t="inlineStr"/>
      <c r="L991" t="inlineStr">
        <is>
          <t>8°-2</t>
        </is>
      </c>
      <c r="M991" t="inlineStr"/>
      <c r="N991">
        <f>C991&amp;"|"&amp;D991</f>
        <v/>
      </c>
      <c r="O991">
        <f>COUNTIF($N$2:N991,N991)</f>
        <v/>
      </c>
      <c r="P991">
        <f>N991&amp;"|"&amp;O991</f>
        <v/>
      </c>
      <c r="Q991">
        <f>C991&amp;"|"&amp;D991&amp;"|"&amp;A991</f>
        <v/>
      </c>
    </row>
    <row r="992">
      <c r="A992" t="n">
        <v>6</v>
      </c>
      <c r="B992" t="inlineStr">
        <is>
          <t>Betancourth Ocampo Yohana Patricia</t>
        </is>
      </c>
      <c r="C992" t="inlineStr">
        <is>
          <t>VIERNES</t>
        </is>
      </c>
      <c r="D992" t="n">
        <v>7</v>
      </c>
      <c r="E992" t="n">
        <v>4</v>
      </c>
      <c r="F992" t="inlineStr">
        <is>
          <t>CLASE</t>
        </is>
      </c>
      <c r="G992" t="inlineStr">
        <is>
          <t>0901</t>
        </is>
      </c>
      <c r="H992" t="inlineStr">
        <is>
          <t>CSI</t>
        </is>
      </c>
      <c r="I992" t="inlineStr"/>
      <c r="J992" t="inlineStr">
        <is>
          <t>Sociales / Inglés (alternan cada semana)</t>
        </is>
      </c>
      <c r="K992" t="inlineStr"/>
      <c r="L992" t="inlineStr">
        <is>
          <t>9°-1</t>
        </is>
      </c>
      <c r="M992" t="inlineStr">
        <is>
          <t>Sociales / Inglés (alternan cada semana)</t>
        </is>
      </c>
      <c r="N992">
        <f>C992&amp;"|"&amp;D992</f>
        <v/>
      </c>
      <c r="O992">
        <f>COUNTIF($N$2:N992,N992)</f>
        <v/>
      </c>
      <c r="P992">
        <f>N992&amp;"|"&amp;O992</f>
        <v/>
      </c>
      <c r="Q992">
        <f>C992&amp;"|"&amp;D992&amp;"|"&amp;A992</f>
        <v/>
      </c>
    </row>
    <row r="993">
      <c r="A993" t="n">
        <v>29</v>
      </c>
      <c r="B993" t="inlineStr">
        <is>
          <t>Mindineros Satizábal John Jáver</t>
        </is>
      </c>
      <c r="C993" t="inlineStr">
        <is>
          <t>VIERNES</t>
        </is>
      </c>
      <c r="D993" t="n">
        <v>7</v>
      </c>
      <c r="E993" t="n">
        <v>4</v>
      </c>
      <c r="F993" t="inlineStr">
        <is>
          <t>CLASE</t>
        </is>
      </c>
      <c r="G993" t="inlineStr">
        <is>
          <t>0902</t>
        </is>
      </c>
      <c r="H993" t="inlineStr">
        <is>
          <t>TEI</t>
        </is>
      </c>
      <c r="I993" t="inlineStr"/>
      <c r="J993" t="inlineStr"/>
      <c r="K993" t="inlineStr"/>
      <c r="L993" t="inlineStr">
        <is>
          <t>9°-2</t>
        </is>
      </c>
      <c r="M993" t="inlineStr"/>
      <c r="N993">
        <f>C993&amp;"|"&amp;D993</f>
        <v/>
      </c>
      <c r="O993">
        <f>COUNTIF($N$2:N993,N993)</f>
        <v/>
      </c>
      <c r="P993">
        <f>N993&amp;"|"&amp;O993</f>
        <v/>
      </c>
      <c r="Q993">
        <f>C993&amp;"|"&amp;D993&amp;"|"&amp;A993</f>
        <v/>
      </c>
    </row>
    <row r="994">
      <c r="A994" t="n">
        <v>25</v>
      </c>
      <c r="B994" t="inlineStr">
        <is>
          <t>Lemos Guancha Miriam</t>
        </is>
      </c>
      <c r="C994" t="inlineStr">
        <is>
          <t>VIERNES</t>
        </is>
      </c>
      <c r="D994" t="n">
        <v>7</v>
      </c>
      <c r="E994" t="n">
        <v>4</v>
      </c>
      <c r="F994" t="inlineStr">
        <is>
          <t>CLASE</t>
        </is>
      </c>
      <c r="G994" t="inlineStr">
        <is>
          <t>1001</t>
        </is>
      </c>
      <c r="H994" t="inlineStr">
        <is>
          <t>CNA</t>
        </is>
      </c>
      <c r="I994" t="inlineStr"/>
      <c r="J994" t="inlineStr"/>
      <c r="K994" t="inlineStr"/>
      <c r="L994" t="inlineStr">
        <is>
          <t>10°-1</t>
        </is>
      </c>
      <c r="M994" t="inlineStr"/>
      <c r="N994">
        <f>C994&amp;"|"&amp;D994</f>
        <v/>
      </c>
      <c r="O994">
        <f>COUNTIF($N$2:N994,N994)</f>
        <v/>
      </c>
      <c r="P994">
        <f>N994&amp;"|"&amp;O994</f>
        <v/>
      </c>
      <c r="Q994">
        <f>C994&amp;"|"&amp;D994&amp;"|"&amp;A994</f>
        <v/>
      </c>
    </row>
    <row r="995">
      <c r="A995" t="n">
        <v>43</v>
      </c>
      <c r="B995" t="inlineStr">
        <is>
          <t>Ramírez Guerra Jimmy Eduardo</t>
        </is>
      </c>
      <c r="C995" t="inlineStr">
        <is>
          <t>VIERNES</t>
        </is>
      </c>
      <c r="D995" t="n">
        <v>7</v>
      </c>
      <c r="E995" t="n">
        <v>4</v>
      </c>
      <c r="F995" t="inlineStr">
        <is>
          <t>CLASE</t>
        </is>
      </c>
      <c r="G995" t="inlineStr">
        <is>
          <t>1002</t>
        </is>
      </c>
      <c r="H995" t="inlineStr">
        <is>
          <t>ERD</t>
        </is>
      </c>
      <c r="I995" t="inlineStr"/>
      <c r="J995" t="inlineStr"/>
      <c r="K995" t="inlineStr"/>
      <c r="L995" t="inlineStr">
        <is>
          <t>10°-2</t>
        </is>
      </c>
      <c r="M995" t="inlineStr"/>
      <c r="N995">
        <f>C995&amp;"|"&amp;D995</f>
        <v/>
      </c>
      <c r="O995">
        <f>COUNTIF($N$2:N995,N995)</f>
        <v/>
      </c>
      <c r="P995">
        <f>N995&amp;"|"&amp;O995</f>
        <v/>
      </c>
      <c r="Q995">
        <f>C995&amp;"|"&amp;D995&amp;"|"&amp;A995</f>
        <v/>
      </c>
    </row>
    <row r="996">
      <c r="A996" t="n">
        <v>31</v>
      </c>
      <c r="B996" t="inlineStr">
        <is>
          <t>Montaño Arizala Leidis Claudina</t>
        </is>
      </c>
      <c r="C996" t="inlineStr">
        <is>
          <t>VIERNES</t>
        </is>
      </c>
      <c r="D996" t="n">
        <v>7</v>
      </c>
      <c r="E996" t="n">
        <v>4</v>
      </c>
      <c r="F996" t="inlineStr">
        <is>
          <t>CLASE</t>
        </is>
      </c>
      <c r="G996" t="inlineStr">
        <is>
          <t>1101</t>
        </is>
      </c>
      <c r="H996" t="inlineStr">
        <is>
          <t>ETR</t>
        </is>
      </c>
      <c r="I996" t="inlineStr"/>
      <c r="J996" t="inlineStr">
        <is>
          <t>Ética / Religión (alternan cada semana)</t>
        </is>
      </c>
      <c r="K996" t="inlineStr"/>
      <c r="L996" t="inlineStr">
        <is>
          <t>11°-1</t>
        </is>
      </c>
      <c r="M996" t="inlineStr">
        <is>
          <t>Ética / Religión (alternan cada semana)</t>
        </is>
      </c>
      <c r="N996">
        <f>C996&amp;"|"&amp;D996</f>
        <v/>
      </c>
      <c r="O996">
        <f>COUNTIF($N$2:N996,N996)</f>
        <v/>
      </c>
      <c r="P996">
        <f>N996&amp;"|"&amp;O996</f>
        <v/>
      </c>
      <c r="Q996">
        <f>C996&amp;"|"&amp;D996&amp;"|"&amp;A996</f>
        <v/>
      </c>
    </row>
    <row r="997">
      <c r="A997" t="n">
        <v>30</v>
      </c>
      <c r="B997" t="inlineStr">
        <is>
          <t>Montaño Anchico Favio Héctor</t>
        </is>
      </c>
      <c r="C997" t="inlineStr">
        <is>
          <t>VIERNES</t>
        </is>
      </c>
      <c r="D997" t="n">
        <v>7</v>
      </c>
      <c r="E997" t="n">
        <v>4</v>
      </c>
      <c r="F997" t="inlineStr">
        <is>
          <t>CLASE</t>
        </is>
      </c>
      <c r="G997" t="inlineStr">
        <is>
          <t>1102</t>
        </is>
      </c>
      <c r="H997" t="inlineStr">
        <is>
          <t>CAS</t>
        </is>
      </c>
      <c r="I997" t="inlineStr"/>
      <c r="J997" t="inlineStr"/>
      <c r="K997" t="inlineStr"/>
      <c r="L997" t="inlineStr">
        <is>
          <t>11°-2</t>
        </is>
      </c>
      <c r="M997" t="inlineStr"/>
      <c r="N997">
        <f>C997&amp;"|"&amp;D997</f>
        <v/>
      </c>
      <c r="O997">
        <f>COUNTIF($N$2:N997,N997)</f>
        <v/>
      </c>
      <c r="P997">
        <f>N997&amp;"|"&amp;O997</f>
        <v/>
      </c>
      <c r="Q997">
        <f>C997&amp;"|"&amp;D997&amp;"|"&amp;A997</f>
        <v/>
      </c>
    </row>
    <row r="998">
      <c r="A998" t="n">
        <v>4</v>
      </c>
      <c r="B998" t="inlineStr">
        <is>
          <t>Arizala Castro Roberto Carlos</t>
        </is>
      </c>
      <c r="C998" t="inlineStr">
        <is>
          <t>VIERNES</t>
        </is>
      </c>
      <c r="D998" t="n">
        <v>7</v>
      </c>
      <c r="E998" t="n">
        <v>4</v>
      </c>
      <c r="F998" t="inlineStr">
        <is>
          <t>CLASE</t>
        </is>
      </c>
      <c r="G998" t="inlineStr">
        <is>
          <t>CS101</t>
        </is>
      </c>
      <c r="H998" t="inlineStr">
        <is>
          <t>CNA</t>
        </is>
      </c>
      <c r="I998" t="inlineStr"/>
      <c r="J998" t="inlineStr"/>
      <c r="K998" t="inlineStr"/>
      <c r="L998" t="inlineStr">
        <is>
          <t>CS 1-1</t>
        </is>
      </c>
      <c r="M998" t="inlineStr"/>
      <c r="N998">
        <f>C998&amp;"|"&amp;D998</f>
        <v/>
      </c>
      <c r="O998">
        <f>COUNTIF($N$2:N998,N998)</f>
        <v/>
      </c>
      <c r="P998">
        <f>N998&amp;"|"&amp;O998</f>
        <v/>
      </c>
      <c r="Q998">
        <f>C998&amp;"|"&amp;D998&amp;"|"&amp;A998</f>
        <v/>
      </c>
    </row>
    <row r="999">
      <c r="A999" t="n">
        <v>42</v>
      </c>
      <c r="B999" t="inlineStr">
        <is>
          <t>Quiñones Cabezas Marcos Vidal</t>
        </is>
      </c>
      <c r="C999" t="inlineStr">
        <is>
          <t>VIERNES</t>
        </is>
      </c>
      <c r="D999" t="n">
        <v>7</v>
      </c>
      <c r="E999" t="n">
        <v>4</v>
      </c>
      <c r="F999" t="inlineStr">
        <is>
          <t>CLASE</t>
        </is>
      </c>
      <c r="G999" t="inlineStr">
        <is>
          <t>CS102</t>
        </is>
      </c>
      <c r="H999" t="inlineStr">
        <is>
          <t>MAT</t>
        </is>
      </c>
      <c r="I999" t="inlineStr"/>
      <c r="J999" t="inlineStr"/>
      <c r="K999" t="inlineStr"/>
      <c r="L999" t="inlineStr">
        <is>
          <t>CS 1-2</t>
        </is>
      </c>
      <c r="M999" t="inlineStr"/>
      <c r="N999">
        <f>C999&amp;"|"&amp;D999</f>
        <v/>
      </c>
      <c r="O999">
        <f>COUNTIF($N$2:N999,N999)</f>
        <v/>
      </c>
      <c r="P999">
        <f>N999&amp;"|"&amp;O999</f>
        <v/>
      </c>
      <c r="Q999">
        <f>C999&amp;"|"&amp;D999&amp;"|"&amp;A999</f>
        <v/>
      </c>
    </row>
    <row r="1000">
      <c r="A1000" t="n">
        <v>15</v>
      </c>
      <c r="B1000" t="inlineStr">
        <is>
          <t>Cuero Bamba Berte Levi</t>
        </is>
      </c>
      <c r="C1000" t="inlineStr">
        <is>
          <t>VIERNES</t>
        </is>
      </c>
      <c r="D1000" t="n">
        <v>7</v>
      </c>
      <c r="E1000" t="n">
        <v>4</v>
      </c>
      <c r="F1000" t="inlineStr">
        <is>
          <t>CLASE</t>
        </is>
      </c>
      <c r="G1000" t="inlineStr">
        <is>
          <t>CS201</t>
        </is>
      </c>
      <c r="H1000" t="inlineStr">
        <is>
          <t>ERD</t>
        </is>
      </c>
      <c r="I1000" t="inlineStr"/>
      <c r="J1000" t="inlineStr"/>
      <c r="K1000" t="inlineStr"/>
      <c r="L1000" t="inlineStr">
        <is>
          <t>CS 2-1</t>
        </is>
      </c>
      <c r="M1000" t="inlineStr"/>
      <c r="N1000">
        <f>C1000&amp;"|"&amp;D1000</f>
        <v/>
      </c>
      <c r="O1000">
        <f>COUNTIF($N$2:N1000,N1000)</f>
        <v/>
      </c>
      <c r="P1000">
        <f>N1000&amp;"|"&amp;O1000</f>
        <v/>
      </c>
      <c r="Q1000">
        <f>C1000&amp;"|"&amp;D1000&amp;"|"&amp;A1000</f>
        <v/>
      </c>
    </row>
    <row r="1001">
      <c r="A1001" t="n">
        <v>19</v>
      </c>
      <c r="B1001" t="inlineStr">
        <is>
          <t>Fernández Vélez Alfredo Enrique</t>
        </is>
      </c>
      <c r="C1001" t="inlineStr">
        <is>
          <t>VIERNES</t>
        </is>
      </c>
      <c r="D1001" t="n">
        <v>7</v>
      </c>
      <c r="E1001" t="n">
        <v>4</v>
      </c>
      <c r="F1001" t="inlineStr">
        <is>
          <t>CLASE</t>
        </is>
      </c>
      <c r="G1001" t="inlineStr">
        <is>
          <t>CS202</t>
        </is>
      </c>
      <c r="H1001" t="inlineStr">
        <is>
          <t>TEI</t>
        </is>
      </c>
      <c r="I1001" t="inlineStr"/>
      <c r="J1001" t="inlineStr"/>
      <c r="K1001" t="inlineStr"/>
      <c r="L1001" t="inlineStr">
        <is>
          <t>CS 2-2</t>
        </is>
      </c>
      <c r="M1001" t="inlineStr"/>
      <c r="N1001">
        <f>C1001&amp;"|"&amp;D1001</f>
        <v/>
      </c>
      <c r="O1001">
        <f>COUNTIF($N$2:N1001,N1001)</f>
        <v/>
      </c>
      <c r="P1001">
        <f>N1001&amp;"|"&amp;O1001</f>
        <v/>
      </c>
      <c r="Q1001">
        <f>C1001&amp;"|"&amp;D1001&amp;"|"&amp;A1001</f>
        <v/>
      </c>
    </row>
    <row r="1002">
      <c r="A1002" t="n">
        <v>10</v>
      </c>
      <c r="B1002" t="inlineStr">
        <is>
          <t>Castillo Cuero Daira Eneida</t>
        </is>
      </c>
      <c r="C1002" t="inlineStr">
        <is>
          <t>VIERNES</t>
        </is>
      </c>
      <c r="D1002" t="n">
        <v>7</v>
      </c>
      <c r="E1002" t="n">
        <v>4</v>
      </c>
      <c r="F1002" t="inlineStr">
        <is>
          <t>ENFASIS</t>
        </is>
      </c>
      <c r="G1002" t="inlineStr"/>
      <c r="H1002" t="inlineStr">
        <is>
          <t>CAS</t>
        </is>
      </c>
      <c r="I1002" t="inlineStr">
        <is>
          <t>0601</t>
        </is>
      </c>
      <c r="J1002" t="inlineStr">
        <is>
          <t>PAREJA: comparten el énfasis y alternan por semana</t>
        </is>
      </c>
      <c r="K1002" t="inlineStr">
        <is>
          <t>Puches Ana Milena (ART)</t>
        </is>
      </c>
      <c r="L1002" t="inlineStr">
        <is>
          <t>ÉNFASIS 6°-1</t>
        </is>
      </c>
      <c r="M1002" t="inlineStr">
        <is>
          <t>PAREJA: comparten el énfasis y alternan por semana · Con: Puches Ana Milena (ART)</t>
        </is>
      </c>
      <c r="N1002">
        <f>C1002&amp;"|"&amp;D1002</f>
        <v/>
      </c>
      <c r="O1002">
        <f>COUNTIF($N$2:N1002,N1002)</f>
        <v/>
      </c>
      <c r="P1002">
        <f>N1002&amp;"|"&amp;O1002</f>
        <v/>
      </c>
      <c r="Q1002">
        <f>C1002&amp;"|"&amp;D1002&amp;"|"&amp;A1002</f>
        <v/>
      </c>
    </row>
    <row r="1003">
      <c r="A1003" t="n">
        <v>39</v>
      </c>
      <c r="B1003" t="inlineStr">
        <is>
          <t>Puches Ana Milena</t>
        </is>
      </c>
      <c r="C1003" t="inlineStr">
        <is>
          <t>VIERNES</t>
        </is>
      </c>
      <c r="D1003" t="n">
        <v>7</v>
      </c>
      <c r="E1003" t="n">
        <v>4</v>
      </c>
      <c r="F1003" t="inlineStr">
        <is>
          <t>ENFASIS</t>
        </is>
      </c>
      <c r="G1003" t="inlineStr"/>
      <c r="H1003" t="inlineStr">
        <is>
          <t>ART</t>
        </is>
      </c>
      <c r="I1003" t="inlineStr">
        <is>
          <t>0601</t>
        </is>
      </c>
      <c r="J1003" t="inlineStr">
        <is>
          <t>PAREJA: comparten el énfasis y alternan por semana</t>
        </is>
      </c>
      <c r="K1003" t="inlineStr">
        <is>
          <t>Castillo Cuero Daira Eneida (CAS)</t>
        </is>
      </c>
      <c r="L1003" t="inlineStr">
        <is>
          <t>ÉNFASIS 6°-1</t>
        </is>
      </c>
      <c r="M1003" t="inlineStr">
        <is>
          <t>PAREJA: comparten el énfasis y alternan por semana · Con: Castillo Cuero Daira Eneida (CAS)</t>
        </is>
      </c>
      <c r="N1003">
        <f>C1003&amp;"|"&amp;D1003</f>
        <v/>
      </c>
      <c r="O1003">
        <f>COUNTIF($N$2:N1003,N1003)</f>
        <v/>
      </c>
      <c r="P1003">
        <f>N1003&amp;"|"&amp;O1003</f>
        <v/>
      </c>
      <c r="Q1003">
        <f>C1003&amp;"|"&amp;D1003&amp;"|"&amp;A1003</f>
        <v/>
      </c>
    </row>
    <row r="1004">
      <c r="A1004" t="n">
        <v>34</v>
      </c>
      <c r="B1004" t="inlineStr">
        <is>
          <t>Ordóñez Tenorio Jaime Marcial</t>
        </is>
      </c>
      <c r="C1004" t="inlineStr">
        <is>
          <t>VIERNES</t>
        </is>
      </c>
      <c r="D1004" t="n">
        <v>7</v>
      </c>
      <c r="E1004" t="n">
        <v>4</v>
      </c>
      <c r="F1004" t="inlineStr">
        <is>
          <t>ENFASIS</t>
        </is>
      </c>
      <c r="G1004" t="inlineStr"/>
      <c r="H1004" t="inlineStr">
        <is>
          <t>CNA</t>
        </is>
      </c>
      <c r="I1004" t="inlineStr">
        <is>
          <t>0602</t>
        </is>
      </c>
      <c r="J1004" t="inlineStr">
        <is>
          <t>PAREJA: comparten el énfasis y alternan por semana</t>
        </is>
      </c>
      <c r="K1004" t="inlineStr">
        <is>
          <t>Armero Dájome Jesús (ERD)</t>
        </is>
      </c>
      <c r="L1004" t="inlineStr">
        <is>
          <t>ÉNFASIS 6°-2</t>
        </is>
      </c>
      <c r="M1004" t="inlineStr">
        <is>
          <t>PAREJA: comparten el énfasis y alternan por semana · Con: Armero Dájome Jesús (ERD)</t>
        </is>
      </c>
      <c r="N1004">
        <f>C1004&amp;"|"&amp;D1004</f>
        <v/>
      </c>
      <c r="O1004">
        <f>COUNTIF($N$2:N1004,N1004)</f>
        <v/>
      </c>
      <c r="P1004">
        <f>N1004&amp;"|"&amp;O1004</f>
        <v/>
      </c>
      <c r="Q1004">
        <f>C1004&amp;"|"&amp;D1004&amp;"|"&amp;A1004</f>
        <v/>
      </c>
    </row>
    <row r="1005">
      <c r="A1005" t="n">
        <v>4</v>
      </c>
      <c r="B1005" t="inlineStr">
        <is>
          <t>Arizala Castro Roberto Carlos</t>
        </is>
      </c>
      <c r="C1005" t="inlineStr">
        <is>
          <t>VIERNES</t>
        </is>
      </c>
      <c r="D1005" t="n">
        <v>7</v>
      </c>
      <c r="E1005" t="n">
        <v>4</v>
      </c>
      <c r="F1005" t="inlineStr">
        <is>
          <t>ENFASIS</t>
        </is>
      </c>
      <c r="G1005" t="inlineStr"/>
      <c r="H1005" t="inlineStr">
        <is>
          <t>ERD</t>
        </is>
      </c>
      <c r="I1005" t="inlineStr">
        <is>
          <t>0602</t>
        </is>
      </c>
      <c r="J1005" t="inlineStr">
        <is>
          <t>PAREJA: comparten el énfasis y alternan por semana</t>
        </is>
      </c>
      <c r="K1005" t="inlineStr">
        <is>
          <t>Ordóñez Tenorio Jaime Marcial (CNA)</t>
        </is>
      </c>
      <c r="L1005" t="inlineStr">
        <is>
          <t>ÉNFASIS 6°-2</t>
        </is>
      </c>
      <c r="M1005" t="inlineStr">
        <is>
          <t>PAREJA: comparten el énfasis y alternan por semana · Con: Ordóñez Tenorio Jaime Marcial (CNA)</t>
        </is>
      </c>
      <c r="N1005">
        <f>C1005&amp;"|"&amp;D1005</f>
        <v/>
      </c>
      <c r="O1005">
        <f>COUNTIF($N$2:N1005,N1005)</f>
        <v/>
      </c>
      <c r="P1005">
        <f>N1005&amp;"|"&amp;O1005</f>
        <v/>
      </c>
      <c r="Q1005">
        <f>C1005&amp;"|"&amp;D1005&amp;"|"&amp;A1005</f>
        <v/>
      </c>
    </row>
    <row r="1006">
      <c r="A1006" t="n">
        <v>1</v>
      </c>
      <c r="B1006" t="inlineStr">
        <is>
          <t>Aguirre Riascos Jorge Andrés</t>
        </is>
      </c>
      <c r="C1006" t="inlineStr">
        <is>
          <t>VIERNES</t>
        </is>
      </c>
      <c r="D1006" t="n">
        <v>8</v>
      </c>
      <c r="E1006" t="n">
        <v>4</v>
      </c>
      <c r="F1006" t="inlineStr">
        <is>
          <t>CLASE</t>
        </is>
      </c>
      <c r="G1006" t="inlineStr">
        <is>
          <t>0701</t>
        </is>
      </c>
      <c r="H1006" t="inlineStr">
        <is>
          <t>TEI</t>
        </is>
      </c>
      <c r="I1006" t="inlineStr"/>
      <c r="J1006" t="inlineStr"/>
      <c r="K1006" t="inlineStr"/>
      <c r="L1006" t="inlineStr">
        <is>
          <t>7°-1</t>
        </is>
      </c>
      <c r="M1006" t="inlineStr"/>
      <c r="N1006">
        <f>C1006&amp;"|"&amp;D1006</f>
        <v/>
      </c>
      <c r="O1006">
        <f>COUNTIF($N$2:N1006,N1006)</f>
        <v/>
      </c>
      <c r="P1006">
        <f>N1006&amp;"|"&amp;O1006</f>
        <v/>
      </c>
      <c r="Q1006">
        <f>C1006&amp;"|"&amp;D1006&amp;"|"&amp;A1006</f>
        <v/>
      </c>
    </row>
    <row r="1007">
      <c r="A1007" t="n">
        <v>8</v>
      </c>
      <c r="B1007" t="inlineStr">
        <is>
          <t>Casanova Quiñones Yoli del Carmen</t>
        </is>
      </c>
      <c r="C1007" t="inlineStr">
        <is>
          <t>VIERNES</t>
        </is>
      </c>
      <c r="D1007" t="n">
        <v>8</v>
      </c>
      <c r="E1007" t="n">
        <v>4</v>
      </c>
      <c r="F1007" t="inlineStr">
        <is>
          <t>CLASE</t>
        </is>
      </c>
      <c r="G1007" t="inlineStr">
        <is>
          <t>0702</t>
        </is>
      </c>
      <c r="H1007" t="inlineStr">
        <is>
          <t>ETR</t>
        </is>
      </c>
      <c r="I1007" t="inlineStr"/>
      <c r="J1007" t="inlineStr">
        <is>
          <t>Ética / Religión (alternan cada semana)</t>
        </is>
      </c>
      <c r="K1007" t="inlineStr"/>
      <c r="L1007" t="inlineStr">
        <is>
          <t>7°-2</t>
        </is>
      </c>
      <c r="M1007" t="inlineStr">
        <is>
          <t>Ética / Religión (alternan cada semana)</t>
        </is>
      </c>
      <c r="N1007">
        <f>C1007&amp;"|"&amp;D1007</f>
        <v/>
      </c>
      <c r="O1007">
        <f>COUNTIF($N$2:N1007,N1007)</f>
        <v/>
      </c>
      <c r="P1007">
        <f>N1007&amp;"|"&amp;O1007</f>
        <v/>
      </c>
      <c r="Q1007">
        <f>C1007&amp;"|"&amp;D1007&amp;"|"&amp;A1007</f>
        <v/>
      </c>
    </row>
    <row r="1008">
      <c r="A1008" t="n">
        <v>52</v>
      </c>
      <c r="B1008" t="inlineStr">
        <is>
          <t>Vásquez Valencia Segundo Leoncio</t>
        </is>
      </c>
      <c r="C1008" t="inlineStr">
        <is>
          <t>VIERNES</t>
        </is>
      </c>
      <c r="D1008" t="n">
        <v>8</v>
      </c>
      <c r="E1008" t="n">
        <v>4</v>
      </c>
      <c r="F1008" t="inlineStr">
        <is>
          <t>CLASE</t>
        </is>
      </c>
      <c r="G1008" t="inlineStr">
        <is>
          <t>0703</t>
        </is>
      </c>
      <c r="H1008" t="inlineStr">
        <is>
          <t>MAT</t>
        </is>
      </c>
      <c r="I1008" t="inlineStr"/>
      <c r="J1008" t="inlineStr"/>
      <c r="K1008" t="inlineStr"/>
      <c r="L1008" t="inlineStr">
        <is>
          <t>7°-3</t>
        </is>
      </c>
      <c r="M1008" t="inlineStr"/>
      <c r="N1008">
        <f>C1008&amp;"|"&amp;D1008</f>
        <v/>
      </c>
      <c r="O1008">
        <f>COUNTIF($N$2:N1008,N1008)</f>
        <v/>
      </c>
      <c r="P1008">
        <f>N1008&amp;"|"&amp;O1008</f>
        <v/>
      </c>
      <c r="Q1008">
        <f>C1008&amp;"|"&amp;D1008&amp;"|"&amp;A1008</f>
        <v/>
      </c>
    </row>
    <row r="1009">
      <c r="A1009" t="n">
        <v>41</v>
      </c>
      <c r="B1009" t="inlineStr">
        <is>
          <t>Quintero Ramírez María del Carmen</t>
        </is>
      </c>
      <c r="C1009" t="inlineStr">
        <is>
          <t>VIERNES</t>
        </is>
      </c>
      <c r="D1009" t="n">
        <v>8</v>
      </c>
      <c r="E1009" t="n">
        <v>4</v>
      </c>
      <c r="F1009" t="inlineStr">
        <is>
          <t>CLASE</t>
        </is>
      </c>
      <c r="G1009" t="inlineStr">
        <is>
          <t>0704</t>
        </is>
      </c>
      <c r="H1009" t="inlineStr">
        <is>
          <t>CSI</t>
        </is>
      </c>
      <c r="I1009" t="inlineStr"/>
      <c r="J1009" t="inlineStr">
        <is>
          <t>Sociales / Inglés (alternan cada semana)</t>
        </is>
      </c>
      <c r="K1009" t="inlineStr"/>
      <c r="L1009" t="inlineStr">
        <is>
          <t>7°-4</t>
        </is>
      </c>
      <c r="M1009" t="inlineStr">
        <is>
          <t>Sociales / Inglés (alternan cada semana)</t>
        </is>
      </c>
      <c r="N1009">
        <f>C1009&amp;"|"&amp;D1009</f>
        <v/>
      </c>
      <c r="O1009">
        <f>COUNTIF($N$2:N1009,N1009)</f>
        <v/>
      </c>
      <c r="P1009">
        <f>N1009&amp;"|"&amp;O1009</f>
        <v/>
      </c>
      <c r="Q1009">
        <f>C1009&amp;"|"&amp;D1009&amp;"|"&amp;A1009</f>
        <v/>
      </c>
    </row>
    <row r="1010">
      <c r="A1010" t="n">
        <v>38</v>
      </c>
      <c r="B1010" t="inlineStr">
        <is>
          <t>Preciado Torres Oleisa</t>
        </is>
      </c>
      <c r="C1010" t="inlineStr">
        <is>
          <t>VIERNES</t>
        </is>
      </c>
      <c r="D1010" t="n">
        <v>8</v>
      </c>
      <c r="E1010" t="n">
        <v>4</v>
      </c>
      <c r="F1010" t="inlineStr">
        <is>
          <t>CLASE</t>
        </is>
      </c>
      <c r="G1010" t="inlineStr">
        <is>
          <t>0801</t>
        </is>
      </c>
      <c r="H1010" t="inlineStr">
        <is>
          <t>MAT</t>
        </is>
      </c>
      <c r="I1010" t="inlineStr"/>
      <c r="J1010" t="inlineStr"/>
      <c r="K1010" t="inlineStr"/>
      <c r="L1010" t="inlineStr">
        <is>
          <t>8°-1</t>
        </is>
      </c>
      <c r="M1010" t="inlineStr"/>
      <c r="N1010">
        <f>C1010&amp;"|"&amp;D1010</f>
        <v/>
      </c>
      <c r="O1010">
        <f>COUNTIF($N$2:N1010,N1010)</f>
        <v/>
      </c>
      <c r="P1010">
        <f>N1010&amp;"|"&amp;O1010</f>
        <v/>
      </c>
      <c r="Q1010">
        <f>C1010&amp;"|"&amp;D1010&amp;"|"&amp;A1010</f>
        <v/>
      </c>
    </row>
    <row r="1011">
      <c r="A1011" t="n">
        <v>12</v>
      </c>
      <c r="B1011" t="inlineStr">
        <is>
          <t>Chillambo Quiñones María Rocío</t>
        </is>
      </c>
      <c r="C1011" t="inlineStr">
        <is>
          <t>VIERNES</t>
        </is>
      </c>
      <c r="D1011" t="n">
        <v>8</v>
      </c>
      <c r="E1011" t="n">
        <v>4</v>
      </c>
      <c r="F1011" t="inlineStr">
        <is>
          <t>CLASE</t>
        </is>
      </c>
      <c r="G1011" t="inlineStr">
        <is>
          <t>0802</t>
        </is>
      </c>
      <c r="H1011" t="inlineStr">
        <is>
          <t>CNA</t>
        </is>
      </c>
      <c r="I1011" t="inlineStr"/>
      <c r="J1011" t="inlineStr"/>
      <c r="K1011" t="inlineStr"/>
      <c r="L1011" t="inlineStr">
        <is>
          <t>8°-2</t>
        </is>
      </c>
      <c r="M1011" t="inlineStr"/>
      <c r="N1011">
        <f>C1011&amp;"|"&amp;D1011</f>
        <v/>
      </c>
      <c r="O1011">
        <f>COUNTIF($N$2:N1011,N1011)</f>
        <v/>
      </c>
      <c r="P1011">
        <f>N1011&amp;"|"&amp;O1011</f>
        <v/>
      </c>
      <c r="Q1011">
        <f>C1011&amp;"|"&amp;D1011&amp;"|"&amp;A1011</f>
        <v/>
      </c>
    </row>
    <row r="1012">
      <c r="A1012" t="n">
        <v>6</v>
      </c>
      <c r="B1012" t="inlineStr">
        <is>
          <t>Betancourth Ocampo Yohana Patricia</t>
        </is>
      </c>
      <c r="C1012" t="inlineStr">
        <is>
          <t>VIERNES</t>
        </is>
      </c>
      <c r="D1012" t="n">
        <v>8</v>
      </c>
      <c r="E1012" t="n">
        <v>4</v>
      </c>
      <c r="F1012" t="inlineStr">
        <is>
          <t>CLASE</t>
        </is>
      </c>
      <c r="G1012" t="inlineStr">
        <is>
          <t>0901</t>
        </is>
      </c>
      <c r="H1012" t="inlineStr">
        <is>
          <t>CSI</t>
        </is>
      </c>
      <c r="I1012" t="inlineStr"/>
      <c r="J1012" t="inlineStr">
        <is>
          <t>Sociales / Inglés (alternan cada semana)</t>
        </is>
      </c>
      <c r="K1012" t="inlineStr"/>
      <c r="L1012" t="inlineStr">
        <is>
          <t>9°-1</t>
        </is>
      </c>
      <c r="M1012" t="inlineStr">
        <is>
          <t>Sociales / Inglés (alternan cada semana)</t>
        </is>
      </c>
      <c r="N1012">
        <f>C1012&amp;"|"&amp;D1012</f>
        <v/>
      </c>
      <c r="O1012">
        <f>COUNTIF($N$2:N1012,N1012)</f>
        <v/>
      </c>
      <c r="P1012">
        <f>N1012&amp;"|"&amp;O1012</f>
        <v/>
      </c>
      <c r="Q1012">
        <f>C1012&amp;"|"&amp;D1012&amp;"|"&amp;A1012</f>
        <v/>
      </c>
    </row>
    <row r="1013">
      <c r="A1013" t="n">
        <v>29</v>
      </c>
      <c r="B1013" t="inlineStr">
        <is>
          <t>Mindineros Satizábal John Jáver</t>
        </is>
      </c>
      <c r="C1013" t="inlineStr">
        <is>
          <t>VIERNES</t>
        </is>
      </c>
      <c r="D1013" t="n">
        <v>8</v>
      </c>
      <c r="E1013" t="n">
        <v>4</v>
      </c>
      <c r="F1013" t="inlineStr">
        <is>
          <t>CLASE</t>
        </is>
      </c>
      <c r="G1013" t="inlineStr">
        <is>
          <t>0902</t>
        </is>
      </c>
      <c r="H1013" t="inlineStr">
        <is>
          <t>TEI</t>
        </is>
      </c>
      <c r="I1013" t="inlineStr"/>
      <c r="J1013" t="inlineStr"/>
      <c r="K1013" t="inlineStr"/>
      <c r="L1013" t="inlineStr">
        <is>
          <t>9°-2</t>
        </is>
      </c>
      <c r="M1013" t="inlineStr"/>
      <c r="N1013">
        <f>C1013&amp;"|"&amp;D1013</f>
        <v/>
      </c>
      <c r="O1013">
        <f>COUNTIF($N$2:N1013,N1013)</f>
        <v/>
      </c>
      <c r="P1013">
        <f>N1013&amp;"|"&amp;O1013</f>
        <v/>
      </c>
      <c r="Q1013">
        <f>C1013&amp;"|"&amp;D1013&amp;"|"&amp;A1013</f>
        <v/>
      </c>
    </row>
    <row r="1014">
      <c r="A1014" t="n">
        <v>25</v>
      </c>
      <c r="B1014" t="inlineStr">
        <is>
          <t>Lemos Guancha Miriam</t>
        </is>
      </c>
      <c r="C1014" t="inlineStr">
        <is>
          <t>VIERNES</t>
        </is>
      </c>
      <c r="D1014" t="n">
        <v>8</v>
      </c>
      <c r="E1014" t="n">
        <v>4</v>
      </c>
      <c r="F1014" t="inlineStr">
        <is>
          <t>CLASE</t>
        </is>
      </c>
      <c r="G1014" t="inlineStr">
        <is>
          <t>1001</t>
        </is>
      </c>
      <c r="H1014" t="inlineStr">
        <is>
          <t>CNA</t>
        </is>
      </c>
      <c r="I1014" t="inlineStr"/>
      <c r="J1014" t="inlineStr"/>
      <c r="K1014" t="inlineStr"/>
      <c r="L1014" t="inlineStr">
        <is>
          <t>10°-1</t>
        </is>
      </c>
      <c r="M1014" t="inlineStr"/>
      <c r="N1014">
        <f>C1014&amp;"|"&amp;D1014</f>
        <v/>
      </c>
      <c r="O1014">
        <f>COUNTIF($N$2:N1014,N1014)</f>
        <v/>
      </c>
      <c r="P1014">
        <f>N1014&amp;"|"&amp;O1014</f>
        <v/>
      </c>
      <c r="Q1014">
        <f>C1014&amp;"|"&amp;D1014&amp;"|"&amp;A1014</f>
        <v/>
      </c>
    </row>
    <row r="1015">
      <c r="A1015" t="n">
        <v>43</v>
      </c>
      <c r="B1015" t="inlineStr">
        <is>
          <t>Ramírez Guerra Jimmy Eduardo</t>
        </is>
      </c>
      <c r="C1015" t="inlineStr">
        <is>
          <t>VIERNES</t>
        </is>
      </c>
      <c r="D1015" t="n">
        <v>8</v>
      </c>
      <c r="E1015" t="n">
        <v>4</v>
      </c>
      <c r="F1015" t="inlineStr">
        <is>
          <t>CLASE</t>
        </is>
      </c>
      <c r="G1015" t="inlineStr">
        <is>
          <t>1002</t>
        </is>
      </c>
      <c r="H1015" t="inlineStr">
        <is>
          <t>ERD</t>
        </is>
      </c>
      <c r="I1015" t="inlineStr"/>
      <c r="J1015" t="inlineStr"/>
      <c r="K1015" t="inlineStr"/>
      <c r="L1015" t="inlineStr">
        <is>
          <t>10°-2</t>
        </is>
      </c>
      <c r="M1015" t="inlineStr"/>
      <c r="N1015">
        <f>C1015&amp;"|"&amp;D1015</f>
        <v/>
      </c>
      <c r="O1015">
        <f>COUNTIF($N$2:N1015,N1015)</f>
        <v/>
      </c>
      <c r="P1015">
        <f>N1015&amp;"|"&amp;O1015</f>
        <v/>
      </c>
      <c r="Q1015">
        <f>C1015&amp;"|"&amp;D1015&amp;"|"&amp;A1015</f>
        <v/>
      </c>
    </row>
    <row r="1016">
      <c r="A1016" t="n">
        <v>31</v>
      </c>
      <c r="B1016" t="inlineStr">
        <is>
          <t>Montaño Arizala Leidis Claudina</t>
        </is>
      </c>
      <c r="C1016" t="inlineStr">
        <is>
          <t>VIERNES</t>
        </is>
      </c>
      <c r="D1016" t="n">
        <v>8</v>
      </c>
      <c r="E1016" t="n">
        <v>4</v>
      </c>
      <c r="F1016" t="inlineStr">
        <is>
          <t>CLASE</t>
        </is>
      </c>
      <c r="G1016" t="inlineStr">
        <is>
          <t>1101</t>
        </is>
      </c>
      <c r="H1016" t="inlineStr">
        <is>
          <t>ETR</t>
        </is>
      </c>
      <c r="I1016" t="inlineStr"/>
      <c r="J1016" t="inlineStr">
        <is>
          <t>Ética / Religión (alternan cada semana)</t>
        </is>
      </c>
      <c r="K1016" t="inlineStr"/>
      <c r="L1016" t="inlineStr">
        <is>
          <t>11°-1</t>
        </is>
      </c>
      <c r="M1016" t="inlineStr">
        <is>
          <t>Ética / Religión (alternan cada semana)</t>
        </is>
      </c>
      <c r="N1016">
        <f>C1016&amp;"|"&amp;D1016</f>
        <v/>
      </c>
      <c r="O1016">
        <f>COUNTIF($N$2:N1016,N1016)</f>
        <v/>
      </c>
      <c r="P1016">
        <f>N1016&amp;"|"&amp;O1016</f>
        <v/>
      </c>
      <c r="Q1016">
        <f>C1016&amp;"|"&amp;D1016&amp;"|"&amp;A1016</f>
        <v/>
      </c>
    </row>
    <row r="1017">
      <c r="A1017" t="n">
        <v>30</v>
      </c>
      <c r="B1017" t="inlineStr">
        <is>
          <t>Montaño Anchico Favio Héctor</t>
        </is>
      </c>
      <c r="C1017" t="inlineStr">
        <is>
          <t>VIERNES</t>
        </is>
      </c>
      <c r="D1017" t="n">
        <v>8</v>
      </c>
      <c r="E1017" t="n">
        <v>4</v>
      </c>
      <c r="F1017" t="inlineStr">
        <is>
          <t>CLASE</t>
        </is>
      </c>
      <c r="G1017" t="inlineStr">
        <is>
          <t>1102</t>
        </is>
      </c>
      <c r="H1017" t="inlineStr">
        <is>
          <t>CAS</t>
        </is>
      </c>
      <c r="I1017" t="inlineStr"/>
      <c r="J1017" t="inlineStr"/>
      <c r="K1017" t="inlineStr"/>
      <c r="L1017" t="inlineStr">
        <is>
          <t>11°-2</t>
        </is>
      </c>
      <c r="M1017" t="inlineStr"/>
      <c r="N1017">
        <f>C1017&amp;"|"&amp;D1017</f>
        <v/>
      </c>
      <c r="O1017">
        <f>COUNTIF($N$2:N1017,N1017)</f>
        <v/>
      </c>
      <c r="P1017">
        <f>N1017&amp;"|"&amp;O1017</f>
        <v/>
      </c>
      <c r="Q1017">
        <f>C1017&amp;"|"&amp;D1017&amp;"|"&amp;A1017</f>
        <v/>
      </c>
    </row>
    <row r="1018">
      <c r="A1018" t="n">
        <v>4</v>
      </c>
      <c r="B1018" t="inlineStr">
        <is>
          <t>Arizala Castro Roberto Carlos</t>
        </is>
      </c>
      <c r="C1018" t="inlineStr">
        <is>
          <t>VIERNES</t>
        </is>
      </c>
      <c r="D1018" t="n">
        <v>8</v>
      </c>
      <c r="E1018" t="n">
        <v>4</v>
      </c>
      <c r="F1018" t="inlineStr">
        <is>
          <t>CLASE</t>
        </is>
      </c>
      <c r="G1018" t="inlineStr">
        <is>
          <t>CS101</t>
        </is>
      </c>
      <c r="H1018" t="inlineStr">
        <is>
          <t>CNA</t>
        </is>
      </c>
      <c r="I1018" t="inlineStr"/>
      <c r="J1018" t="inlineStr"/>
      <c r="K1018" t="inlineStr"/>
      <c r="L1018" t="inlineStr">
        <is>
          <t>CS 1-1</t>
        </is>
      </c>
      <c r="M1018" t="inlineStr"/>
      <c r="N1018">
        <f>C1018&amp;"|"&amp;D1018</f>
        <v/>
      </c>
      <c r="O1018">
        <f>COUNTIF($N$2:N1018,N1018)</f>
        <v/>
      </c>
      <c r="P1018">
        <f>N1018&amp;"|"&amp;O1018</f>
        <v/>
      </c>
      <c r="Q1018">
        <f>C1018&amp;"|"&amp;D1018&amp;"|"&amp;A1018</f>
        <v/>
      </c>
    </row>
    <row r="1019">
      <c r="A1019" t="n">
        <v>42</v>
      </c>
      <c r="B1019" t="inlineStr">
        <is>
          <t>Quiñones Cabezas Marcos Vidal</t>
        </is>
      </c>
      <c r="C1019" t="inlineStr">
        <is>
          <t>VIERNES</t>
        </is>
      </c>
      <c r="D1019" t="n">
        <v>8</v>
      </c>
      <c r="E1019" t="n">
        <v>4</v>
      </c>
      <c r="F1019" t="inlineStr">
        <is>
          <t>CLASE</t>
        </is>
      </c>
      <c r="G1019" t="inlineStr">
        <is>
          <t>CS102</t>
        </is>
      </c>
      <c r="H1019" t="inlineStr">
        <is>
          <t>MAT</t>
        </is>
      </c>
      <c r="I1019" t="inlineStr"/>
      <c r="J1019" t="inlineStr"/>
      <c r="K1019" t="inlineStr"/>
      <c r="L1019" t="inlineStr">
        <is>
          <t>CS 1-2</t>
        </is>
      </c>
      <c r="M1019" t="inlineStr"/>
      <c r="N1019">
        <f>C1019&amp;"|"&amp;D1019</f>
        <v/>
      </c>
      <c r="O1019">
        <f>COUNTIF($N$2:N1019,N1019)</f>
        <v/>
      </c>
      <c r="P1019">
        <f>N1019&amp;"|"&amp;O1019</f>
        <v/>
      </c>
      <c r="Q1019">
        <f>C1019&amp;"|"&amp;D1019&amp;"|"&amp;A1019</f>
        <v/>
      </c>
    </row>
    <row r="1020">
      <c r="A1020" t="n">
        <v>15</v>
      </c>
      <c r="B1020" t="inlineStr">
        <is>
          <t>Cuero Bamba Berte Levi</t>
        </is>
      </c>
      <c r="C1020" t="inlineStr">
        <is>
          <t>VIERNES</t>
        </is>
      </c>
      <c r="D1020" t="n">
        <v>8</v>
      </c>
      <c r="E1020" t="n">
        <v>4</v>
      </c>
      <c r="F1020" t="inlineStr">
        <is>
          <t>CLASE</t>
        </is>
      </c>
      <c r="G1020" t="inlineStr">
        <is>
          <t>CS201</t>
        </is>
      </c>
      <c r="H1020" t="inlineStr">
        <is>
          <t>ERD</t>
        </is>
      </c>
      <c r="I1020" t="inlineStr"/>
      <c r="J1020" t="inlineStr"/>
      <c r="K1020" t="inlineStr"/>
      <c r="L1020" t="inlineStr">
        <is>
          <t>CS 2-1</t>
        </is>
      </c>
      <c r="M1020" t="inlineStr"/>
      <c r="N1020">
        <f>C1020&amp;"|"&amp;D1020</f>
        <v/>
      </c>
      <c r="O1020">
        <f>COUNTIF($N$2:N1020,N1020)</f>
        <v/>
      </c>
      <c r="P1020">
        <f>N1020&amp;"|"&amp;O1020</f>
        <v/>
      </c>
      <c r="Q1020">
        <f>C1020&amp;"|"&amp;D1020&amp;"|"&amp;A1020</f>
        <v/>
      </c>
    </row>
    <row r="1021">
      <c r="A1021" t="n">
        <v>19</v>
      </c>
      <c r="B1021" t="inlineStr">
        <is>
          <t>Fernández Vélez Alfredo Enrique</t>
        </is>
      </c>
      <c r="C1021" t="inlineStr">
        <is>
          <t>VIERNES</t>
        </is>
      </c>
      <c r="D1021" t="n">
        <v>8</v>
      </c>
      <c r="E1021" t="n">
        <v>4</v>
      </c>
      <c r="F1021" t="inlineStr">
        <is>
          <t>CLASE</t>
        </is>
      </c>
      <c r="G1021" t="inlineStr">
        <is>
          <t>CS202</t>
        </is>
      </c>
      <c r="H1021" t="inlineStr">
        <is>
          <t>TEI</t>
        </is>
      </c>
      <c r="I1021" t="inlineStr"/>
      <c r="J1021" t="inlineStr"/>
      <c r="K1021" t="inlineStr"/>
      <c r="L1021" t="inlineStr">
        <is>
          <t>CS 2-2</t>
        </is>
      </c>
      <c r="M1021" t="inlineStr"/>
      <c r="N1021">
        <f>C1021&amp;"|"&amp;D1021</f>
        <v/>
      </c>
      <c r="O1021">
        <f>COUNTIF($N$2:N1021,N1021)</f>
        <v/>
      </c>
      <c r="P1021">
        <f>N1021&amp;"|"&amp;O1021</f>
        <v/>
      </c>
      <c r="Q1021">
        <f>C1021&amp;"|"&amp;D1021&amp;"|"&amp;A1021</f>
        <v/>
      </c>
    </row>
    <row r="1022">
      <c r="A1022" t="n">
        <v>10</v>
      </c>
      <c r="B1022" t="inlineStr">
        <is>
          <t>Castillo Cuero Daira Eneida</t>
        </is>
      </c>
      <c r="C1022" t="inlineStr">
        <is>
          <t>VIERNES</t>
        </is>
      </c>
      <c r="D1022" t="n">
        <v>8</v>
      </c>
      <c r="E1022" t="n">
        <v>4</v>
      </c>
      <c r="F1022" t="inlineStr">
        <is>
          <t>ENFASIS</t>
        </is>
      </c>
      <c r="G1022" t="inlineStr"/>
      <c r="H1022" t="inlineStr">
        <is>
          <t>CAS</t>
        </is>
      </c>
      <c r="I1022" t="inlineStr">
        <is>
          <t>0601</t>
        </is>
      </c>
      <c r="J1022" t="inlineStr">
        <is>
          <t>PAREJA: comparten el énfasis y alternan por semana</t>
        </is>
      </c>
      <c r="K1022" t="inlineStr">
        <is>
          <t>Puches Ana Milena (ART)</t>
        </is>
      </c>
      <c r="L1022" t="inlineStr">
        <is>
          <t>ÉNFASIS 6°-1</t>
        </is>
      </c>
      <c r="M1022" t="inlineStr">
        <is>
          <t>PAREJA: comparten el énfasis y alternan por semana · Con: Puches Ana Milena (ART)</t>
        </is>
      </c>
      <c r="N1022">
        <f>C1022&amp;"|"&amp;D1022</f>
        <v/>
      </c>
      <c r="O1022">
        <f>COUNTIF($N$2:N1022,N1022)</f>
        <v/>
      </c>
      <c r="P1022">
        <f>N1022&amp;"|"&amp;O1022</f>
        <v/>
      </c>
      <c r="Q1022">
        <f>C1022&amp;"|"&amp;D1022&amp;"|"&amp;A1022</f>
        <v/>
      </c>
    </row>
    <row r="1023">
      <c r="A1023" t="n">
        <v>39</v>
      </c>
      <c r="B1023" t="inlineStr">
        <is>
          <t>Puches Ana Milena</t>
        </is>
      </c>
      <c r="C1023" t="inlineStr">
        <is>
          <t>VIERNES</t>
        </is>
      </c>
      <c r="D1023" t="n">
        <v>8</v>
      </c>
      <c r="E1023" t="n">
        <v>4</v>
      </c>
      <c r="F1023" t="inlineStr">
        <is>
          <t>ENFASIS</t>
        </is>
      </c>
      <c r="G1023" t="inlineStr"/>
      <c r="H1023" t="inlineStr">
        <is>
          <t>ART</t>
        </is>
      </c>
      <c r="I1023" t="inlineStr">
        <is>
          <t>0601</t>
        </is>
      </c>
      <c r="J1023" t="inlineStr">
        <is>
          <t>PAREJA: comparten el énfasis y alternan por semana</t>
        </is>
      </c>
      <c r="K1023" t="inlineStr">
        <is>
          <t>Castillo Cuero Daira Eneida (CAS)</t>
        </is>
      </c>
      <c r="L1023" t="inlineStr">
        <is>
          <t>ÉNFASIS 6°-1</t>
        </is>
      </c>
      <c r="M1023" t="inlineStr">
        <is>
          <t>PAREJA: comparten el énfasis y alternan por semana · Con: Castillo Cuero Daira Eneida (CAS)</t>
        </is>
      </c>
      <c r="N1023">
        <f>C1023&amp;"|"&amp;D1023</f>
        <v/>
      </c>
      <c r="O1023">
        <f>COUNTIF($N$2:N1023,N1023)</f>
        <v/>
      </c>
      <c r="P1023">
        <f>N1023&amp;"|"&amp;O1023</f>
        <v/>
      </c>
      <c r="Q1023">
        <f>C1023&amp;"|"&amp;D1023&amp;"|"&amp;A1023</f>
        <v/>
      </c>
    </row>
    <row r="1024">
      <c r="A1024" t="n">
        <v>34</v>
      </c>
      <c r="B1024" t="inlineStr">
        <is>
          <t>Ordóñez Tenorio Jaime Marcial</t>
        </is>
      </c>
      <c r="C1024" t="inlineStr">
        <is>
          <t>VIERNES</t>
        </is>
      </c>
      <c r="D1024" t="n">
        <v>8</v>
      </c>
      <c r="E1024" t="n">
        <v>4</v>
      </c>
      <c r="F1024" t="inlineStr">
        <is>
          <t>ENFASIS</t>
        </is>
      </c>
      <c r="G1024" t="inlineStr"/>
      <c r="H1024" t="inlineStr">
        <is>
          <t>CNA</t>
        </is>
      </c>
      <c r="I1024" t="inlineStr">
        <is>
          <t>0602</t>
        </is>
      </c>
      <c r="J1024" t="inlineStr">
        <is>
          <t>PAREJA: comparten el énfasis y alternan por semana</t>
        </is>
      </c>
      <c r="K1024" t="inlineStr">
        <is>
          <t>Armero Dájome Jesús (ERD)</t>
        </is>
      </c>
      <c r="L1024" t="inlineStr">
        <is>
          <t>ÉNFASIS 6°-2</t>
        </is>
      </c>
      <c r="M1024" t="inlineStr">
        <is>
          <t>PAREJA: comparten el énfasis y alternan por semana · Con: Armero Dájome Jesús (ERD)</t>
        </is>
      </c>
      <c r="N1024">
        <f>C1024&amp;"|"&amp;D1024</f>
        <v/>
      </c>
      <c r="O1024">
        <f>COUNTIF($N$2:N1024,N1024)</f>
        <v/>
      </c>
      <c r="P1024">
        <f>N1024&amp;"|"&amp;O1024</f>
        <v/>
      </c>
      <c r="Q1024">
        <f>C1024&amp;"|"&amp;D1024&amp;"|"&amp;A1024</f>
        <v/>
      </c>
    </row>
    <row r="1025">
      <c r="A1025" t="n">
        <v>4</v>
      </c>
      <c r="B1025" t="inlineStr">
        <is>
          <t>Arizala Castro Roberto Carlos</t>
        </is>
      </c>
      <c r="C1025" t="inlineStr">
        <is>
          <t>VIERNES</t>
        </is>
      </c>
      <c r="D1025" t="n">
        <v>8</v>
      </c>
      <c r="E1025" t="n">
        <v>4</v>
      </c>
      <c r="F1025" t="inlineStr">
        <is>
          <t>ENFASIS</t>
        </is>
      </c>
      <c r="G1025" t="inlineStr"/>
      <c r="H1025" t="inlineStr">
        <is>
          <t>ERD</t>
        </is>
      </c>
      <c r="I1025" t="inlineStr">
        <is>
          <t>0602</t>
        </is>
      </c>
      <c r="J1025" t="inlineStr">
        <is>
          <t>PAREJA: comparten el énfasis y alternan por semana</t>
        </is>
      </c>
      <c r="K1025" t="inlineStr">
        <is>
          <t>Ordóñez Tenorio Jaime Marcial (CNA)</t>
        </is>
      </c>
      <c r="L1025" t="inlineStr">
        <is>
          <t>ÉNFASIS 6°-2</t>
        </is>
      </c>
      <c r="M1025" t="inlineStr">
        <is>
          <t>PAREJA: comparten el énfasis y alternan por semana · Con: Ordóñez Tenorio Jaime Marcial (CNA)</t>
        </is>
      </c>
      <c r="N1025">
        <f>C1025&amp;"|"&amp;D1025</f>
        <v/>
      </c>
      <c r="O1025">
        <f>COUNTIF($N$2:N1025,N1025)</f>
        <v/>
      </c>
      <c r="P1025">
        <f>N1025&amp;"|"&amp;O1025</f>
        <v/>
      </c>
      <c r="Q1025">
        <f>C1025&amp;"|"&amp;D1025&amp;"|"&amp;A1025</f>
        <v/>
      </c>
    </row>
  </sheetData>
  <autoFilter ref="A1:Q10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2" customWidth="1" min="5" max="5"/>
    <col width="9" customWidth="1" min="6" max="6"/>
  </cols>
  <sheetData>
    <row r="1">
      <c r="A1" s="8" t="inlineStr">
        <is>
          <t>sesion</t>
        </is>
      </c>
      <c r="B1" s="8" t="inlineStr">
        <is>
          <t>bloque</t>
        </is>
      </c>
      <c r="C1" s="8" t="inlineStr">
        <is>
          <t>inicio</t>
        </is>
      </c>
      <c r="D1" s="8" t="inlineStr">
        <is>
          <t>fin</t>
        </is>
      </c>
      <c r="E1" s="8" t="inlineStr">
        <is>
          <t>inicio_min</t>
        </is>
      </c>
      <c r="F1" s="8" t="inlineStr">
        <is>
          <t>fin_min</t>
        </is>
      </c>
    </row>
    <row r="2">
      <c r="A2" t="n">
        <v>1</v>
      </c>
      <c r="B2" t="n">
        <v>1</v>
      </c>
      <c r="C2" t="inlineStr">
        <is>
          <t>06:30</t>
        </is>
      </c>
      <c r="D2" t="inlineStr">
        <is>
          <t>07:15</t>
        </is>
      </c>
      <c r="E2" t="n">
        <v>390</v>
      </c>
      <c r="F2" t="n">
        <v>435</v>
      </c>
    </row>
    <row r="3">
      <c r="A3" t="n">
        <v>2</v>
      </c>
      <c r="B3" t="n">
        <v>1</v>
      </c>
      <c r="C3" t="inlineStr">
        <is>
          <t>07:15</t>
        </is>
      </c>
      <c r="D3" t="inlineStr">
        <is>
          <t>08:00</t>
        </is>
      </c>
      <c r="E3" t="n">
        <v>435</v>
      </c>
      <c r="F3" t="n">
        <v>480</v>
      </c>
    </row>
    <row r="4">
      <c r="A4" t="n">
        <v>3</v>
      </c>
      <c r="B4" t="n">
        <v>2</v>
      </c>
      <c r="C4" t="inlineStr">
        <is>
          <t>08:20</t>
        </is>
      </c>
      <c r="D4" t="inlineStr">
        <is>
          <t>09:05</t>
        </is>
      </c>
      <c r="E4" t="n">
        <v>500</v>
      </c>
      <c r="F4" t="n">
        <v>545</v>
      </c>
    </row>
    <row r="5">
      <c r="A5" t="n">
        <v>4</v>
      </c>
      <c r="B5" t="n">
        <v>2</v>
      </c>
      <c r="C5" t="inlineStr">
        <is>
          <t>09:05</t>
        </is>
      </c>
      <c r="D5" t="inlineStr">
        <is>
          <t>09:50</t>
        </is>
      </c>
      <c r="E5" t="n">
        <v>545</v>
      </c>
      <c r="F5" t="n">
        <v>590</v>
      </c>
    </row>
    <row r="6">
      <c r="A6" t="n">
        <v>5</v>
      </c>
      <c r="B6" t="n">
        <v>3</v>
      </c>
      <c r="C6" t="inlineStr">
        <is>
          <t>10:10</t>
        </is>
      </c>
      <c r="D6" t="inlineStr">
        <is>
          <t>10:55</t>
        </is>
      </c>
      <c r="E6" t="n">
        <v>610</v>
      </c>
      <c r="F6" t="n">
        <v>655</v>
      </c>
    </row>
    <row r="7">
      <c r="A7" t="n">
        <v>6</v>
      </c>
      <c r="B7" t="n">
        <v>3</v>
      </c>
      <c r="C7" t="inlineStr">
        <is>
          <t>10:55</t>
        </is>
      </c>
      <c r="D7" t="inlineStr">
        <is>
          <t>11:40</t>
        </is>
      </c>
      <c r="E7" t="n">
        <v>655</v>
      </c>
      <c r="F7" t="n">
        <v>700</v>
      </c>
    </row>
    <row r="8">
      <c r="A8" t="n">
        <v>7</v>
      </c>
      <c r="B8" t="n">
        <v>4</v>
      </c>
      <c r="C8" t="inlineStr">
        <is>
          <t>12:00</t>
        </is>
      </c>
      <c r="D8" t="inlineStr">
        <is>
          <t>12:45</t>
        </is>
      </c>
      <c r="E8" t="n">
        <v>720</v>
      </c>
      <c r="F8" t="n">
        <v>765</v>
      </c>
    </row>
    <row r="9">
      <c r="A9" t="n">
        <v>8</v>
      </c>
      <c r="B9" t="n">
        <v>4</v>
      </c>
      <c r="C9" t="inlineStr">
        <is>
          <t>12:45</t>
        </is>
      </c>
      <c r="D9" t="inlineStr">
        <is>
          <t>13:30</t>
        </is>
      </c>
      <c r="E9" t="n">
        <v>765</v>
      </c>
      <c r="F9" t="n">
        <v>810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</cols>
  <sheetData>
    <row r="1">
      <c r="A1" s="8" t="inlineStr">
        <is>
          <t>grupo</t>
        </is>
      </c>
      <c r="B1" s="8" t="inlineStr">
        <is>
          <t>nombre</t>
        </is>
      </c>
      <c r="C1" s="8" t="inlineStr">
        <is>
          <t>modalidad</t>
        </is>
      </c>
    </row>
    <row r="2">
      <c r="A2" t="inlineStr">
        <is>
          <t>0601</t>
        </is>
      </c>
      <c r="B2" t="inlineStr">
        <is>
          <t>6°-1</t>
        </is>
      </c>
      <c r="C2" t="inlineStr"/>
    </row>
    <row r="3">
      <c r="A3" t="inlineStr">
        <is>
          <t>0602</t>
        </is>
      </c>
      <c r="B3" t="inlineStr">
        <is>
          <t>6°-2</t>
        </is>
      </c>
      <c r="C3" t="inlineStr"/>
    </row>
    <row r="4">
      <c r="A4" t="inlineStr">
        <is>
          <t>CS101</t>
        </is>
      </c>
      <c r="B4" t="inlineStr">
        <is>
          <t>CS 1-1</t>
        </is>
      </c>
      <c r="C4" t="inlineStr"/>
    </row>
    <row r="5">
      <c r="A5" t="inlineStr">
        <is>
          <t>CS102</t>
        </is>
      </c>
      <c r="B5" t="inlineStr">
        <is>
          <t>CS 1-2</t>
        </is>
      </c>
      <c r="C5" t="inlineStr"/>
    </row>
    <row r="6">
      <c r="A6" t="inlineStr">
        <is>
          <t>0701</t>
        </is>
      </c>
      <c r="B6" t="inlineStr">
        <is>
          <t>7°-1</t>
        </is>
      </c>
      <c r="C6" t="inlineStr"/>
    </row>
    <row r="7">
      <c r="A7" t="inlineStr">
        <is>
          <t>0702</t>
        </is>
      </c>
      <c r="B7" t="inlineStr">
        <is>
          <t>7°-2</t>
        </is>
      </c>
      <c r="C7" t="inlineStr"/>
    </row>
    <row r="8">
      <c r="A8" t="inlineStr">
        <is>
          <t>0703</t>
        </is>
      </c>
      <c r="B8" t="inlineStr">
        <is>
          <t>7°-3</t>
        </is>
      </c>
      <c r="C8" t="inlineStr"/>
    </row>
    <row r="9">
      <c r="A9" t="inlineStr">
        <is>
          <t>0704</t>
        </is>
      </c>
      <c r="B9" t="inlineStr">
        <is>
          <t>7°-4</t>
        </is>
      </c>
      <c r="C9" t="inlineStr"/>
    </row>
    <row r="10">
      <c r="A10" t="inlineStr">
        <is>
          <t>0801</t>
        </is>
      </c>
      <c r="B10" t="inlineStr">
        <is>
          <t>8°-1</t>
        </is>
      </c>
      <c r="C10" t="inlineStr"/>
    </row>
    <row r="11">
      <c r="A11" t="inlineStr">
        <is>
          <t>0802</t>
        </is>
      </c>
      <c r="B11" t="inlineStr">
        <is>
          <t>8°-2</t>
        </is>
      </c>
      <c r="C11" t="inlineStr"/>
    </row>
    <row r="12">
      <c r="A12" t="inlineStr">
        <is>
          <t>0901</t>
        </is>
      </c>
      <c r="B12" t="inlineStr">
        <is>
          <t>9°-1</t>
        </is>
      </c>
      <c r="C12" t="inlineStr"/>
    </row>
    <row r="13">
      <c r="A13" t="inlineStr">
        <is>
          <t>0902</t>
        </is>
      </c>
      <c r="B13" t="inlineStr">
        <is>
          <t>9°-2</t>
        </is>
      </c>
      <c r="C13" t="inlineStr"/>
    </row>
    <row r="14">
      <c r="A14" t="inlineStr">
        <is>
          <t>CS201</t>
        </is>
      </c>
      <c r="B14" t="inlineStr">
        <is>
          <t>CS 2-1</t>
        </is>
      </c>
      <c r="C14" t="inlineStr"/>
    </row>
    <row r="15">
      <c r="A15" t="inlineStr">
        <is>
          <t>CS202</t>
        </is>
      </c>
      <c r="B15" t="inlineStr">
        <is>
          <t>CS 2-2</t>
        </is>
      </c>
      <c r="C15" t="inlineStr"/>
    </row>
    <row r="16">
      <c r="A16" t="inlineStr">
        <is>
          <t>1001</t>
        </is>
      </c>
      <c r="B16" t="inlineStr">
        <is>
          <t>10°-1</t>
        </is>
      </c>
      <c r="C16" t="inlineStr"/>
    </row>
    <row r="17">
      <c r="A17" t="inlineStr">
        <is>
          <t>1002</t>
        </is>
      </c>
      <c r="B17" t="inlineStr">
        <is>
          <t>10°-2</t>
        </is>
      </c>
      <c r="C17" t="inlineStr"/>
    </row>
    <row r="18">
      <c r="A18" t="inlineStr">
        <is>
          <t>1101</t>
        </is>
      </c>
      <c r="B18" t="inlineStr">
        <is>
          <t>11°-1</t>
        </is>
      </c>
      <c r="C18" t="inlineStr"/>
    </row>
    <row r="19">
      <c r="A19" t="inlineStr">
        <is>
          <t>1102</t>
        </is>
      </c>
      <c r="B19" t="inlineStr">
        <is>
          <t>11°-2</t>
        </is>
      </c>
      <c r="C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9" t="inlineStr">
        <is>
          <t>ICET 2026 - Ubicación de docentes de bachillerato</t>
        </is>
      </c>
    </row>
    <row r="2">
      <c r="A2" t="inlineStr"/>
    </row>
    <row r="3">
      <c r="A3" t="inlineStr">
        <is>
          <t>1) Abra la hoja 'Ubicacion': muestra sola quién está en cada grupo en este momento (según la fecha y la hora del dispositivo).</t>
        </is>
      </c>
    </row>
    <row r="4">
      <c r="A4" t="inlineStr">
        <is>
          <t>2) Para otro momento escriba la fecha y elija un bloque (1 a 4) o una sesión (1 a 8) en las celdas amarillas. Vacías = ahora.</t>
        </is>
      </c>
    </row>
    <row r="5">
      <c r="A5" t="inlineStr">
        <is>
          <t>3) 'Por_Docente' lista a los docentes de A a Z y dónde está cada uno (o 'Libre') en el mismo momento.</t>
        </is>
      </c>
    </row>
    <row r="6">
      <c r="A6" t="inlineStr">
        <is>
          <t>4) Se muestran solo clases y énfasis de bachillerato (6° a 11° y Caminar en Secundaria). No incluye preescolar ni primaria.</t>
        </is>
      </c>
    </row>
    <row r="7">
      <c r="A7" t="inlineStr">
        <is>
          <t>5) Énfasis (fila amarilla): estudiantes del curso repartidos entre un equipo de docentes; cada uno atiende su área.</t>
        </is>
      </c>
    </row>
    <row r="8">
      <c r="A8" t="inlineStr"/>
    </row>
    <row r="9">
      <c r="A9" t="inlineStr">
        <is>
          <t>Zona horaria: en Google Sheets use Archivo &gt; Configuración &gt; GMT-05:00 Bogotá. Excel usa la hora del dispositivo.</t>
        </is>
      </c>
    </row>
    <row r="10">
      <c r="A10" t="inlineStr">
        <is>
          <t>Horario según el PDF de asignación del 02-02-2026 con los cambios del coordinador: Armero reemplaza a Terán; Prado y Puches intercambiaron Arte.</t>
        </is>
      </c>
    </row>
    <row r="11">
      <c r="A11" t="inlineStr">
        <is>
          <t>Si cambia el horario, regenere con: python3 scripts/generar_ubicacion.py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Francisco Javier Cortés Cabezas</dc:creator>
  <dc:description>Autor: Francisco Javier Cortés Cabezas, coordinador académico; especialista en informática y telemática, magíster en educación, doctorando en desarrollo de la educación. I.E. ICET, Tumaco (Nariño). © 2026</dc:description>
  <dcterms:created xsi:type="dcterms:W3CDTF">2026-10-20T14:28:44Z</dcterms:created>
  <dcterms:modified xsi:type="dcterms:W3CDTF">2026-10-20T14:28:44Z</dcterms:modified>
</cp:coreProperties>
</file>